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de\laboratoryspreadsheet\labspreadsheet\demo\local_input\"/>
    </mc:Choice>
  </mc:AlternateContent>
  <workbookProtection workbookPassword="E321" lockStructure="1"/>
  <bookViews>
    <workbookView xWindow="0" yWindow="0" windowWidth="19200" windowHeight="7050"/>
  </bookViews>
  <sheets>
    <sheet name="person" sheetId="1" r:id="rId1"/>
    <sheet name="person_db" sheetId="2" r:id="rId2"/>
    <sheet name="person_drop" sheetId="3" state="hidden" r:id="rId3"/>
    <sheet name="Area" sheetId="4" state="hidden" r:id="rId4"/>
    <sheet name="Setup" sheetId="5" state="hidden" r:id="rId5"/>
    <sheet name="Comp" sheetId="6" state="hidden" r:id="rId6"/>
    <sheet name="1Q42" sheetId="7" r:id="rId7"/>
  </sheets>
  <calcPr calcId="162913"/>
</workbook>
</file>

<file path=xl/calcChain.xml><?xml version="1.0" encoding="utf-8"?>
<calcChain xmlns="http://schemas.openxmlformats.org/spreadsheetml/2006/main">
  <c r="BC1007" i="7" l="1"/>
  <c r="BB1007" i="7"/>
  <c r="BA1007" i="7"/>
  <c r="AV1007" i="7"/>
  <c r="AU1007" i="7"/>
  <c r="BC1006" i="7"/>
  <c r="BB1006" i="7"/>
  <c r="BA1006" i="7"/>
  <c r="AV1006" i="7"/>
  <c r="AU1006" i="7"/>
  <c r="BC1005" i="7"/>
  <c r="BB1005" i="7"/>
  <c r="BA1005" i="7"/>
  <c r="AV1005" i="7"/>
  <c r="AU1005" i="7"/>
  <c r="BC1004" i="7"/>
  <c r="BB1004" i="7"/>
  <c r="BA1004" i="7"/>
  <c r="AV1004" i="7"/>
  <c r="AU1004" i="7"/>
  <c r="BC1003" i="7"/>
  <c r="BB1003" i="7"/>
  <c r="BA1003" i="7"/>
  <c r="AV1003" i="7"/>
  <c r="AU1003" i="7"/>
  <c r="BC1002" i="7"/>
  <c r="BB1002" i="7"/>
  <c r="BA1002" i="7"/>
  <c r="AV1002" i="7"/>
  <c r="AU1002" i="7"/>
  <c r="BC1001" i="7"/>
  <c r="BB1001" i="7"/>
  <c r="BA1001" i="7"/>
  <c r="AV1001" i="7"/>
  <c r="AU1001" i="7"/>
  <c r="BC1000" i="7"/>
  <c r="BB1000" i="7"/>
  <c r="BA1000" i="7"/>
  <c r="AV1000" i="7"/>
  <c r="AU1000" i="7"/>
  <c r="BC999" i="7"/>
  <c r="BB999" i="7"/>
  <c r="BA999" i="7"/>
  <c r="AV999" i="7"/>
  <c r="AU999" i="7"/>
  <c r="BC998" i="7"/>
  <c r="BB998" i="7"/>
  <c r="BA998" i="7"/>
  <c r="AV998" i="7"/>
  <c r="AU998" i="7"/>
  <c r="BC997" i="7"/>
  <c r="BB997" i="7"/>
  <c r="BA997" i="7"/>
  <c r="AV997" i="7"/>
  <c r="AU997" i="7"/>
  <c r="BC996" i="7"/>
  <c r="BB996" i="7"/>
  <c r="BA996" i="7"/>
  <c r="AV996" i="7"/>
  <c r="AU996" i="7"/>
  <c r="BC995" i="7"/>
  <c r="BB995" i="7"/>
  <c r="BA995" i="7"/>
  <c r="AV995" i="7"/>
  <c r="AU995" i="7"/>
  <c r="BC994" i="7"/>
  <c r="BB994" i="7"/>
  <c r="BA994" i="7"/>
  <c r="AV994" i="7"/>
  <c r="AU994" i="7"/>
  <c r="BC993" i="7"/>
  <c r="BB993" i="7"/>
  <c r="BA993" i="7"/>
  <c r="AV993" i="7"/>
  <c r="AU993" i="7"/>
  <c r="BC992" i="7"/>
  <c r="BB992" i="7"/>
  <c r="BA992" i="7"/>
  <c r="AV992" i="7"/>
  <c r="AU992" i="7"/>
  <c r="BC991" i="7"/>
  <c r="BB991" i="7"/>
  <c r="BA991" i="7"/>
  <c r="AV991" i="7"/>
  <c r="AU991" i="7"/>
  <c r="BC990" i="7"/>
  <c r="BB990" i="7"/>
  <c r="BA990" i="7"/>
  <c r="AV990" i="7"/>
  <c r="AU990" i="7"/>
  <c r="BC989" i="7"/>
  <c r="BB989" i="7"/>
  <c r="BA989" i="7"/>
  <c r="AV989" i="7"/>
  <c r="AU989" i="7"/>
  <c r="BC988" i="7"/>
  <c r="BB988" i="7"/>
  <c r="BA988" i="7"/>
  <c r="AV988" i="7"/>
  <c r="AU988" i="7"/>
  <c r="BC987" i="7"/>
  <c r="BB987" i="7"/>
  <c r="BA987" i="7"/>
  <c r="AV987" i="7"/>
  <c r="AU987" i="7"/>
  <c r="BC986" i="7"/>
  <c r="BB986" i="7"/>
  <c r="BA986" i="7"/>
  <c r="AV986" i="7"/>
  <c r="AU986" i="7"/>
  <c r="BC985" i="7"/>
  <c r="BB985" i="7"/>
  <c r="BA985" i="7"/>
  <c r="AV985" i="7"/>
  <c r="AU985" i="7"/>
  <c r="BC984" i="7"/>
  <c r="BB984" i="7"/>
  <c r="BA984" i="7"/>
  <c r="AV984" i="7"/>
  <c r="AU984" i="7"/>
  <c r="BC983" i="7"/>
  <c r="BB983" i="7"/>
  <c r="BA983" i="7"/>
  <c r="AV983" i="7"/>
  <c r="AU983" i="7"/>
  <c r="BC982" i="7"/>
  <c r="BB982" i="7"/>
  <c r="BA982" i="7"/>
  <c r="AV982" i="7"/>
  <c r="AU982" i="7"/>
  <c r="BC981" i="7"/>
  <c r="BB981" i="7"/>
  <c r="BA981" i="7"/>
  <c r="AV981" i="7"/>
  <c r="AU981" i="7"/>
  <c r="BC980" i="7"/>
  <c r="BB980" i="7"/>
  <c r="BA980" i="7"/>
  <c r="AV980" i="7"/>
  <c r="AU980" i="7"/>
  <c r="BC979" i="7"/>
  <c r="BB979" i="7"/>
  <c r="BA979" i="7"/>
  <c r="AV979" i="7"/>
  <c r="AU979" i="7"/>
  <c r="BC978" i="7"/>
  <c r="BB978" i="7"/>
  <c r="BA978" i="7"/>
  <c r="AV978" i="7"/>
  <c r="AU978" i="7"/>
  <c r="BC977" i="7"/>
  <c r="BB977" i="7"/>
  <c r="BA977" i="7"/>
  <c r="AV977" i="7"/>
  <c r="AU977" i="7"/>
  <c r="BC976" i="7"/>
  <c r="BB976" i="7"/>
  <c r="BA976" i="7"/>
  <c r="AV976" i="7"/>
  <c r="AU976" i="7"/>
  <c r="BC975" i="7"/>
  <c r="BB975" i="7"/>
  <c r="BA975" i="7"/>
  <c r="AV975" i="7"/>
  <c r="AU975" i="7"/>
  <c r="BC974" i="7"/>
  <c r="BB974" i="7"/>
  <c r="BA974" i="7"/>
  <c r="AV974" i="7"/>
  <c r="AU974" i="7"/>
  <c r="BC973" i="7"/>
  <c r="BB973" i="7"/>
  <c r="BA973" i="7"/>
  <c r="AV973" i="7"/>
  <c r="AU973" i="7"/>
  <c r="BC972" i="7"/>
  <c r="BB972" i="7"/>
  <c r="BA972" i="7"/>
  <c r="AV972" i="7"/>
  <c r="AU972" i="7"/>
  <c r="BC971" i="7"/>
  <c r="BB971" i="7"/>
  <c r="BA971" i="7"/>
  <c r="AV971" i="7"/>
  <c r="AU971" i="7"/>
  <c r="BC970" i="7"/>
  <c r="BB970" i="7"/>
  <c r="BA970" i="7"/>
  <c r="AV970" i="7"/>
  <c r="AU970" i="7"/>
  <c r="BC969" i="7"/>
  <c r="BB969" i="7"/>
  <c r="BA969" i="7"/>
  <c r="AV969" i="7"/>
  <c r="AU969" i="7"/>
  <c r="BC968" i="7"/>
  <c r="BB968" i="7"/>
  <c r="BA968" i="7"/>
  <c r="AV968" i="7"/>
  <c r="AU968" i="7"/>
  <c r="BC967" i="7"/>
  <c r="BB967" i="7"/>
  <c r="BA967" i="7"/>
  <c r="AV967" i="7"/>
  <c r="AU967" i="7"/>
  <c r="BC966" i="7"/>
  <c r="BB966" i="7"/>
  <c r="BA966" i="7"/>
  <c r="AV966" i="7"/>
  <c r="AU966" i="7"/>
  <c r="BC965" i="7"/>
  <c r="BB965" i="7"/>
  <c r="BA965" i="7"/>
  <c r="AV965" i="7"/>
  <c r="AU965" i="7"/>
  <c r="BC964" i="7"/>
  <c r="BB964" i="7"/>
  <c r="BA964" i="7"/>
  <c r="AV964" i="7"/>
  <c r="AU964" i="7"/>
  <c r="BC963" i="7"/>
  <c r="BB963" i="7"/>
  <c r="BA963" i="7"/>
  <c r="AV963" i="7"/>
  <c r="AU963" i="7"/>
  <c r="BC962" i="7"/>
  <c r="BB962" i="7"/>
  <c r="BA962" i="7"/>
  <c r="AV962" i="7"/>
  <c r="AU962" i="7"/>
  <c r="BC961" i="7"/>
  <c r="BB961" i="7"/>
  <c r="BA961" i="7"/>
  <c r="AV961" i="7"/>
  <c r="AU961" i="7"/>
  <c r="BC960" i="7"/>
  <c r="BB960" i="7"/>
  <c r="BA960" i="7"/>
  <c r="AV960" i="7"/>
  <c r="AU960" i="7"/>
  <c r="BC959" i="7"/>
  <c r="BB959" i="7"/>
  <c r="BA959" i="7"/>
  <c r="AV959" i="7"/>
  <c r="AU959" i="7"/>
  <c r="BC958" i="7"/>
  <c r="BB958" i="7"/>
  <c r="BA958" i="7"/>
  <c r="AV958" i="7"/>
  <c r="AU958" i="7"/>
  <c r="BC957" i="7"/>
  <c r="BB957" i="7"/>
  <c r="BA957" i="7"/>
  <c r="AV957" i="7"/>
  <c r="AU957" i="7"/>
  <c r="BC956" i="7"/>
  <c r="BB956" i="7"/>
  <c r="BA956" i="7"/>
  <c r="AV956" i="7"/>
  <c r="AU956" i="7"/>
  <c r="BC955" i="7"/>
  <c r="BB955" i="7"/>
  <c r="BA955" i="7"/>
  <c r="AV955" i="7"/>
  <c r="AU955" i="7"/>
  <c r="BC954" i="7"/>
  <c r="BB954" i="7"/>
  <c r="BA954" i="7"/>
  <c r="AV954" i="7"/>
  <c r="AU954" i="7"/>
  <c r="BC953" i="7"/>
  <c r="BB953" i="7"/>
  <c r="BA953" i="7"/>
  <c r="AV953" i="7"/>
  <c r="AU953" i="7"/>
  <c r="BC952" i="7"/>
  <c r="BB952" i="7"/>
  <c r="BA952" i="7"/>
  <c r="AV952" i="7"/>
  <c r="AU952" i="7"/>
  <c r="BC951" i="7"/>
  <c r="BB951" i="7"/>
  <c r="BA951" i="7"/>
  <c r="AV951" i="7"/>
  <c r="AU951" i="7"/>
  <c r="BC950" i="7"/>
  <c r="BB950" i="7"/>
  <c r="BA950" i="7"/>
  <c r="AV950" i="7"/>
  <c r="AU950" i="7"/>
  <c r="BC949" i="7"/>
  <c r="BB949" i="7"/>
  <c r="BA949" i="7"/>
  <c r="AV949" i="7"/>
  <c r="AU949" i="7"/>
  <c r="BC948" i="7"/>
  <c r="BB948" i="7"/>
  <c r="BA948" i="7"/>
  <c r="AV948" i="7"/>
  <c r="AU948" i="7"/>
  <c r="BC947" i="7"/>
  <c r="BB947" i="7"/>
  <c r="BA947" i="7"/>
  <c r="AV947" i="7"/>
  <c r="AU947" i="7"/>
  <c r="BC946" i="7"/>
  <c r="BB946" i="7"/>
  <c r="BA946" i="7"/>
  <c r="AV946" i="7"/>
  <c r="AU946" i="7"/>
  <c r="BC945" i="7"/>
  <c r="BB945" i="7"/>
  <c r="BA945" i="7"/>
  <c r="AV945" i="7"/>
  <c r="AU945" i="7"/>
  <c r="BC944" i="7"/>
  <c r="BB944" i="7"/>
  <c r="BA944" i="7"/>
  <c r="AV944" i="7"/>
  <c r="AU944" i="7"/>
  <c r="BC943" i="7"/>
  <c r="BB943" i="7"/>
  <c r="BA943" i="7"/>
  <c r="AV943" i="7"/>
  <c r="AU943" i="7"/>
  <c r="BC942" i="7"/>
  <c r="BB942" i="7"/>
  <c r="BA942" i="7"/>
  <c r="AV942" i="7"/>
  <c r="AU942" i="7"/>
  <c r="BC941" i="7"/>
  <c r="BB941" i="7"/>
  <c r="BA941" i="7"/>
  <c r="AV941" i="7"/>
  <c r="AU941" i="7"/>
  <c r="BC940" i="7"/>
  <c r="BB940" i="7"/>
  <c r="BA940" i="7"/>
  <c r="AV940" i="7"/>
  <c r="AU940" i="7"/>
  <c r="BC939" i="7"/>
  <c r="BB939" i="7"/>
  <c r="BA939" i="7"/>
  <c r="AV939" i="7"/>
  <c r="AU939" i="7"/>
  <c r="BC938" i="7"/>
  <c r="BB938" i="7"/>
  <c r="BA938" i="7"/>
  <c r="AV938" i="7"/>
  <c r="AU938" i="7"/>
  <c r="BC937" i="7"/>
  <c r="BB937" i="7"/>
  <c r="BA937" i="7"/>
  <c r="AV937" i="7"/>
  <c r="AU937" i="7"/>
  <c r="BC936" i="7"/>
  <c r="BB936" i="7"/>
  <c r="BA936" i="7"/>
  <c r="AV936" i="7"/>
  <c r="AU936" i="7"/>
  <c r="BC935" i="7"/>
  <c r="BB935" i="7"/>
  <c r="BA935" i="7"/>
  <c r="AV935" i="7"/>
  <c r="AU935" i="7"/>
  <c r="BC934" i="7"/>
  <c r="BB934" i="7"/>
  <c r="BA934" i="7"/>
  <c r="AV934" i="7"/>
  <c r="AU934" i="7"/>
  <c r="BC933" i="7"/>
  <c r="BB933" i="7"/>
  <c r="BA933" i="7"/>
  <c r="AV933" i="7"/>
  <c r="AU933" i="7"/>
  <c r="BC932" i="7"/>
  <c r="BB932" i="7"/>
  <c r="BA932" i="7"/>
  <c r="AV932" i="7"/>
  <c r="AU932" i="7"/>
  <c r="BC931" i="7"/>
  <c r="BB931" i="7"/>
  <c r="BA931" i="7"/>
  <c r="AV931" i="7"/>
  <c r="AU931" i="7"/>
  <c r="BC930" i="7"/>
  <c r="BB930" i="7"/>
  <c r="BA930" i="7"/>
  <c r="AV930" i="7"/>
  <c r="AU930" i="7"/>
  <c r="BC929" i="7"/>
  <c r="BB929" i="7"/>
  <c r="BA929" i="7"/>
  <c r="AV929" i="7"/>
  <c r="AU929" i="7"/>
  <c r="BC928" i="7"/>
  <c r="BB928" i="7"/>
  <c r="BA928" i="7"/>
  <c r="AV928" i="7"/>
  <c r="AU928" i="7"/>
  <c r="BC927" i="7"/>
  <c r="BB927" i="7"/>
  <c r="BA927" i="7"/>
  <c r="AV927" i="7"/>
  <c r="AU927" i="7"/>
  <c r="BC926" i="7"/>
  <c r="BB926" i="7"/>
  <c r="BA926" i="7"/>
  <c r="AV926" i="7"/>
  <c r="AU926" i="7"/>
  <c r="BC925" i="7"/>
  <c r="BB925" i="7"/>
  <c r="BA925" i="7"/>
  <c r="AV925" i="7"/>
  <c r="AU925" i="7"/>
  <c r="BC924" i="7"/>
  <c r="BB924" i="7"/>
  <c r="BA924" i="7"/>
  <c r="AV924" i="7"/>
  <c r="AU924" i="7"/>
  <c r="BC923" i="7"/>
  <c r="BB923" i="7"/>
  <c r="BA923" i="7"/>
  <c r="AV923" i="7"/>
  <c r="AU923" i="7"/>
  <c r="BC922" i="7"/>
  <c r="BB922" i="7"/>
  <c r="BA922" i="7"/>
  <c r="AV922" i="7"/>
  <c r="AU922" i="7"/>
  <c r="BC921" i="7"/>
  <c r="BB921" i="7"/>
  <c r="BA921" i="7"/>
  <c r="AV921" i="7"/>
  <c r="AU921" i="7"/>
  <c r="BC920" i="7"/>
  <c r="BB920" i="7"/>
  <c r="BA920" i="7"/>
  <c r="AV920" i="7"/>
  <c r="AU920" i="7"/>
  <c r="BC919" i="7"/>
  <c r="BB919" i="7"/>
  <c r="BA919" i="7"/>
  <c r="AV919" i="7"/>
  <c r="AU919" i="7"/>
  <c r="BC918" i="7"/>
  <c r="BB918" i="7"/>
  <c r="BA918" i="7"/>
  <c r="AV918" i="7"/>
  <c r="AU918" i="7"/>
  <c r="BC917" i="7"/>
  <c r="BB917" i="7"/>
  <c r="BA917" i="7"/>
  <c r="AV917" i="7"/>
  <c r="AU917" i="7"/>
  <c r="BC916" i="7"/>
  <c r="BB916" i="7"/>
  <c r="BA916" i="7"/>
  <c r="AV916" i="7"/>
  <c r="AU916" i="7"/>
  <c r="BC915" i="7"/>
  <c r="BB915" i="7"/>
  <c r="BA915" i="7"/>
  <c r="AV915" i="7"/>
  <c r="AU915" i="7"/>
  <c r="BC914" i="7"/>
  <c r="BB914" i="7"/>
  <c r="BA914" i="7"/>
  <c r="AV914" i="7"/>
  <c r="AU914" i="7"/>
  <c r="BC913" i="7"/>
  <c r="BB913" i="7"/>
  <c r="BA913" i="7"/>
  <c r="AV913" i="7"/>
  <c r="AU913" i="7"/>
  <c r="BC912" i="7"/>
  <c r="BB912" i="7"/>
  <c r="BA912" i="7"/>
  <c r="AV912" i="7"/>
  <c r="AU912" i="7"/>
  <c r="BC911" i="7"/>
  <c r="BB911" i="7"/>
  <c r="BA911" i="7"/>
  <c r="AV911" i="7"/>
  <c r="AU911" i="7"/>
  <c r="BC910" i="7"/>
  <c r="BB910" i="7"/>
  <c r="BA910" i="7"/>
  <c r="AV910" i="7"/>
  <c r="AU910" i="7"/>
  <c r="BC909" i="7"/>
  <c r="BB909" i="7"/>
  <c r="BA909" i="7"/>
  <c r="AV909" i="7"/>
  <c r="AU909" i="7"/>
  <c r="BC908" i="7"/>
  <c r="BB908" i="7"/>
  <c r="BA908" i="7"/>
  <c r="AV908" i="7"/>
  <c r="AU908" i="7"/>
  <c r="BC907" i="7"/>
  <c r="BB907" i="7"/>
  <c r="BA907" i="7"/>
  <c r="AV907" i="7"/>
  <c r="AU907" i="7"/>
  <c r="BC906" i="7"/>
  <c r="BB906" i="7"/>
  <c r="BA906" i="7"/>
  <c r="AV906" i="7"/>
  <c r="AU906" i="7"/>
  <c r="BC905" i="7"/>
  <c r="BB905" i="7"/>
  <c r="BA905" i="7"/>
  <c r="AV905" i="7"/>
  <c r="AU905" i="7"/>
  <c r="BC904" i="7"/>
  <c r="BB904" i="7"/>
  <c r="BA904" i="7"/>
  <c r="AV904" i="7"/>
  <c r="AU904" i="7"/>
  <c r="BC903" i="7"/>
  <c r="BB903" i="7"/>
  <c r="BA903" i="7"/>
  <c r="AV903" i="7"/>
  <c r="AU903" i="7"/>
  <c r="BC902" i="7"/>
  <c r="BB902" i="7"/>
  <c r="BA902" i="7"/>
  <c r="AV902" i="7"/>
  <c r="AU902" i="7"/>
  <c r="BC901" i="7"/>
  <c r="BB901" i="7"/>
  <c r="BA901" i="7"/>
  <c r="AV901" i="7"/>
  <c r="AU901" i="7"/>
  <c r="BC900" i="7"/>
  <c r="BB900" i="7"/>
  <c r="BA900" i="7"/>
  <c r="AV900" i="7"/>
  <c r="AU900" i="7"/>
  <c r="BC899" i="7"/>
  <c r="BB899" i="7"/>
  <c r="BA899" i="7"/>
  <c r="AV899" i="7"/>
  <c r="AU899" i="7"/>
  <c r="BC898" i="7"/>
  <c r="BB898" i="7"/>
  <c r="BA898" i="7"/>
  <c r="AV898" i="7"/>
  <c r="AU898" i="7"/>
  <c r="BC897" i="7"/>
  <c r="BB897" i="7"/>
  <c r="BA897" i="7"/>
  <c r="AV897" i="7"/>
  <c r="AU897" i="7"/>
  <c r="BC896" i="7"/>
  <c r="BB896" i="7"/>
  <c r="BA896" i="7"/>
  <c r="AV896" i="7"/>
  <c r="AU896" i="7"/>
  <c r="BC895" i="7"/>
  <c r="BB895" i="7"/>
  <c r="BA895" i="7"/>
  <c r="AV895" i="7"/>
  <c r="AU895" i="7"/>
  <c r="BC894" i="7"/>
  <c r="BB894" i="7"/>
  <c r="BA894" i="7"/>
  <c r="AV894" i="7"/>
  <c r="AU894" i="7"/>
  <c r="BC893" i="7"/>
  <c r="BB893" i="7"/>
  <c r="BA893" i="7"/>
  <c r="AV893" i="7"/>
  <c r="AU893" i="7"/>
  <c r="BC892" i="7"/>
  <c r="BB892" i="7"/>
  <c r="BA892" i="7"/>
  <c r="AV892" i="7"/>
  <c r="AU892" i="7"/>
  <c r="BC891" i="7"/>
  <c r="BB891" i="7"/>
  <c r="BA891" i="7"/>
  <c r="AV891" i="7"/>
  <c r="AU891" i="7"/>
  <c r="BC890" i="7"/>
  <c r="BB890" i="7"/>
  <c r="BA890" i="7"/>
  <c r="AV890" i="7"/>
  <c r="AU890" i="7"/>
  <c r="BC889" i="7"/>
  <c r="BB889" i="7"/>
  <c r="BA889" i="7"/>
  <c r="AV889" i="7"/>
  <c r="AU889" i="7"/>
  <c r="BC888" i="7"/>
  <c r="BB888" i="7"/>
  <c r="BA888" i="7"/>
  <c r="AV888" i="7"/>
  <c r="AU888" i="7"/>
  <c r="BC887" i="7"/>
  <c r="BB887" i="7"/>
  <c r="BA887" i="7"/>
  <c r="AV887" i="7"/>
  <c r="AU887" i="7"/>
  <c r="BC886" i="7"/>
  <c r="BB886" i="7"/>
  <c r="BA886" i="7"/>
  <c r="AV886" i="7"/>
  <c r="AU886" i="7"/>
  <c r="BC885" i="7"/>
  <c r="BB885" i="7"/>
  <c r="BA885" i="7"/>
  <c r="AV885" i="7"/>
  <c r="AU885" i="7"/>
  <c r="BC884" i="7"/>
  <c r="BB884" i="7"/>
  <c r="BA884" i="7"/>
  <c r="AV884" i="7"/>
  <c r="AU884" i="7"/>
  <c r="BC883" i="7"/>
  <c r="BB883" i="7"/>
  <c r="BA883" i="7"/>
  <c r="AV883" i="7"/>
  <c r="AU883" i="7"/>
  <c r="BC882" i="7"/>
  <c r="BB882" i="7"/>
  <c r="BA882" i="7"/>
  <c r="AV882" i="7"/>
  <c r="AU882" i="7"/>
  <c r="BC881" i="7"/>
  <c r="BB881" i="7"/>
  <c r="BA881" i="7"/>
  <c r="AV881" i="7"/>
  <c r="AU881" i="7"/>
  <c r="BC880" i="7"/>
  <c r="BB880" i="7"/>
  <c r="BA880" i="7"/>
  <c r="AV880" i="7"/>
  <c r="AU880" i="7"/>
  <c r="BC879" i="7"/>
  <c r="BB879" i="7"/>
  <c r="BA879" i="7"/>
  <c r="AV879" i="7"/>
  <c r="AU879" i="7"/>
  <c r="BC878" i="7"/>
  <c r="BB878" i="7"/>
  <c r="BA878" i="7"/>
  <c r="AV878" i="7"/>
  <c r="AU878" i="7"/>
  <c r="BC877" i="7"/>
  <c r="BB877" i="7"/>
  <c r="BA877" i="7"/>
  <c r="AV877" i="7"/>
  <c r="AU877" i="7"/>
  <c r="BC876" i="7"/>
  <c r="BB876" i="7"/>
  <c r="BA876" i="7"/>
  <c r="AV876" i="7"/>
  <c r="AU876" i="7"/>
  <c r="BC875" i="7"/>
  <c r="BB875" i="7"/>
  <c r="BA875" i="7"/>
  <c r="AV875" i="7"/>
  <c r="AU875" i="7"/>
  <c r="BC874" i="7"/>
  <c r="BB874" i="7"/>
  <c r="BA874" i="7"/>
  <c r="AV874" i="7"/>
  <c r="AU874" i="7"/>
  <c r="BC873" i="7"/>
  <c r="BB873" i="7"/>
  <c r="BA873" i="7"/>
  <c r="AV873" i="7"/>
  <c r="AU873" i="7"/>
  <c r="BC872" i="7"/>
  <c r="BB872" i="7"/>
  <c r="BA872" i="7"/>
  <c r="AV872" i="7"/>
  <c r="AU872" i="7"/>
  <c r="BC871" i="7"/>
  <c r="BB871" i="7"/>
  <c r="BA871" i="7"/>
  <c r="AV871" i="7"/>
  <c r="AU871" i="7"/>
  <c r="BC870" i="7"/>
  <c r="BB870" i="7"/>
  <c r="BA870" i="7"/>
  <c r="AV870" i="7"/>
  <c r="AU870" i="7"/>
  <c r="BC869" i="7"/>
  <c r="BB869" i="7"/>
  <c r="BA869" i="7"/>
  <c r="AV869" i="7"/>
  <c r="AU869" i="7"/>
  <c r="BC868" i="7"/>
  <c r="BB868" i="7"/>
  <c r="BA868" i="7"/>
  <c r="AV868" i="7"/>
  <c r="AU868" i="7"/>
  <c r="BC867" i="7"/>
  <c r="BB867" i="7"/>
  <c r="BA867" i="7"/>
  <c r="AV867" i="7"/>
  <c r="AU867" i="7"/>
  <c r="BC866" i="7"/>
  <c r="BB866" i="7"/>
  <c r="BA866" i="7"/>
  <c r="AV866" i="7"/>
  <c r="AU866" i="7"/>
  <c r="BC865" i="7"/>
  <c r="BB865" i="7"/>
  <c r="BA865" i="7"/>
  <c r="AV865" i="7"/>
  <c r="AU865" i="7"/>
  <c r="BC864" i="7"/>
  <c r="BB864" i="7"/>
  <c r="BA864" i="7"/>
  <c r="AV864" i="7"/>
  <c r="AU864" i="7"/>
  <c r="BC863" i="7"/>
  <c r="BB863" i="7"/>
  <c r="BA863" i="7"/>
  <c r="AV863" i="7"/>
  <c r="AU863" i="7"/>
  <c r="BC862" i="7"/>
  <c r="BB862" i="7"/>
  <c r="BA862" i="7"/>
  <c r="AV862" i="7"/>
  <c r="AU862" i="7"/>
  <c r="BC861" i="7"/>
  <c r="BB861" i="7"/>
  <c r="BA861" i="7"/>
  <c r="AV861" i="7"/>
  <c r="AU861" i="7"/>
  <c r="BC860" i="7"/>
  <c r="BB860" i="7"/>
  <c r="BA860" i="7"/>
  <c r="AV860" i="7"/>
  <c r="AU860" i="7"/>
  <c r="BC859" i="7"/>
  <c r="BB859" i="7"/>
  <c r="BA859" i="7"/>
  <c r="AV859" i="7"/>
  <c r="AU859" i="7"/>
  <c r="BC858" i="7"/>
  <c r="BB858" i="7"/>
  <c r="BA858" i="7"/>
  <c r="AV858" i="7"/>
  <c r="AU858" i="7"/>
  <c r="BC857" i="7"/>
  <c r="BB857" i="7"/>
  <c r="BA857" i="7"/>
  <c r="AV857" i="7"/>
  <c r="AU857" i="7"/>
  <c r="BC856" i="7"/>
  <c r="BB856" i="7"/>
  <c r="BA856" i="7"/>
  <c r="AV856" i="7"/>
  <c r="AU856" i="7"/>
  <c r="BC855" i="7"/>
  <c r="BB855" i="7"/>
  <c r="BA855" i="7"/>
  <c r="AV855" i="7"/>
  <c r="AU855" i="7"/>
  <c r="BC854" i="7"/>
  <c r="BB854" i="7"/>
  <c r="BA854" i="7"/>
  <c r="AV854" i="7"/>
  <c r="AU854" i="7"/>
  <c r="BC853" i="7"/>
  <c r="BB853" i="7"/>
  <c r="BA853" i="7"/>
  <c r="AV853" i="7"/>
  <c r="AU853" i="7"/>
  <c r="BC852" i="7"/>
  <c r="BB852" i="7"/>
  <c r="BA852" i="7"/>
  <c r="AV852" i="7"/>
  <c r="AU852" i="7"/>
  <c r="BC851" i="7"/>
  <c r="BB851" i="7"/>
  <c r="BA851" i="7"/>
  <c r="AV851" i="7"/>
  <c r="AU851" i="7"/>
  <c r="BC850" i="7"/>
  <c r="BB850" i="7"/>
  <c r="BA850" i="7"/>
  <c r="AV850" i="7"/>
  <c r="AU850" i="7"/>
  <c r="BC849" i="7"/>
  <c r="BB849" i="7"/>
  <c r="BA849" i="7"/>
  <c r="AV849" i="7"/>
  <c r="AU849" i="7"/>
  <c r="BC848" i="7"/>
  <c r="BB848" i="7"/>
  <c r="BA848" i="7"/>
  <c r="AV848" i="7"/>
  <c r="AU848" i="7"/>
  <c r="BC847" i="7"/>
  <c r="BB847" i="7"/>
  <c r="BA847" i="7"/>
  <c r="AV847" i="7"/>
  <c r="AU847" i="7"/>
  <c r="BC846" i="7"/>
  <c r="BB846" i="7"/>
  <c r="BA846" i="7"/>
  <c r="AV846" i="7"/>
  <c r="AU846" i="7"/>
  <c r="BC845" i="7"/>
  <c r="BB845" i="7"/>
  <c r="BA845" i="7"/>
  <c r="AV845" i="7"/>
  <c r="AU845" i="7"/>
  <c r="BC844" i="7"/>
  <c r="BB844" i="7"/>
  <c r="BA844" i="7"/>
  <c r="AV844" i="7"/>
  <c r="AU844" i="7"/>
  <c r="BC843" i="7"/>
  <c r="BB843" i="7"/>
  <c r="BA843" i="7"/>
  <c r="AV843" i="7"/>
  <c r="AU843" i="7"/>
  <c r="BC842" i="7"/>
  <c r="BB842" i="7"/>
  <c r="BA842" i="7"/>
  <c r="AV842" i="7"/>
  <c r="AU842" i="7"/>
  <c r="BC841" i="7"/>
  <c r="BB841" i="7"/>
  <c r="BA841" i="7"/>
  <c r="AV841" i="7"/>
  <c r="AU841" i="7"/>
  <c r="BC840" i="7"/>
  <c r="BB840" i="7"/>
  <c r="BA840" i="7"/>
  <c r="AV840" i="7"/>
  <c r="AU840" i="7"/>
  <c r="BC839" i="7"/>
  <c r="BB839" i="7"/>
  <c r="BA839" i="7"/>
  <c r="AV839" i="7"/>
  <c r="AU839" i="7"/>
  <c r="BC838" i="7"/>
  <c r="BB838" i="7"/>
  <c r="BA838" i="7"/>
  <c r="AV838" i="7"/>
  <c r="AU838" i="7"/>
  <c r="BC837" i="7"/>
  <c r="BB837" i="7"/>
  <c r="BA837" i="7"/>
  <c r="AV837" i="7"/>
  <c r="AU837" i="7"/>
  <c r="BC836" i="7"/>
  <c r="BB836" i="7"/>
  <c r="BA836" i="7"/>
  <c r="AV836" i="7"/>
  <c r="AU836" i="7"/>
  <c r="BC835" i="7"/>
  <c r="BB835" i="7"/>
  <c r="BA835" i="7"/>
  <c r="AV835" i="7"/>
  <c r="AU835" i="7"/>
  <c r="BC834" i="7"/>
  <c r="BB834" i="7"/>
  <c r="BA834" i="7"/>
  <c r="AV834" i="7"/>
  <c r="AU834" i="7"/>
  <c r="BC833" i="7"/>
  <c r="BB833" i="7"/>
  <c r="BA833" i="7"/>
  <c r="AV833" i="7"/>
  <c r="AU833" i="7"/>
  <c r="BC832" i="7"/>
  <c r="BB832" i="7"/>
  <c r="BA832" i="7"/>
  <c r="AV832" i="7"/>
  <c r="AU832" i="7"/>
  <c r="BC831" i="7"/>
  <c r="BB831" i="7"/>
  <c r="BA831" i="7"/>
  <c r="AV831" i="7"/>
  <c r="AU831" i="7"/>
  <c r="BC830" i="7"/>
  <c r="BB830" i="7"/>
  <c r="BA830" i="7"/>
  <c r="AV830" i="7"/>
  <c r="AU830" i="7"/>
  <c r="BC829" i="7"/>
  <c r="BB829" i="7"/>
  <c r="BA829" i="7"/>
  <c r="AV829" i="7"/>
  <c r="AU829" i="7"/>
  <c r="BC828" i="7"/>
  <c r="BB828" i="7"/>
  <c r="BA828" i="7"/>
  <c r="AV828" i="7"/>
  <c r="AU828" i="7"/>
  <c r="BC827" i="7"/>
  <c r="BB827" i="7"/>
  <c r="BA827" i="7"/>
  <c r="AV827" i="7"/>
  <c r="AU827" i="7"/>
  <c r="BC826" i="7"/>
  <c r="BB826" i="7"/>
  <c r="BA826" i="7"/>
  <c r="AV826" i="7"/>
  <c r="AU826" i="7"/>
  <c r="BC825" i="7"/>
  <c r="BB825" i="7"/>
  <c r="BA825" i="7"/>
  <c r="AV825" i="7"/>
  <c r="AU825" i="7"/>
  <c r="BC824" i="7"/>
  <c r="BB824" i="7"/>
  <c r="BA824" i="7"/>
  <c r="AV824" i="7"/>
  <c r="AU824" i="7"/>
  <c r="BC823" i="7"/>
  <c r="BB823" i="7"/>
  <c r="BA823" i="7"/>
  <c r="AV823" i="7"/>
  <c r="AU823" i="7"/>
  <c r="BC822" i="7"/>
  <c r="BB822" i="7"/>
  <c r="BA822" i="7"/>
  <c r="AV822" i="7"/>
  <c r="AU822" i="7"/>
  <c r="BC821" i="7"/>
  <c r="BB821" i="7"/>
  <c r="BA821" i="7"/>
  <c r="AV821" i="7"/>
  <c r="AU821" i="7"/>
  <c r="BC820" i="7"/>
  <c r="BB820" i="7"/>
  <c r="BA820" i="7"/>
  <c r="AV820" i="7"/>
  <c r="AU820" i="7"/>
  <c r="BC819" i="7"/>
  <c r="BB819" i="7"/>
  <c r="BA819" i="7"/>
  <c r="AV819" i="7"/>
  <c r="AU819" i="7"/>
  <c r="BC818" i="7"/>
  <c r="BB818" i="7"/>
  <c r="BA818" i="7"/>
  <c r="AV818" i="7"/>
  <c r="AU818" i="7"/>
  <c r="BC817" i="7"/>
  <c r="BB817" i="7"/>
  <c r="BA817" i="7"/>
  <c r="AV817" i="7"/>
  <c r="AU817" i="7"/>
  <c r="BC816" i="7"/>
  <c r="BB816" i="7"/>
  <c r="BA816" i="7"/>
  <c r="AV816" i="7"/>
  <c r="AU816" i="7"/>
  <c r="BC815" i="7"/>
  <c r="BB815" i="7"/>
  <c r="BA815" i="7"/>
  <c r="AV815" i="7"/>
  <c r="AU815" i="7"/>
  <c r="BC814" i="7"/>
  <c r="BB814" i="7"/>
  <c r="BA814" i="7"/>
  <c r="AV814" i="7"/>
  <c r="AU814" i="7"/>
  <c r="BC813" i="7"/>
  <c r="BB813" i="7"/>
  <c r="BA813" i="7"/>
  <c r="AV813" i="7"/>
  <c r="AU813" i="7"/>
  <c r="BC812" i="7"/>
  <c r="BB812" i="7"/>
  <c r="BA812" i="7"/>
  <c r="AV812" i="7"/>
  <c r="AU812" i="7"/>
  <c r="BC811" i="7"/>
  <c r="BB811" i="7"/>
  <c r="BA811" i="7"/>
  <c r="AV811" i="7"/>
  <c r="AU811" i="7"/>
  <c r="BC810" i="7"/>
  <c r="BB810" i="7"/>
  <c r="BA810" i="7"/>
  <c r="AV810" i="7"/>
  <c r="AU810" i="7"/>
  <c r="BC809" i="7"/>
  <c r="BB809" i="7"/>
  <c r="BA809" i="7"/>
  <c r="AV809" i="7"/>
  <c r="AU809" i="7"/>
  <c r="BC808" i="7"/>
  <c r="BB808" i="7"/>
  <c r="BA808" i="7"/>
  <c r="AV808" i="7"/>
  <c r="AU808" i="7"/>
  <c r="BC807" i="7"/>
  <c r="BB807" i="7"/>
  <c r="BA807" i="7"/>
  <c r="AV807" i="7"/>
  <c r="AU807" i="7"/>
  <c r="BC806" i="7"/>
  <c r="BB806" i="7"/>
  <c r="BA806" i="7"/>
  <c r="AV806" i="7"/>
  <c r="AU806" i="7"/>
  <c r="BC805" i="7"/>
  <c r="BB805" i="7"/>
  <c r="BA805" i="7"/>
  <c r="AV805" i="7"/>
  <c r="AU805" i="7"/>
  <c r="BC804" i="7"/>
  <c r="BB804" i="7"/>
  <c r="BA804" i="7"/>
  <c r="AV804" i="7"/>
  <c r="AU804" i="7"/>
  <c r="BC803" i="7"/>
  <c r="BB803" i="7"/>
  <c r="BA803" i="7"/>
  <c r="AV803" i="7"/>
  <c r="AU803" i="7"/>
  <c r="BC802" i="7"/>
  <c r="BB802" i="7"/>
  <c r="BA802" i="7"/>
  <c r="AV802" i="7"/>
  <c r="AU802" i="7"/>
  <c r="BC801" i="7"/>
  <c r="BB801" i="7"/>
  <c r="BA801" i="7"/>
  <c r="AV801" i="7"/>
  <c r="AU801" i="7"/>
  <c r="BC800" i="7"/>
  <c r="BB800" i="7"/>
  <c r="BA800" i="7"/>
  <c r="AV800" i="7"/>
  <c r="AU800" i="7"/>
  <c r="BC799" i="7"/>
  <c r="BB799" i="7"/>
  <c r="BA799" i="7"/>
  <c r="AV799" i="7"/>
  <c r="AU799" i="7"/>
  <c r="BC798" i="7"/>
  <c r="BB798" i="7"/>
  <c r="BA798" i="7"/>
  <c r="AV798" i="7"/>
  <c r="AU798" i="7"/>
  <c r="BC797" i="7"/>
  <c r="BB797" i="7"/>
  <c r="BA797" i="7"/>
  <c r="AV797" i="7"/>
  <c r="AU797" i="7"/>
  <c r="BC796" i="7"/>
  <c r="BB796" i="7"/>
  <c r="BA796" i="7"/>
  <c r="AV796" i="7"/>
  <c r="AU796" i="7"/>
  <c r="BC795" i="7"/>
  <c r="BB795" i="7"/>
  <c r="BA795" i="7"/>
  <c r="AV795" i="7"/>
  <c r="AU795" i="7"/>
  <c r="BC794" i="7"/>
  <c r="BB794" i="7"/>
  <c r="BA794" i="7"/>
  <c r="AV794" i="7"/>
  <c r="AU794" i="7"/>
  <c r="BC793" i="7"/>
  <c r="BB793" i="7"/>
  <c r="BA793" i="7"/>
  <c r="AV793" i="7"/>
  <c r="AU793" i="7"/>
  <c r="BC792" i="7"/>
  <c r="BB792" i="7"/>
  <c r="BA792" i="7"/>
  <c r="AV792" i="7"/>
  <c r="AU792" i="7"/>
  <c r="BC791" i="7"/>
  <c r="BB791" i="7"/>
  <c r="BA791" i="7"/>
  <c r="AV791" i="7"/>
  <c r="AU791" i="7"/>
  <c r="BC790" i="7"/>
  <c r="BB790" i="7"/>
  <c r="BA790" i="7"/>
  <c r="AV790" i="7"/>
  <c r="AU790" i="7"/>
  <c r="BC789" i="7"/>
  <c r="BB789" i="7"/>
  <c r="BA789" i="7"/>
  <c r="AV789" i="7"/>
  <c r="AU789" i="7"/>
  <c r="BC788" i="7"/>
  <c r="BB788" i="7"/>
  <c r="BA788" i="7"/>
  <c r="AV788" i="7"/>
  <c r="AU788" i="7"/>
  <c r="BC787" i="7"/>
  <c r="BB787" i="7"/>
  <c r="BA787" i="7"/>
  <c r="AV787" i="7"/>
  <c r="AU787" i="7"/>
  <c r="BC786" i="7"/>
  <c r="BB786" i="7"/>
  <c r="BA786" i="7"/>
  <c r="AV786" i="7"/>
  <c r="AU786" i="7"/>
  <c r="BC785" i="7"/>
  <c r="BB785" i="7"/>
  <c r="BA785" i="7"/>
  <c r="AV785" i="7"/>
  <c r="AU785" i="7"/>
  <c r="BC784" i="7"/>
  <c r="BB784" i="7"/>
  <c r="BA784" i="7"/>
  <c r="AV784" i="7"/>
  <c r="AU784" i="7"/>
  <c r="BC783" i="7"/>
  <c r="BB783" i="7"/>
  <c r="BA783" i="7"/>
  <c r="AV783" i="7"/>
  <c r="AU783" i="7"/>
  <c r="BC782" i="7"/>
  <c r="BB782" i="7"/>
  <c r="BA782" i="7"/>
  <c r="AV782" i="7"/>
  <c r="AU782" i="7"/>
  <c r="BC781" i="7"/>
  <c r="BB781" i="7"/>
  <c r="BA781" i="7"/>
  <c r="AV781" i="7"/>
  <c r="AU781" i="7"/>
  <c r="BC780" i="7"/>
  <c r="BB780" i="7"/>
  <c r="BA780" i="7"/>
  <c r="AV780" i="7"/>
  <c r="AU780" i="7"/>
  <c r="BC779" i="7"/>
  <c r="BB779" i="7"/>
  <c r="BA779" i="7"/>
  <c r="AV779" i="7"/>
  <c r="AU779" i="7"/>
  <c r="BC778" i="7"/>
  <c r="BB778" i="7"/>
  <c r="BA778" i="7"/>
  <c r="AV778" i="7"/>
  <c r="AU778" i="7"/>
  <c r="BC777" i="7"/>
  <c r="BB777" i="7"/>
  <c r="BA777" i="7"/>
  <c r="AV777" i="7"/>
  <c r="AU777" i="7"/>
  <c r="BC776" i="7"/>
  <c r="BB776" i="7"/>
  <c r="BA776" i="7"/>
  <c r="AV776" i="7"/>
  <c r="AU776" i="7"/>
  <c r="BC775" i="7"/>
  <c r="BB775" i="7"/>
  <c r="BA775" i="7"/>
  <c r="AV775" i="7"/>
  <c r="AU775" i="7"/>
  <c r="BC774" i="7"/>
  <c r="BB774" i="7"/>
  <c r="BA774" i="7"/>
  <c r="AV774" i="7"/>
  <c r="AU774" i="7"/>
  <c r="BC773" i="7"/>
  <c r="BB773" i="7"/>
  <c r="BA773" i="7"/>
  <c r="AV773" i="7"/>
  <c r="AU773" i="7"/>
  <c r="BC772" i="7"/>
  <c r="BB772" i="7"/>
  <c r="BA772" i="7"/>
  <c r="AV772" i="7"/>
  <c r="AU772" i="7"/>
  <c r="BC771" i="7"/>
  <c r="BB771" i="7"/>
  <c r="BA771" i="7"/>
  <c r="AV771" i="7"/>
  <c r="AU771" i="7"/>
  <c r="BC770" i="7"/>
  <c r="BB770" i="7"/>
  <c r="BA770" i="7"/>
  <c r="AV770" i="7"/>
  <c r="AU770" i="7"/>
  <c r="BC769" i="7"/>
  <c r="BB769" i="7"/>
  <c r="BA769" i="7"/>
  <c r="AV769" i="7"/>
  <c r="AU769" i="7"/>
  <c r="BC768" i="7"/>
  <c r="BB768" i="7"/>
  <c r="BA768" i="7"/>
  <c r="AV768" i="7"/>
  <c r="AU768" i="7"/>
  <c r="BC767" i="7"/>
  <c r="BB767" i="7"/>
  <c r="BA767" i="7"/>
  <c r="AV767" i="7"/>
  <c r="AU767" i="7"/>
  <c r="BC766" i="7"/>
  <c r="BB766" i="7"/>
  <c r="BA766" i="7"/>
  <c r="AV766" i="7"/>
  <c r="AU766" i="7"/>
  <c r="BC765" i="7"/>
  <c r="BB765" i="7"/>
  <c r="BA765" i="7"/>
  <c r="AV765" i="7"/>
  <c r="AU765" i="7"/>
  <c r="BC764" i="7"/>
  <c r="BB764" i="7"/>
  <c r="BA764" i="7"/>
  <c r="AV764" i="7"/>
  <c r="AU764" i="7"/>
  <c r="BC763" i="7"/>
  <c r="BB763" i="7"/>
  <c r="BA763" i="7"/>
  <c r="AV763" i="7"/>
  <c r="AU763" i="7"/>
  <c r="BC762" i="7"/>
  <c r="BB762" i="7"/>
  <c r="BA762" i="7"/>
  <c r="AV762" i="7"/>
  <c r="AU762" i="7"/>
  <c r="BC761" i="7"/>
  <c r="BB761" i="7"/>
  <c r="BA761" i="7"/>
  <c r="AV761" i="7"/>
  <c r="AU761" i="7"/>
  <c r="BC760" i="7"/>
  <c r="BB760" i="7"/>
  <c r="BA760" i="7"/>
  <c r="AV760" i="7"/>
  <c r="AU760" i="7"/>
  <c r="BC759" i="7"/>
  <c r="BB759" i="7"/>
  <c r="BA759" i="7"/>
  <c r="AV759" i="7"/>
  <c r="AU759" i="7"/>
  <c r="BC758" i="7"/>
  <c r="BB758" i="7"/>
  <c r="BA758" i="7"/>
  <c r="AV758" i="7"/>
  <c r="AU758" i="7"/>
  <c r="BC757" i="7"/>
  <c r="BB757" i="7"/>
  <c r="BA757" i="7"/>
  <c r="AV757" i="7"/>
  <c r="AU757" i="7"/>
  <c r="BC756" i="7"/>
  <c r="BB756" i="7"/>
  <c r="BA756" i="7"/>
  <c r="AV756" i="7"/>
  <c r="AU756" i="7"/>
  <c r="BC755" i="7"/>
  <c r="BB755" i="7"/>
  <c r="BA755" i="7"/>
  <c r="AV755" i="7"/>
  <c r="AU755" i="7"/>
  <c r="BC754" i="7"/>
  <c r="BB754" i="7"/>
  <c r="BA754" i="7"/>
  <c r="AV754" i="7"/>
  <c r="AU754" i="7"/>
  <c r="BC753" i="7"/>
  <c r="BB753" i="7"/>
  <c r="BA753" i="7"/>
  <c r="AV753" i="7"/>
  <c r="AU753" i="7"/>
  <c r="BC752" i="7"/>
  <c r="BB752" i="7"/>
  <c r="BA752" i="7"/>
  <c r="AV752" i="7"/>
  <c r="AU752" i="7"/>
  <c r="BC751" i="7"/>
  <c r="BB751" i="7"/>
  <c r="BA751" i="7"/>
  <c r="AV751" i="7"/>
  <c r="AU751" i="7"/>
  <c r="BC750" i="7"/>
  <c r="BB750" i="7"/>
  <c r="BA750" i="7"/>
  <c r="AV750" i="7"/>
  <c r="AU750" i="7"/>
  <c r="BC749" i="7"/>
  <c r="BB749" i="7"/>
  <c r="BA749" i="7"/>
  <c r="AV749" i="7"/>
  <c r="AU749" i="7"/>
  <c r="BC748" i="7"/>
  <c r="BB748" i="7"/>
  <c r="BA748" i="7"/>
  <c r="AV748" i="7"/>
  <c r="AU748" i="7"/>
  <c r="BC747" i="7"/>
  <c r="BB747" i="7"/>
  <c r="BA747" i="7"/>
  <c r="AV747" i="7"/>
  <c r="AU747" i="7"/>
  <c r="BC746" i="7"/>
  <c r="BB746" i="7"/>
  <c r="BA746" i="7"/>
  <c r="AV746" i="7"/>
  <c r="AU746" i="7"/>
  <c r="BC745" i="7"/>
  <c r="BB745" i="7"/>
  <c r="BA745" i="7"/>
  <c r="AV745" i="7"/>
  <c r="AU745" i="7"/>
  <c r="BC744" i="7"/>
  <c r="BB744" i="7"/>
  <c r="BA744" i="7"/>
  <c r="AV744" i="7"/>
  <c r="AU744" i="7"/>
  <c r="BC743" i="7"/>
  <c r="BB743" i="7"/>
  <c r="BA743" i="7"/>
  <c r="AV743" i="7"/>
  <c r="AU743" i="7"/>
  <c r="BC742" i="7"/>
  <c r="BB742" i="7"/>
  <c r="BA742" i="7"/>
  <c r="AV742" i="7"/>
  <c r="AU742" i="7"/>
  <c r="BC741" i="7"/>
  <c r="BB741" i="7"/>
  <c r="BA741" i="7"/>
  <c r="AV741" i="7"/>
  <c r="AU741" i="7"/>
  <c r="BC740" i="7"/>
  <c r="BB740" i="7"/>
  <c r="BA740" i="7"/>
  <c r="AV740" i="7"/>
  <c r="AU740" i="7"/>
  <c r="BC739" i="7"/>
  <c r="BB739" i="7"/>
  <c r="BA739" i="7"/>
  <c r="AV739" i="7"/>
  <c r="AU739" i="7"/>
  <c r="BC738" i="7"/>
  <c r="BB738" i="7"/>
  <c r="BA738" i="7"/>
  <c r="AV738" i="7"/>
  <c r="AU738" i="7"/>
  <c r="BC737" i="7"/>
  <c r="BB737" i="7"/>
  <c r="BA737" i="7"/>
  <c r="AV737" i="7"/>
  <c r="AU737" i="7"/>
  <c r="BC736" i="7"/>
  <c r="BB736" i="7"/>
  <c r="BA736" i="7"/>
  <c r="AV736" i="7"/>
  <c r="AU736" i="7"/>
  <c r="BC735" i="7"/>
  <c r="BB735" i="7"/>
  <c r="BA735" i="7"/>
  <c r="AV735" i="7"/>
  <c r="AU735" i="7"/>
  <c r="BC734" i="7"/>
  <c r="BB734" i="7"/>
  <c r="BA734" i="7"/>
  <c r="AV734" i="7"/>
  <c r="AU734" i="7"/>
  <c r="BC733" i="7"/>
  <c r="BB733" i="7"/>
  <c r="BA733" i="7"/>
  <c r="AV733" i="7"/>
  <c r="AU733" i="7"/>
  <c r="BC732" i="7"/>
  <c r="BB732" i="7"/>
  <c r="BA732" i="7"/>
  <c r="AV732" i="7"/>
  <c r="AU732" i="7"/>
  <c r="BC731" i="7"/>
  <c r="BB731" i="7"/>
  <c r="BA731" i="7"/>
  <c r="AV731" i="7"/>
  <c r="AU731" i="7"/>
  <c r="BC730" i="7"/>
  <c r="BB730" i="7"/>
  <c r="BA730" i="7"/>
  <c r="AV730" i="7"/>
  <c r="AU730" i="7"/>
  <c r="BC729" i="7"/>
  <c r="BB729" i="7"/>
  <c r="BA729" i="7"/>
  <c r="AV729" i="7"/>
  <c r="AU729" i="7"/>
  <c r="BC728" i="7"/>
  <c r="BB728" i="7"/>
  <c r="BA728" i="7"/>
  <c r="AV728" i="7"/>
  <c r="AU728" i="7"/>
  <c r="BC727" i="7"/>
  <c r="BB727" i="7"/>
  <c r="BA727" i="7"/>
  <c r="AV727" i="7"/>
  <c r="AU727" i="7"/>
  <c r="BC726" i="7"/>
  <c r="BB726" i="7"/>
  <c r="BA726" i="7"/>
  <c r="AV726" i="7"/>
  <c r="AU726" i="7"/>
  <c r="BC725" i="7"/>
  <c r="BB725" i="7"/>
  <c r="BA725" i="7"/>
  <c r="AV725" i="7"/>
  <c r="AU725" i="7"/>
  <c r="BC724" i="7"/>
  <c r="BB724" i="7"/>
  <c r="BA724" i="7"/>
  <c r="AV724" i="7"/>
  <c r="AU724" i="7"/>
  <c r="BC723" i="7"/>
  <c r="BB723" i="7"/>
  <c r="BA723" i="7"/>
  <c r="AV723" i="7"/>
  <c r="AU723" i="7"/>
  <c r="BC722" i="7"/>
  <c r="BB722" i="7"/>
  <c r="BA722" i="7"/>
  <c r="AV722" i="7"/>
  <c r="AU722" i="7"/>
  <c r="BC721" i="7"/>
  <c r="BB721" i="7"/>
  <c r="BA721" i="7"/>
  <c r="AV721" i="7"/>
  <c r="AU721" i="7"/>
  <c r="BC720" i="7"/>
  <c r="BB720" i="7"/>
  <c r="BA720" i="7"/>
  <c r="AV720" i="7"/>
  <c r="AU720" i="7"/>
  <c r="BC719" i="7"/>
  <c r="BB719" i="7"/>
  <c r="BA719" i="7"/>
  <c r="AV719" i="7"/>
  <c r="AU719" i="7"/>
  <c r="BC718" i="7"/>
  <c r="BB718" i="7"/>
  <c r="BA718" i="7"/>
  <c r="AV718" i="7"/>
  <c r="AU718" i="7"/>
  <c r="BC717" i="7"/>
  <c r="BB717" i="7"/>
  <c r="BA717" i="7"/>
  <c r="AV717" i="7"/>
  <c r="AU717" i="7"/>
  <c r="BC716" i="7"/>
  <c r="BB716" i="7"/>
  <c r="BA716" i="7"/>
  <c r="AV716" i="7"/>
  <c r="AU716" i="7"/>
  <c r="BC715" i="7"/>
  <c r="BB715" i="7"/>
  <c r="BA715" i="7"/>
  <c r="AV715" i="7"/>
  <c r="AU715" i="7"/>
  <c r="BC714" i="7"/>
  <c r="BB714" i="7"/>
  <c r="BA714" i="7"/>
  <c r="AV714" i="7"/>
  <c r="AU714" i="7"/>
  <c r="BC713" i="7"/>
  <c r="BB713" i="7"/>
  <c r="BA713" i="7"/>
  <c r="AV713" i="7"/>
  <c r="AU713" i="7"/>
  <c r="BC712" i="7"/>
  <c r="BB712" i="7"/>
  <c r="BA712" i="7"/>
  <c r="AV712" i="7"/>
  <c r="AU712" i="7"/>
  <c r="BC711" i="7"/>
  <c r="BB711" i="7"/>
  <c r="BA711" i="7"/>
  <c r="AV711" i="7"/>
  <c r="AU711" i="7"/>
  <c r="BC710" i="7"/>
  <c r="BB710" i="7"/>
  <c r="BA710" i="7"/>
  <c r="AV710" i="7"/>
  <c r="AU710" i="7"/>
  <c r="BC709" i="7"/>
  <c r="BB709" i="7"/>
  <c r="BA709" i="7"/>
  <c r="AV709" i="7"/>
  <c r="AU709" i="7"/>
  <c r="BC708" i="7"/>
  <c r="BB708" i="7"/>
  <c r="BA708" i="7"/>
  <c r="AV708" i="7"/>
  <c r="AU708" i="7"/>
  <c r="BC707" i="7"/>
  <c r="BB707" i="7"/>
  <c r="BA707" i="7"/>
  <c r="AV707" i="7"/>
  <c r="AU707" i="7"/>
  <c r="BC706" i="7"/>
  <c r="BB706" i="7"/>
  <c r="BA706" i="7"/>
  <c r="AV706" i="7"/>
  <c r="AU706" i="7"/>
  <c r="BC705" i="7"/>
  <c r="BB705" i="7"/>
  <c r="BA705" i="7"/>
  <c r="AV705" i="7"/>
  <c r="AU705" i="7"/>
  <c r="BC704" i="7"/>
  <c r="BB704" i="7"/>
  <c r="BA704" i="7"/>
  <c r="AV704" i="7"/>
  <c r="AU704" i="7"/>
  <c r="BC703" i="7"/>
  <c r="BB703" i="7"/>
  <c r="BA703" i="7"/>
  <c r="AV703" i="7"/>
  <c r="AU703" i="7"/>
  <c r="BC702" i="7"/>
  <c r="BB702" i="7"/>
  <c r="BA702" i="7"/>
  <c r="AV702" i="7"/>
  <c r="AU702" i="7"/>
  <c r="BC701" i="7"/>
  <c r="BB701" i="7"/>
  <c r="BA701" i="7"/>
  <c r="AV701" i="7"/>
  <c r="AU701" i="7"/>
  <c r="BC700" i="7"/>
  <c r="BB700" i="7"/>
  <c r="BA700" i="7"/>
  <c r="AV700" i="7"/>
  <c r="AU700" i="7"/>
  <c r="BC699" i="7"/>
  <c r="BB699" i="7"/>
  <c r="BA699" i="7"/>
  <c r="AV699" i="7"/>
  <c r="AU699" i="7"/>
  <c r="BC698" i="7"/>
  <c r="BB698" i="7"/>
  <c r="BA698" i="7"/>
  <c r="AV698" i="7"/>
  <c r="AU698" i="7"/>
  <c r="BC697" i="7"/>
  <c r="BB697" i="7"/>
  <c r="BA697" i="7"/>
  <c r="AV697" i="7"/>
  <c r="AU697" i="7"/>
  <c r="BC696" i="7"/>
  <c r="BB696" i="7"/>
  <c r="BA696" i="7"/>
  <c r="AV696" i="7"/>
  <c r="AU696" i="7"/>
  <c r="BC695" i="7"/>
  <c r="BB695" i="7"/>
  <c r="BA695" i="7"/>
  <c r="AV695" i="7"/>
  <c r="AU695" i="7"/>
  <c r="BC694" i="7"/>
  <c r="BB694" i="7"/>
  <c r="BA694" i="7"/>
  <c r="AV694" i="7"/>
  <c r="AU694" i="7"/>
  <c r="BC693" i="7"/>
  <c r="BB693" i="7"/>
  <c r="BA693" i="7"/>
  <c r="AV693" i="7"/>
  <c r="AU693" i="7"/>
  <c r="BC692" i="7"/>
  <c r="BB692" i="7"/>
  <c r="BA692" i="7"/>
  <c r="AV692" i="7"/>
  <c r="AU692" i="7"/>
  <c r="BC691" i="7"/>
  <c r="BB691" i="7"/>
  <c r="BA691" i="7"/>
  <c r="AV691" i="7"/>
  <c r="AU691" i="7"/>
  <c r="BC690" i="7"/>
  <c r="BB690" i="7"/>
  <c r="BA690" i="7"/>
  <c r="AV690" i="7"/>
  <c r="AU690" i="7"/>
  <c r="BC689" i="7"/>
  <c r="BB689" i="7"/>
  <c r="BA689" i="7"/>
  <c r="AV689" i="7"/>
  <c r="AU689" i="7"/>
  <c r="BC688" i="7"/>
  <c r="BB688" i="7"/>
  <c r="BA688" i="7"/>
  <c r="AV688" i="7"/>
  <c r="AU688" i="7"/>
  <c r="BC687" i="7"/>
  <c r="BB687" i="7"/>
  <c r="BA687" i="7"/>
  <c r="AV687" i="7"/>
  <c r="AU687" i="7"/>
  <c r="BC686" i="7"/>
  <c r="BB686" i="7"/>
  <c r="BA686" i="7"/>
  <c r="AV686" i="7"/>
  <c r="AU686" i="7"/>
  <c r="BC685" i="7"/>
  <c r="BB685" i="7"/>
  <c r="BA685" i="7"/>
  <c r="AV685" i="7"/>
  <c r="AU685" i="7"/>
  <c r="BC684" i="7"/>
  <c r="BB684" i="7"/>
  <c r="BA684" i="7"/>
  <c r="AV684" i="7"/>
  <c r="AU684" i="7"/>
  <c r="BC683" i="7"/>
  <c r="BB683" i="7"/>
  <c r="BA683" i="7"/>
  <c r="AV683" i="7"/>
  <c r="AU683" i="7"/>
  <c r="BC682" i="7"/>
  <c r="BB682" i="7"/>
  <c r="BA682" i="7"/>
  <c r="AV682" i="7"/>
  <c r="AU682" i="7"/>
  <c r="BC681" i="7"/>
  <c r="BB681" i="7"/>
  <c r="BA681" i="7"/>
  <c r="AV681" i="7"/>
  <c r="AU681" i="7"/>
  <c r="BC680" i="7"/>
  <c r="BB680" i="7"/>
  <c r="BA680" i="7"/>
  <c r="AV680" i="7"/>
  <c r="AU680" i="7"/>
  <c r="BC679" i="7"/>
  <c r="BB679" i="7"/>
  <c r="BA679" i="7"/>
  <c r="AV679" i="7"/>
  <c r="AU679" i="7"/>
  <c r="BC678" i="7"/>
  <c r="BB678" i="7"/>
  <c r="BA678" i="7"/>
  <c r="AV678" i="7"/>
  <c r="AU678" i="7"/>
  <c r="BC677" i="7"/>
  <c r="BB677" i="7"/>
  <c r="BA677" i="7"/>
  <c r="AV677" i="7"/>
  <c r="AU677" i="7"/>
  <c r="BC676" i="7"/>
  <c r="BB676" i="7"/>
  <c r="BA676" i="7"/>
  <c r="AV676" i="7"/>
  <c r="AU676" i="7"/>
  <c r="BC675" i="7"/>
  <c r="BB675" i="7"/>
  <c r="BA675" i="7"/>
  <c r="AV675" i="7"/>
  <c r="AU675" i="7"/>
  <c r="BC674" i="7"/>
  <c r="BB674" i="7"/>
  <c r="BA674" i="7"/>
  <c r="AV674" i="7"/>
  <c r="AU674" i="7"/>
  <c r="BC673" i="7"/>
  <c r="BB673" i="7"/>
  <c r="BA673" i="7"/>
  <c r="AV673" i="7"/>
  <c r="AU673" i="7"/>
  <c r="BC672" i="7"/>
  <c r="BB672" i="7"/>
  <c r="BA672" i="7"/>
  <c r="AV672" i="7"/>
  <c r="AU672" i="7"/>
  <c r="BC671" i="7"/>
  <c r="BB671" i="7"/>
  <c r="BA671" i="7"/>
  <c r="AV671" i="7"/>
  <c r="AU671" i="7"/>
  <c r="BC670" i="7"/>
  <c r="BB670" i="7"/>
  <c r="BA670" i="7"/>
  <c r="AV670" i="7"/>
  <c r="AU670" i="7"/>
  <c r="BC669" i="7"/>
  <c r="BB669" i="7"/>
  <c r="BA669" i="7"/>
  <c r="AV669" i="7"/>
  <c r="AU669" i="7"/>
  <c r="BC668" i="7"/>
  <c r="BB668" i="7"/>
  <c r="BA668" i="7"/>
  <c r="AV668" i="7"/>
  <c r="AU668" i="7"/>
  <c r="BC667" i="7"/>
  <c r="BB667" i="7"/>
  <c r="BA667" i="7"/>
  <c r="AV667" i="7"/>
  <c r="AU667" i="7"/>
  <c r="BC666" i="7"/>
  <c r="BB666" i="7"/>
  <c r="BA666" i="7"/>
  <c r="AV666" i="7"/>
  <c r="AU666" i="7"/>
  <c r="BC665" i="7"/>
  <c r="BB665" i="7"/>
  <c r="BA665" i="7"/>
  <c r="AV665" i="7"/>
  <c r="AU665" i="7"/>
  <c r="BC664" i="7"/>
  <c r="BB664" i="7"/>
  <c r="BA664" i="7"/>
  <c r="AV664" i="7"/>
  <c r="AU664" i="7"/>
  <c r="BC663" i="7"/>
  <c r="BB663" i="7"/>
  <c r="BA663" i="7"/>
  <c r="AV663" i="7"/>
  <c r="AU663" i="7"/>
  <c r="BC662" i="7"/>
  <c r="BB662" i="7"/>
  <c r="BA662" i="7"/>
  <c r="AV662" i="7"/>
  <c r="AU662" i="7"/>
  <c r="BC661" i="7"/>
  <c r="BB661" i="7"/>
  <c r="BA661" i="7"/>
  <c r="AV661" i="7"/>
  <c r="AU661" i="7"/>
  <c r="BC660" i="7"/>
  <c r="BB660" i="7"/>
  <c r="BA660" i="7"/>
  <c r="AV660" i="7"/>
  <c r="AU660" i="7"/>
  <c r="BC659" i="7"/>
  <c r="BB659" i="7"/>
  <c r="BA659" i="7"/>
  <c r="AV659" i="7"/>
  <c r="AU659" i="7"/>
  <c r="BC658" i="7"/>
  <c r="BB658" i="7"/>
  <c r="BA658" i="7"/>
  <c r="AV658" i="7"/>
  <c r="AU658" i="7"/>
  <c r="BC657" i="7"/>
  <c r="BB657" i="7"/>
  <c r="BA657" i="7"/>
  <c r="AV657" i="7"/>
  <c r="AU657" i="7"/>
  <c r="BC656" i="7"/>
  <c r="BB656" i="7"/>
  <c r="BA656" i="7"/>
  <c r="AV656" i="7"/>
  <c r="AU656" i="7"/>
  <c r="BC655" i="7"/>
  <c r="BB655" i="7"/>
  <c r="BA655" i="7"/>
  <c r="AV655" i="7"/>
  <c r="AU655" i="7"/>
  <c r="BC654" i="7"/>
  <c r="BB654" i="7"/>
  <c r="BA654" i="7"/>
  <c r="AV654" i="7"/>
  <c r="AU654" i="7"/>
  <c r="BC653" i="7"/>
  <c r="BB653" i="7"/>
  <c r="BA653" i="7"/>
  <c r="AV653" i="7"/>
  <c r="AU653" i="7"/>
  <c r="BC652" i="7"/>
  <c r="BB652" i="7"/>
  <c r="BA652" i="7"/>
  <c r="AV652" i="7"/>
  <c r="AU652" i="7"/>
  <c r="BC651" i="7"/>
  <c r="BB651" i="7"/>
  <c r="BA651" i="7"/>
  <c r="AV651" i="7"/>
  <c r="AU651" i="7"/>
  <c r="BC650" i="7"/>
  <c r="BB650" i="7"/>
  <c r="BA650" i="7"/>
  <c r="AV650" i="7"/>
  <c r="AU650" i="7"/>
  <c r="BC649" i="7"/>
  <c r="BB649" i="7"/>
  <c r="BA649" i="7"/>
  <c r="AV649" i="7"/>
  <c r="AU649" i="7"/>
  <c r="BC648" i="7"/>
  <c r="BB648" i="7"/>
  <c r="BA648" i="7"/>
  <c r="AV648" i="7"/>
  <c r="AU648" i="7"/>
  <c r="BC647" i="7"/>
  <c r="BB647" i="7"/>
  <c r="BA647" i="7"/>
  <c r="AV647" i="7"/>
  <c r="AU647" i="7"/>
  <c r="BC646" i="7"/>
  <c r="BB646" i="7"/>
  <c r="BA646" i="7"/>
  <c r="AV646" i="7"/>
  <c r="AU646" i="7"/>
  <c r="BC645" i="7"/>
  <c r="BB645" i="7"/>
  <c r="BA645" i="7"/>
  <c r="AV645" i="7"/>
  <c r="AU645" i="7"/>
  <c r="BC644" i="7"/>
  <c r="BB644" i="7"/>
  <c r="BA644" i="7"/>
  <c r="AV644" i="7"/>
  <c r="AU644" i="7"/>
  <c r="BC643" i="7"/>
  <c r="BB643" i="7"/>
  <c r="BA643" i="7"/>
  <c r="AV643" i="7"/>
  <c r="AU643" i="7"/>
  <c r="BC642" i="7"/>
  <c r="BB642" i="7"/>
  <c r="BA642" i="7"/>
  <c r="AV642" i="7"/>
  <c r="AU642" i="7"/>
  <c r="BC641" i="7"/>
  <c r="BB641" i="7"/>
  <c r="BA641" i="7"/>
  <c r="AV641" i="7"/>
  <c r="AU641" i="7"/>
  <c r="BC640" i="7"/>
  <c r="BB640" i="7"/>
  <c r="BA640" i="7"/>
  <c r="AV640" i="7"/>
  <c r="AU640" i="7"/>
  <c r="BC639" i="7"/>
  <c r="BB639" i="7"/>
  <c r="BA639" i="7"/>
  <c r="AV639" i="7"/>
  <c r="AU639" i="7"/>
  <c r="BC638" i="7"/>
  <c r="BB638" i="7"/>
  <c r="BA638" i="7"/>
  <c r="AV638" i="7"/>
  <c r="AU638" i="7"/>
  <c r="BC637" i="7"/>
  <c r="BB637" i="7"/>
  <c r="BA637" i="7"/>
  <c r="AV637" i="7"/>
  <c r="AU637" i="7"/>
  <c r="BC636" i="7"/>
  <c r="BB636" i="7"/>
  <c r="BA636" i="7"/>
  <c r="AV636" i="7"/>
  <c r="AU636" i="7"/>
  <c r="BC635" i="7"/>
  <c r="BB635" i="7"/>
  <c r="BA635" i="7"/>
  <c r="AV635" i="7"/>
  <c r="AU635" i="7"/>
  <c r="BC634" i="7"/>
  <c r="BB634" i="7"/>
  <c r="BA634" i="7"/>
  <c r="AV634" i="7"/>
  <c r="AU634" i="7"/>
  <c r="BC633" i="7"/>
  <c r="BB633" i="7"/>
  <c r="BA633" i="7"/>
  <c r="AV633" i="7"/>
  <c r="AU633" i="7"/>
  <c r="BC632" i="7"/>
  <c r="BB632" i="7"/>
  <c r="BA632" i="7"/>
  <c r="AV632" i="7"/>
  <c r="AU632" i="7"/>
  <c r="BC631" i="7"/>
  <c r="BB631" i="7"/>
  <c r="BA631" i="7"/>
  <c r="AV631" i="7"/>
  <c r="AU631" i="7"/>
  <c r="BC630" i="7"/>
  <c r="BB630" i="7"/>
  <c r="BA630" i="7"/>
  <c r="AV630" i="7"/>
  <c r="AU630" i="7"/>
  <c r="BC629" i="7"/>
  <c r="BB629" i="7"/>
  <c r="BA629" i="7"/>
  <c r="AV629" i="7"/>
  <c r="AU629" i="7"/>
  <c r="BC628" i="7"/>
  <c r="BB628" i="7"/>
  <c r="BA628" i="7"/>
  <c r="AV628" i="7"/>
  <c r="AU628" i="7"/>
  <c r="BC627" i="7"/>
  <c r="BB627" i="7"/>
  <c r="BA627" i="7"/>
  <c r="AV627" i="7"/>
  <c r="AU627" i="7"/>
  <c r="BC626" i="7"/>
  <c r="BB626" i="7"/>
  <c r="BA626" i="7"/>
  <c r="AV626" i="7"/>
  <c r="AU626" i="7"/>
  <c r="BC625" i="7"/>
  <c r="BB625" i="7"/>
  <c r="BA625" i="7"/>
  <c r="AV625" i="7"/>
  <c r="AU625" i="7"/>
  <c r="BC624" i="7"/>
  <c r="BB624" i="7"/>
  <c r="BA624" i="7"/>
  <c r="AV624" i="7"/>
  <c r="AU624" i="7"/>
  <c r="BC623" i="7"/>
  <c r="BB623" i="7"/>
  <c r="BA623" i="7"/>
  <c r="AV623" i="7"/>
  <c r="AU623" i="7"/>
  <c r="BC622" i="7"/>
  <c r="BB622" i="7"/>
  <c r="BA622" i="7"/>
  <c r="AV622" i="7"/>
  <c r="AU622" i="7"/>
  <c r="BC621" i="7"/>
  <c r="BB621" i="7"/>
  <c r="BA621" i="7"/>
  <c r="AV621" i="7"/>
  <c r="AU621" i="7"/>
  <c r="BC620" i="7"/>
  <c r="BB620" i="7"/>
  <c r="BA620" i="7"/>
  <c r="AV620" i="7"/>
  <c r="AU620" i="7"/>
  <c r="BC619" i="7"/>
  <c r="BB619" i="7"/>
  <c r="BA619" i="7"/>
  <c r="AV619" i="7"/>
  <c r="AU619" i="7"/>
  <c r="BC618" i="7"/>
  <c r="BB618" i="7"/>
  <c r="BA618" i="7"/>
  <c r="AV618" i="7"/>
  <c r="AU618" i="7"/>
  <c r="BC617" i="7"/>
  <c r="BB617" i="7"/>
  <c r="BA617" i="7"/>
  <c r="AV617" i="7"/>
  <c r="AU617" i="7"/>
  <c r="BC616" i="7"/>
  <c r="BB616" i="7"/>
  <c r="BA616" i="7"/>
  <c r="AV616" i="7"/>
  <c r="AU616" i="7"/>
  <c r="BC615" i="7"/>
  <c r="BB615" i="7"/>
  <c r="BA615" i="7"/>
  <c r="AV615" i="7"/>
  <c r="AU615" i="7"/>
  <c r="BC614" i="7"/>
  <c r="BB614" i="7"/>
  <c r="BA614" i="7"/>
  <c r="AV614" i="7"/>
  <c r="AU614" i="7"/>
  <c r="BC613" i="7"/>
  <c r="BB613" i="7"/>
  <c r="BA613" i="7"/>
  <c r="AV613" i="7"/>
  <c r="AU613" i="7"/>
  <c r="BC612" i="7"/>
  <c r="BB612" i="7"/>
  <c r="BA612" i="7"/>
  <c r="AV612" i="7"/>
  <c r="AU612" i="7"/>
  <c r="BC611" i="7"/>
  <c r="BB611" i="7"/>
  <c r="BA611" i="7"/>
  <c r="AV611" i="7"/>
  <c r="AU611" i="7"/>
  <c r="BC610" i="7"/>
  <c r="BB610" i="7"/>
  <c r="BA610" i="7"/>
  <c r="AV610" i="7"/>
  <c r="AU610" i="7"/>
  <c r="BC609" i="7"/>
  <c r="BB609" i="7"/>
  <c r="BA609" i="7"/>
  <c r="AV609" i="7"/>
  <c r="AU609" i="7"/>
  <c r="BC608" i="7"/>
  <c r="BB608" i="7"/>
  <c r="BA608" i="7"/>
  <c r="AV608" i="7"/>
  <c r="AU608" i="7"/>
  <c r="BC607" i="7"/>
  <c r="BB607" i="7"/>
  <c r="BA607" i="7"/>
  <c r="AV607" i="7"/>
  <c r="AU607" i="7"/>
  <c r="BC606" i="7"/>
  <c r="BB606" i="7"/>
  <c r="BA606" i="7"/>
  <c r="AV606" i="7"/>
  <c r="AU606" i="7"/>
  <c r="BC605" i="7"/>
  <c r="BB605" i="7"/>
  <c r="BA605" i="7"/>
  <c r="AV605" i="7"/>
  <c r="AU605" i="7"/>
  <c r="BC604" i="7"/>
  <c r="BB604" i="7"/>
  <c r="BA604" i="7"/>
  <c r="AV604" i="7"/>
  <c r="AU604" i="7"/>
  <c r="BC603" i="7"/>
  <c r="BB603" i="7"/>
  <c r="BA603" i="7"/>
  <c r="AV603" i="7"/>
  <c r="AU603" i="7"/>
  <c r="BC602" i="7"/>
  <c r="BB602" i="7"/>
  <c r="BA602" i="7"/>
  <c r="AV602" i="7"/>
  <c r="AU602" i="7"/>
  <c r="BC601" i="7"/>
  <c r="BB601" i="7"/>
  <c r="BA601" i="7"/>
  <c r="AV601" i="7"/>
  <c r="AU601" i="7"/>
  <c r="BC600" i="7"/>
  <c r="BB600" i="7"/>
  <c r="BA600" i="7"/>
  <c r="AV600" i="7"/>
  <c r="AU600" i="7"/>
  <c r="BC599" i="7"/>
  <c r="BB599" i="7"/>
  <c r="BA599" i="7"/>
  <c r="AV599" i="7"/>
  <c r="AU599" i="7"/>
  <c r="BC598" i="7"/>
  <c r="BB598" i="7"/>
  <c r="BA598" i="7"/>
  <c r="AV598" i="7"/>
  <c r="AU598" i="7"/>
  <c r="BC597" i="7"/>
  <c r="BB597" i="7"/>
  <c r="BA597" i="7"/>
  <c r="AV597" i="7"/>
  <c r="AU597" i="7"/>
  <c r="BC596" i="7"/>
  <c r="BB596" i="7"/>
  <c r="BA596" i="7"/>
  <c r="AV596" i="7"/>
  <c r="AU596" i="7"/>
  <c r="BC595" i="7"/>
  <c r="BB595" i="7"/>
  <c r="BA595" i="7"/>
  <c r="AV595" i="7"/>
  <c r="AU595" i="7"/>
  <c r="BC594" i="7"/>
  <c r="BB594" i="7"/>
  <c r="BA594" i="7"/>
  <c r="AV594" i="7"/>
  <c r="AU594" i="7"/>
  <c r="BC593" i="7"/>
  <c r="BB593" i="7"/>
  <c r="BA593" i="7"/>
  <c r="AV593" i="7"/>
  <c r="AU593" i="7"/>
  <c r="BC592" i="7"/>
  <c r="BB592" i="7"/>
  <c r="BA592" i="7"/>
  <c r="AV592" i="7"/>
  <c r="AU592" i="7"/>
  <c r="BC591" i="7"/>
  <c r="BB591" i="7"/>
  <c r="BA591" i="7"/>
  <c r="AV591" i="7"/>
  <c r="AU591" i="7"/>
  <c r="BC590" i="7"/>
  <c r="BB590" i="7"/>
  <c r="BA590" i="7"/>
  <c r="AV590" i="7"/>
  <c r="AU590" i="7"/>
  <c r="BC589" i="7"/>
  <c r="BB589" i="7"/>
  <c r="BA589" i="7"/>
  <c r="AV589" i="7"/>
  <c r="AU589" i="7"/>
  <c r="BC588" i="7"/>
  <c r="BB588" i="7"/>
  <c r="BA588" i="7"/>
  <c r="AV588" i="7"/>
  <c r="AU588" i="7"/>
  <c r="BC587" i="7"/>
  <c r="BB587" i="7"/>
  <c r="BA587" i="7"/>
  <c r="AV587" i="7"/>
  <c r="AU587" i="7"/>
  <c r="BC586" i="7"/>
  <c r="BB586" i="7"/>
  <c r="BA586" i="7"/>
  <c r="AV586" i="7"/>
  <c r="AU586" i="7"/>
  <c r="BC585" i="7"/>
  <c r="BB585" i="7"/>
  <c r="BA585" i="7"/>
  <c r="AV585" i="7"/>
  <c r="AU585" i="7"/>
  <c r="BC584" i="7"/>
  <c r="BB584" i="7"/>
  <c r="BA584" i="7"/>
  <c r="AV584" i="7"/>
  <c r="AU584" i="7"/>
  <c r="BC583" i="7"/>
  <c r="BB583" i="7"/>
  <c r="BA583" i="7"/>
  <c r="AV583" i="7"/>
  <c r="AU583" i="7"/>
  <c r="BC582" i="7"/>
  <c r="BB582" i="7"/>
  <c r="BA582" i="7"/>
  <c r="AV582" i="7"/>
  <c r="AU582" i="7"/>
  <c r="BC581" i="7"/>
  <c r="BB581" i="7"/>
  <c r="BA581" i="7"/>
  <c r="AV581" i="7"/>
  <c r="AU581" i="7"/>
  <c r="BC580" i="7"/>
  <c r="BB580" i="7"/>
  <c r="BA580" i="7"/>
  <c r="AV580" i="7"/>
  <c r="AU580" i="7"/>
  <c r="BC579" i="7"/>
  <c r="BB579" i="7"/>
  <c r="BA579" i="7"/>
  <c r="AV579" i="7"/>
  <c r="AU579" i="7"/>
  <c r="BC578" i="7"/>
  <c r="BB578" i="7"/>
  <c r="BA578" i="7"/>
  <c r="AV578" i="7"/>
  <c r="AU578" i="7"/>
  <c r="BC577" i="7"/>
  <c r="BB577" i="7"/>
  <c r="BA577" i="7"/>
  <c r="AV577" i="7"/>
  <c r="AU577" i="7"/>
  <c r="BC576" i="7"/>
  <c r="BB576" i="7"/>
  <c r="BA576" i="7"/>
  <c r="AV576" i="7"/>
  <c r="AU576" i="7"/>
  <c r="BC575" i="7"/>
  <c r="BB575" i="7"/>
  <c r="BA575" i="7"/>
  <c r="AV575" i="7"/>
  <c r="AU575" i="7"/>
  <c r="BC574" i="7"/>
  <c r="BB574" i="7"/>
  <c r="BA574" i="7"/>
  <c r="AV574" i="7"/>
  <c r="AU574" i="7"/>
  <c r="BC573" i="7"/>
  <c r="BB573" i="7"/>
  <c r="BA573" i="7"/>
  <c r="AV573" i="7"/>
  <c r="AU573" i="7"/>
  <c r="BC572" i="7"/>
  <c r="BB572" i="7"/>
  <c r="BA572" i="7"/>
  <c r="AV572" i="7"/>
  <c r="AU572" i="7"/>
  <c r="BC571" i="7"/>
  <c r="BB571" i="7"/>
  <c r="BA571" i="7"/>
  <c r="AV571" i="7"/>
  <c r="AU571" i="7"/>
  <c r="BC570" i="7"/>
  <c r="BB570" i="7"/>
  <c r="BA570" i="7"/>
  <c r="AV570" i="7"/>
  <c r="AU570" i="7"/>
  <c r="BC569" i="7"/>
  <c r="BB569" i="7"/>
  <c r="BA569" i="7"/>
  <c r="AV569" i="7"/>
  <c r="AU569" i="7"/>
  <c r="BC568" i="7"/>
  <c r="BB568" i="7"/>
  <c r="BA568" i="7"/>
  <c r="AV568" i="7"/>
  <c r="AU568" i="7"/>
  <c r="BC567" i="7"/>
  <c r="BB567" i="7"/>
  <c r="BA567" i="7"/>
  <c r="AV567" i="7"/>
  <c r="AU567" i="7"/>
  <c r="BC566" i="7"/>
  <c r="BB566" i="7"/>
  <c r="BA566" i="7"/>
  <c r="AV566" i="7"/>
  <c r="AU566" i="7"/>
  <c r="BC565" i="7"/>
  <c r="BB565" i="7"/>
  <c r="BA565" i="7"/>
  <c r="AV565" i="7"/>
  <c r="AU565" i="7"/>
  <c r="BC564" i="7"/>
  <c r="BB564" i="7"/>
  <c r="BA564" i="7"/>
  <c r="AV564" i="7"/>
  <c r="AU564" i="7"/>
  <c r="BC563" i="7"/>
  <c r="BB563" i="7"/>
  <c r="BA563" i="7"/>
  <c r="AV563" i="7"/>
  <c r="AU563" i="7"/>
  <c r="BC562" i="7"/>
  <c r="BB562" i="7"/>
  <c r="BA562" i="7"/>
  <c r="AV562" i="7"/>
  <c r="AU562" i="7"/>
  <c r="BC561" i="7"/>
  <c r="BB561" i="7"/>
  <c r="BA561" i="7"/>
  <c r="AV561" i="7"/>
  <c r="AU561" i="7"/>
  <c r="BC560" i="7"/>
  <c r="BB560" i="7"/>
  <c r="BA560" i="7"/>
  <c r="AV560" i="7"/>
  <c r="AU560" i="7"/>
  <c r="BC559" i="7"/>
  <c r="BB559" i="7"/>
  <c r="BA559" i="7"/>
  <c r="AV559" i="7"/>
  <c r="AU559" i="7"/>
  <c r="BC558" i="7"/>
  <c r="BB558" i="7"/>
  <c r="BA558" i="7"/>
  <c r="AV558" i="7"/>
  <c r="AU558" i="7"/>
  <c r="BC557" i="7"/>
  <c r="BB557" i="7"/>
  <c r="BA557" i="7"/>
  <c r="AV557" i="7"/>
  <c r="AU557" i="7"/>
  <c r="BC556" i="7"/>
  <c r="BB556" i="7"/>
  <c r="BA556" i="7"/>
  <c r="AV556" i="7"/>
  <c r="AU556" i="7"/>
  <c r="BC555" i="7"/>
  <c r="BB555" i="7"/>
  <c r="BA555" i="7"/>
  <c r="AV555" i="7"/>
  <c r="AU555" i="7"/>
  <c r="BC554" i="7"/>
  <c r="BB554" i="7"/>
  <c r="BA554" i="7"/>
  <c r="AV554" i="7"/>
  <c r="AU554" i="7"/>
  <c r="BC553" i="7"/>
  <c r="BB553" i="7"/>
  <c r="BA553" i="7"/>
  <c r="AV553" i="7"/>
  <c r="AU553" i="7"/>
  <c r="BC552" i="7"/>
  <c r="BB552" i="7"/>
  <c r="BA552" i="7"/>
  <c r="AV552" i="7"/>
  <c r="AU552" i="7"/>
  <c r="BC551" i="7"/>
  <c r="BB551" i="7"/>
  <c r="BA551" i="7"/>
  <c r="AV551" i="7"/>
  <c r="AU551" i="7"/>
  <c r="BC550" i="7"/>
  <c r="BB550" i="7"/>
  <c r="BA550" i="7"/>
  <c r="AV550" i="7"/>
  <c r="AU550" i="7"/>
  <c r="BC549" i="7"/>
  <c r="BB549" i="7"/>
  <c r="BA549" i="7"/>
  <c r="AV549" i="7"/>
  <c r="AU549" i="7"/>
  <c r="BC548" i="7"/>
  <c r="BB548" i="7"/>
  <c r="BA548" i="7"/>
  <c r="AV548" i="7"/>
  <c r="AU548" i="7"/>
  <c r="BC547" i="7"/>
  <c r="BB547" i="7"/>
  <c r="BA547" i="7"/>
  <c r="AV547" i="7"/>
  <c r="AU547" i="7"/>
  <c r="BC546" i="7"/>
  <c r="BB546" i="7"/>
  <c r="BA546" i="7"/>
  <c r="AV546" i="7"/>
  <c r="AU546" i="7"/>
  <c r="BC545" i="7"/>
  <c r="BB545" i="7"/>
  <c r="BA545" i="7"/>
  <c r="AV545" i="7"/>
  <c r="AU545" i="7"/>
  <c r="BC544" i="7"/>
  <c r="BB544" i="7"/>
  <c r="BA544" i="7"/>
  <c r="AV544" i="7"/>
  <c r="AU544" i="7"/>
  <c r="BC543" i="7"/>
  <c r="BB543" i="7"/>
  <c r="BA543" i="7"/>
  <c r="AV543" i="7"/>
  <c r="AU543" i="7"/>
  <c r="BC542" i="7"/>
  <c r="BB542" i="7"/>
  <c r="BA542" i="7"/>
  <c r="AV542" i="7"/>
  <c r="AU542" i="7"/>
  <c r="BC541" i="7"/>
  <c r="BB541" i="7"/>
  <c r="BA541" i="7"/>
  <c r="AV541" i="7"/>
  <c r="AU541" i="7"/>
  <c r="BC540" i="7"/>
  <c r="BB540" i="7"/>
  <c r="BA540" i="7"/>
  <c r="AV540" i="7"/>
  <c r="AU540" i="7"/>
  <c r="BC539" i="7"/>
  <c r="BB539" i="7"/>
  <c r="BA539" i="7"/>
  <c r="AV539" i="7"/>
  <c r="AU539" i="7"/>
  <c r="BC538" i="7"/>
  <c r="BB538" i="7"/>
  <c r="BA538" i="7"/>
  <c r="AV538" i="7"/>
  <c r="AU538" i="7"/>
  <c r="BC537" i="7"/>
  <c r="BB537" i="7"/>
  <c r="BA537" i="7"/>
  <c r="AV537" i="7"/>
  <c r="AU537" i="7"/>
  <c r="BC536" i="7"/>
  <c r="BB536" i="7"/>
  <c r="BA536" i="7"/>
  <c r="AV536" i="7"/>
  <c r="AU536" i="7"/>
  <c r="BC535" i="7"/>
  <c r="BB535" i="7"/>
  <c r="BA535" i="7"/>
  <c r="AV535" i="7"/>
  <c r="AU535" i="7"/>
  <c r="BC534" i="7"/>
  <c r="BB534" i="7"/>
  <c r="BA534" i="7"/>
  <c r="AV534" i="7"/>
  <c r="AU534" i="7"/>
  <c r="BC533" i="7"/>
  <c r="BB533" i="7"/>
  <c r="BA533" i="7"/>
  <c r="AV533" i="7"/>
  <c r="AU533" i="7"/>
  <c r="BC532" i="7"/>
  <c r="BB532" i="7"/>
  <c r="BA532" i="7"/>
  <c r="AV532" i="7"/>
  <c r="AU532" i="7"/>
  <c r="BC531" i="7"/>
  <c r="BB531" i="7"/>
  <c r="BA531" i="7"/>
  <c r="AV531" i="7"/>
  <c r="AU531" i="7"/>
  <c r="BC530" i="7"/>
  <c r="BB530" i="7"/>
  <c r="BA530" i="7"/>
  <c r="AV530" i="7"/>
  <c r="AU530" i="7"/>
  <c r="BC529" i="7"/>
  <c r="BB529" i="7"/>
  <c r="BA529" i="7"/>
  <c r="AV529" i="7"/>
  <c r="AU529" i="7"/>
  <c r="BC528" i="7"/>
  <c r="BB528" i="7"/>
  <c r="BA528" i="7"/>
  <c r="AV528" i="7"/>
  <c r="AU528" i="7"/>
  <c r="BC527" i="7"/>
  <c r="BB527" i="7"/>
  <c r="BA527" i="7"/>
  <c r="AV527" i="7"/>
  <c r="AU527" i="7"/>
  <c r="BC526" i="7"/>
  <c r="BB526" i="7"/>
  <c r="BA526" i="7"/>
  <c r="AV526" i="7"/>
  <c r="AU526" i="7"/>
  <c r="BC525" i="7"/>
  <c r="BB525" i="7"/>
  <c r="BA525" i="7"/>
  <c r="AV525" i="7"/>
  <c r="AU525" i="7"/>
  <c r="BC524" i="7"/>
  <c r="BB524" i="7"/>
  <c r="BA524" i="7"/>
  <c r="AV524" i="7"/>
  <c r="AU524" i="7"/>
  <c r="BC523" i="7"/>
  <c r="BB523" i="7"/>
  <c r="BA523" i="7"/>
  <c r="AV523" i="7"/>
  <c r="AU523" i="7"/>
  <c r="BC522" i="7"/>
  <c r="BB522" i="7"/>
  <c r="BA522" i="7"/>
  <c r="AV522" i="7"/>
  <c r="AU522" i="7"/>
  <c r="BC521" i="7"/>
  <c r="BB521" i="7"/>
  <c r="BA521" i="7"/>
  <c r="AV521" i="7"/>
  <c r="AU521" i="7"/>
  <c r="BC520" i="7"/>
  <c r="BB520" i="7"/>
  <c r="BA520" i="7"/>
  <c r="AV520" i="7"/>
  <c r="AU520" i="7"/>
  <c r="BC519" i="7"/>
  <c r="BB519" i="7"/>
  <c r="BA519" i="7"/>
  <c r="AV519" i="7"/>
  <c r="AU519" i="7"/>
  <c r="BC518" i="7"/>
  <c r="BB518" i="7"/>
  <c r="BA518" i="7"/>
  <c r="AV518" i="7"/>
  <c r="AU518" i="7"/>
  <c r="BC517" i="7"/>
  <c r="BB517" i="7"/>
  <c r="BA517" i="7"/>
  <c r="AV517" i="7"/>
  <c r="AU517" i="7"/>
  <c r="BC516" i="7"/>
  <c r="BB516" i="7"/>
  <c r="BA516" i="7"/>
  <c r="AV516" i="7"/>
  <c r="AU516" i="7"/>
  <c r="BC515" i="7"/>
  <c r="BB515" i="7"/>
  <c r="BA515" i="7"/>
  <c r="AV515" i="7"/>
  <c r="AU515" i="7"/>
  <c r="BC514" i="7"/>
  <c r="BB514" i="7"/>
  <c r="BA514" i="7"/>
  <c r="AV514" i="7"/>
  <c r="AU514" i="7"/>
  <c r="BC513" i="7"/>
  <c r="BB513" i="7"/>
  <c r="BA513" i="7"/>
  <c r="AV513" i="7"/>
  <c r="AU513" i="7"/>
  <c r="BC512" i="7"/>
  <c r="BB512" i="7"/>
  <c r="BA512" i="7"/>
  <c r="AV512" i="7"/>
  <c r="AU512" i="7"/>
  <c r="BC511" i="7"/>
  <c r="BB511" i="7"/>
  <c r="BA511" i="7"/>
  <c r="AV511" i="7"/>
  <c r="AU511" i="7"/>
  <c r="BC510" i="7"/>
  <c r="BB510" i="7"/>
  <c r="BA510" i="7"/>
  <c r="AV510" i="7"/>
  <c r="AU510" i="7"/>
  <c r="BC509" i="7"/>
  <c r="BB509" i="7"/>
  <c r="BA509" i="7"/>
  <c r="AV509" i="7"/>
  <c r="AU509" i="7"/>
  <c r="BC508" i="7"/>
  <c r="BB508" i="7"/>
  <c r="BA508" i="7"/>
  <c r="AV508" i="7"/>
  <c r="AU508" i="7"/>
  <c r="BC507" i="7"/>
  <c r="BB507" i="7"/>
  <c r="BA507" i="7"/>
  <c r="AV507" i="7"/>
  <c r="AU507" i="7"/>
  <c r="BC506" i="7"/>
  <c r="BB506" i="7"/>
  <c r="BA506" i="7"/>
  <c r="AV506" i="7"/>
  <c r="AU506" i="7"/>
  <c r="BC505" i="7"/>
  <c r="BB505" i="7"/>
  <c r="BA505" i="7"/>
  <c r="AV505" i="7"/>
  <c r="AU505" i="7"/>
  <c r="BC504" i="7"/>
  <c r="BB504" i="7"/>
  <c r="BA504" i="7"/>
  <c r="AV504" i="7"/>
  <c r="AU504" i="7"/>
  <c r="BC503" i="7"/>
  <c r="BB503" i="7"/>
  <c r="BA503" i="7"/>
  <c r="AV503" i="7"/>
  <c r="AU503" i="7"/>
  <c r="BC502" i="7"/>
  <c r="BB502" i="7"/>
  <c r="BA502" i="7"/>
  <c r="AV502" i="7"/>
  <c r="AU502" i="7"/>
  <c r="BC501" i="7"/>
  <c r="BB501" i="7"/>
  <c r="BA501" i="7"/>
  <c r="AV501" i="7"/>
  <c r="AU501" i="7"/>
  <c r="BC500" i="7"/>
  <c r="BB500" i="7"/>
  <c r="BA500" i="7"/>
  <c r="AV500" i="7"/>
  <c r="AU500" i="7"/>
  <c r="BC499" i="7"/>
  <c r="BB499" i="7"/>
  <c r="BA499" i="7"/>
  <c r="AV499" i="7"/>
  <c r="AU499" i="7"/>
  <c r="BC498" i="7"/>
  <c r="BB498" i="7"/>
  <c r="BA498" i="7"/>
  <c r="AV498" i="7"/>
  <c r="AU498" i="7"/>
  <c r="BC497" i="7"/>
  <c r="BB497" i="7"/>
  <c r="BA497" i="7"/>
  <c r="AV497" i="7"/>
  <c r="AU497" i="7"/>
  <c r="BC496" i="7"/>
  <c r="BB496" i="7"/>
  <c r="BA496" i="7"/>
  <c r="AV496" i="7"/>
  <c r="AU496" i="7"/>
  <c r="BC495" i="7"/>
  <c r="BB495" i="7"/>
  <c r="BA495" i="7"/>
  <c r="AV495" i="7"/>
  <c r="AU495" i="7"/>
  <c r="BC494" i="7"/>
  <c r="BB494" i="7"/>
  <c r="BA494" i="7"/>
  <c r="AV494" i="7"/>
  <c r="AU494" i="7"/>
  <c r="BC493" i="7"/>
  <c r="BB493" i="7"/>
  <c r="BA493" i="7"/>
  <c r="AV493" i="7"/>
  <c r="AU493" i="7"/>
  <c r="BC492" i="7"/>
  <c r="BB492" i="7"/>
  <c r="BA492" i="7"/>
  <c r="AV492" i="7"/>
  <c r="AU492" i="7"/>
  <c r="BC491" i="7"/>
  <c r="BB491" i="7"/>
  <c r="BA491" i="7"/>
  <c r="AV491" i="7"/>
  <c r="AU491" i="7"/>
  <c r="BC490" i="7"/>
  <c r="BB490" i="7"/>
  <c r="BA490" i="7"/>
  <c r="AV490" i="7"/>
  <c r="AU490" i="7"/>
  <c r="BC489" i="7"/>
  <c r="BB489" i="7"/>
  <c r="BA489" i="7"/>
  <c r="AV489" i="7"/>
  <c r="AU489" i="7"/>
  <c r="BC488" i="7"/>
  <c r="BB488" i="7"/>
  <c r="BA488" i="7"/>
  <c r="AV488" i="7"/>
  <c r="AU488" i="7"/>
  <c r="BC487" i="7"/>
  <c r="BB487" i="7"/>
  <c r="BA487" i="7"/>
  <c r="AV487" i="7"/>
  <c r="AU487" i="7"/>
  <c r="BC486" i="7"/>
  <c r="BB486" i="7"/>
  <c r="BA486" i="7"/>
  <c r="AV486" i="7"/>
  <c r="AU486" i="7"/>
  <c r="BC485" i="7"/>
  <c r="BB485" i="7"/>
  <c r="BA485" i="7"/>
  <c r="AV485" i="7"/>
  <c r="AU485" i="7"/>
  <c r="BC484" i="7"/>
  <c r="BB484" i="7"/>
  <c r="BA484" i="7"/>
  <c r="AV484" i="7"/>
  <c r="AU484" i="7"/>
  <c r="BC483" i="7"/>
  <c r="BB483" i="7"/>
  <c r="BA483" i="7"/>
  <c r="AV483" i="7"/>
  <c r="AU483" i="7"/>
  <c r="BC482" i="7"/>
  <c r="BB482" i="7"/>
  <c r="BA482" i="7"/>
  <c r="AV482" i="7"/>
  <c r="AU482" i="7"/>
  <c r="BC481" i="7"/>
  <c r="BB481" i="7"/>
  <c r="BA481" i="7"/>
  <c r="AV481" i="7"/>
  <c r="AU481" i="7"/>
  <c r="BC480" i="7"/>
  <c r="BB480" i="7"/>
  <c r="BA480" i="7"/>
  <c r="AV480" i="7"/>
  <c r="AU480" i="7"/>
  <c r="BC479" i="7"/>
  <c r="BB479" i="7"/>
  <c r="BA479" i="7"/>
  <c r="AV479" i="7"/>
  <c r="AU479" i="7"/>
  <c r="BC478" i="7"/>
  <c r="BB478" i="7"/>
  <c r="BA478" i="7"/>
  <c r="AV478" i="7"/>
  <c r="AU478" i="7"/>
  <c r="BC477" i="7"/>
  <c r="BB477" i="7"/>
  <c r="BA477" i="7"/>
  <c r="AV477" i="7"/>
  <c r="AU477" i="7"/>
  <c r="BC476" i="7"/>
  <c r="BB476" i="7"/>
  <c r="BA476" i="7"/>
  <c r="AV476" i="7"/>
  <c r="AU476" i="7"/>
  <c r="BC475" i="7"/>
  <c r="BB475" i="7"/>
  <c r="BA475" i="7"/>
  <c r="AV475" i="7"/>
  <c r="AU475" i="7"/>
  <c r="BC474" i="7"/>
  <c r="BB474" i="7"/>
  <c r="BA474" i="7"/>
  <c r="AV474" i="7"/>
  <c r="AU474" i="7"/>
  <c r="BC473" i="7"/>
  <c r="BB473" i="7"/>
  <c r="BA473" i="7"/>
  <c r="AV473" i="7"/>
  <c r="AU473" i="7"/>
  <c r="BC472" i="7"/>
  <c r="BB472" i="7"/>
  <c r="BA472" i="7"/>
  <c r="AV472" i="7"/>
  <c r="AU472" i="7"/>
  <c r="BC471" i="7"/>
  <c r="BB471" i="7"/>
  <c r="BA471" i="7"/>
  <c r="AV471" i="7"/>
  <c r="AU471" i="7"/>
  <c r="BC470" i="7"/>
  <c r="BB470" i="7"/>
  <c r="BA470" i="7"/>
  <c r="AV470" i="7"/>
  <c r="AU470" i="7"/>
  <c r="BC469" i="7"/>
  <c r="BB469" i="7"/>
  <c r="BA469" i="7"/>
  <c r="AV469" i="7"/>
  <c r="AU469" i="7"/>
  <c r="BC468" i="7"/>
  <c r="BB468" i="7"/>
  <c r="BA468" i="7"/>
  <c r="AV468" i="7"/>
  <c r="AU468" i="7"/>
  <c r="BC467" i="7"/>
  <c r="BB467" i="7"/>
  <c r="BA467" i="7"/>
  <c r="AV467" i="7"/>
  <c r="AU467" i="7"/>
  <c r="BC466" i="7"/>
  <c r="BB466" i="7"/>
  <c r="BA466" i="7"/>
  <c r="AV466" i="7"/>
  <c r="AU466" i="7"/>
  <c r="BC465" i="7"/>
  <c r="BB465" i="7"/>
  <c r="BA465" i="7"/>
  <c r="AV465" i="7"/>
  <c r="AU465" i="7"/>
  <c r="BC464" i="7"/>
  <c r="BB464" i="7"/>
  <c r="BA464" i="7"/>
  <c r="AV464" i="7"/>
  <c r="AU464" i="7"/>
  <c r="BC463" i="7"/>
  <c r="BB463" i="7"/>
  <c r="BA463" i="7"/>
  <c r="AV463" i="7"/>
  <c r="AU463" i="7"/>
  <c r="BC462" i="7"/>
  <c r="BB462" i="7"/>
  <c r="BA462" i="7"/>
  <c r="AV462" i="7"/>
  <c r="AU462" i="7"/>
  <c r="BC461" i="7"/>
  <c r="BB461" i="7"/>
  <c r="BA461" i="7"/>
  <c r="AV461" i="7"/>
  <c r="AU461" i="7"/>
  <c r="BC460" i="7"/>
  <c r="BB460" i="7"/>
  <c r="BA460" i="7"/>
  <c r="AV460" i="7"/>
  <c r="AU460" i="7"/>
  <c r="BC459" i="7"/>
  <c r="BB459" i="7"/>
  <c r="BA459" i="7"/>
  <c r="AV459" i="7"/>
  <c r="AU459" i="7"/>
  <c r="BC458" i="7"/>
  <c r="BB458" i="7"/>
  <c r="BA458" i="7"/>
  <c r="AV458" i="7"/>
  <c r="AU458" i="7"/>
  <c r="BC457" i="7"/>
  <c r="BB457" i="7"/>
  <c r="BA457" i="7"/>
  <c r="AV457" i="7"/>
  <c r="AU457" i="7"/>
  <c r="BC456" i="7"/>
  <c r="BB456" i="7"/>
  <c r="BA456" i="7"/>
  <c r="AV456" i="7"/>
  <c r="AU456" i="7"/>
  <c r="BC455" i="7"/>
  <c r="BB455" i="7"/>
  <c r="BA455" i="7"/>
  <c r="AV455" i="7"/>
  <c r="AU455" i="7"/>
  <c r="BC454" i="7"/>
  <c r="BB454" i="7"/>
  <c r="BA454" i="7"/>
  <c r="AV454" i="7"/>
  <c r="AU454" i="7"/>
  <c r="BC453" i="7"/>
  <c r="BB453" i="7"/>
  <c r="BA453" i="7"/>
  <c r="AV453" i="7"/>
  <c r="AU453" i="7"/>
  <c r="BC452" i="7"/>
  <c r="BB452" i="7"/>
  <c r="BA452" i="7"/>
  <c r="AV452" i="7"/>
  <c r="AU452" i="7"/>
  <c r="BC451" i="7"/>
  <c r="BB451" i="7"/>
  <c r="BA451" i="7"/>
  <c r="AV451" i="7"/>
  <c r="AU451" i="7"/>
  <c r="BC450" i="7"/>
  <c r="BB450" i="7"/>
  <c r="BA450" i="7"/>
  <c r="AV450" i="7"/>
  <c r="AU450" i="7"/>
  <c r="BC449" i="7"/>
  <c r="BB449" i="7"/>
  <c r="BA449" i="7"/>
  <c r="AV449" i="7"/>
  <c r="AU449" i="7"/>
  <c r="BC448" i="7"/>
  <c r="BB448" i="7"/>
  <c r="BA448" i="7"/>
  <c r="AV448" i="7"/>
  <c r="AU448" i="7"/>
  <c r="BC447" i="7"/>
  <c r="BB447" i="7"/>
  <c r="BA447" i="7"/>
  <c r="AV447" i="7"/>
  <c r="AU447" i="7"/>
  <c r="BC446" i="7"/>
  <c r="BB446" i="7"/>
  <c r="BA446" i="7"/>
  <c r="AV446" i="7"/>
  <c r="AU446" i="7"/>
  <c r="BC445" i="7"/>
  <c r="BB445" i="7"/>
  <c r="BA445" i="7"/>
  <c r="AV445" i="7"/>
  <c r="AU445" i="7"/>
  <c r="BC444" i="7"/>
  <c r="BB444" i="7"/>
  <c r="BA444" i="7"/>
  <c r="AV444" i="7"/>
  <c r="AU444" i="7"/>
  <c r="BC443" i="7"/>
  <c r="BB443" i="7"/>
  <c r="BA443" i="7"/>
  <c r="AV443" i="7"/>
  <c r="AU443" i="7"/>
  <c r="BC442" i="7"/>
  <c r="BB442" i="7"/>
  <c r="BA442" i="7"/>
  <c r="AV442" i="7"/>
  <c r="AU442" i="7"/>
  <c r="BC441" i="7"/>
  <c r="BB441" i="7"/>
  <c r="BA441" i="7"/>
  <c r="AV441" i="7"/>
  <c r="AU441" i="7"/>
  <c r="BC440" i="7"/>
  <c r="BB440" i="7"/>
  <c r="BA440" i="7"/>
  <c r="AV440" i="7"/>
  <c r="AU440" i="7"/>
  <c r="BC439" i="7"/>
  <c r="BB439" i="7"/>
  <c r="BA439" i="7"/>
  <c r="AV439" i="7"/>
  <c r="AU439" i="7"/>
  <c r="BC438" i="7"/>
  <c r="BB438" i="7"/>
  <c r="BA438" i="7"/>
  <c r="AV438" i="7"/>
  <c r="AU438" i="7"/>
  <c r="BC437" i="7"/>
  <c r="BB437" i="7"/>
  <c r="BA437" i="7"/>
  <c r="AV437" i="7"/>
  <c r="AU437" i="7"/>
  <c r="BC436" i="7"/>
  <c r="BB436" i="7"/>
  <c r="BA436" i="7"/>
  <c r="AV436" i="7"/>
  <c r="AU436" i="7"/>
  <c r="BC435" i="7"/>
  <c r="BB435" i="7"/>
  <c r="BA435" i="7"/>
  <c r="AV435" i="7"/>
  <c r="AU435" i="7"/>
  <c r="BC434" i="7"/>
  <c r="BB434" i="7"/>
  <c r="BA434" i="7"/>
  <c r="AV434" i="7"/>
  <c r="AU434" i="7"/>
  <c r="BC433" i="7"/>
  <c r="BB433" i="7"/>
  <c r="BA433" i="7"/>
  <c r="AV433" i="7"/>
  <c r="AU433" i="7"/>
  <c r="BC432" i="7"/>
  <c r="BB432" i="7"/>
  <c r="BA432" i="7"/>
  <c r="AV432" i="7"/>
  <c r="AU432" i="7"/>
  <c r="BC431" i="7"/>
  <c r="BB431" i="7"/>
  <c r="BA431" i="7"/>
  <c r="AV431" i="7"/>
  <c r="AU431" i="7"/>
  <c r="BC430" i="7"/>
  <c r="BB430" i="7"/>
  <c r="BA430" i="7"/>
  <c r="AV430" i="7"/>
  <c r="AU430" i="7"/>
  <c r="BC429" i="7"/>
  <c r="BB429" i="7"/>
  <c r="BA429" i="7"/>
  <c r="AV429" i="7"/>
  <c r="AU429" i="7"/>
  <c r="BC428" i="7"/>
  <c r="BB428" i="7"/>
  <c r="BA428" i="7"/>
  <c r="AV428" i="7"/>
  <c r="AU428" i="7"/>
  <c r="BC427" i="7"/>
  <c r="BB427" i="7"/>
  <c r="BA427" i="7"/>
  <c r="AV427" i="7"/>
  <c r="AU427" i="7"/>
  <c r="BC426" i="7"/>
  <c r="BB426" i="7"/>
  <c r="BA426" i="7"/>
  <c r="AV426" i="7"/>
  <c r="AU426" i="7"/>
  <c r="BC425" i="7"/>
  <c r="BB425" i="7"/>
  <c r="BA425" i="7"/>
  <c r="AV425" i="7"/>
  <c r="AU425" i="7"/>
  <c r="BC424" i="7"/>
  <c r="BB424" i="7"/>
  <c r="BA424" i="7"/>
  <c r="AV424" i="7"/>
  <c r="AU424" i="7"/>
  <c r="BC423" i="7"/>
  <c r="BB423" i="7"/>
  <c r="BA423" i="7"/>
  <c r="AV423" i="7"/>
  <c r="AU423" i="7"/>
  <c r="BC422" i="7"/>
  <c r="BB422" i="7"/>
  <c r="BA422" i="7"/>
  <c r="AV422" i="7"/>
  <c r="AU422" i="7"/>
  <c r="BC421" i="7"/>
  <c r="BB421" i="7"/>
  <c r="BA421" i="7"/>
  <c r="AV421" i="7"/>
  <c r="AU421" i="7"/>
  <c r="BC420" i="7"/>
  <c r="BB420" i="7"/>
  <c r="BA420" i="7"/>
  <c r="AV420" i="7"/>
  <c r="AU420" i="7"/>
  <c r="BC419" i="7"/>
  <c r="BB419" i="7"/>
  <c r="BA419" i="7"/>
  <c r="AV419" i="7"/>
  <c r="AU419" i="7"/>
  <c r="BC418" i="7"/>
  <c r="BB418" i="7"/>
  <c r="BA418" i="7"/>
  <c r="AV418" i="7"/>
  <c r="AU418" i="7"/>
  <c r="BC417" i="7"/>
  <c r="BB417" i="7"/>
  <c r="BA417" i="7"/>
  <c r="AV417" i="7"/>
  <c r="AU417" i="7"/>
  <c r="BC416" i="7"/>
  <c r="BB416" i="7"/>
  <c r="BA416" i="7"/>
  <c r="AV416" i="7"/>
  <c r="AU416" i="7"/>
  <c r="BC415" i="7"/>
  <c r="BB415" i="7"/>
  <c r="BA415" i="7"/>
  <c r="AV415" i="7"/>
  <c r="AU415" i="7"/>
  <c r="BC414" i="7"/>
  <c r="BB414" i="7"/>
  <c r="BA414" i="7"/>
  <c r="AV414" i="7"/>
  <c r="AU414" i="7"/>
  <c r="BC413" i="7"/>
  <c r="BB413" i="7"/>
  <c r="BA413" i="7"/>
  <c r="AV413" i="7"/>
  <c r="AU413" i="7"/>
  <c r="BC412" i="7"/>
  <c r="BB412" i="7"/>
  <c r="BA412" i="7"/>
  <c r="AV412" i="7"/>
  <c r="AU412" i="7"/>
  <c r="BC411" i="7"/>
  <c r="BB411" i="7"/>
  <c r="BA411" i="7"/>
  <c r="AV411" i="7"/>
  <c r="AU411" i="7"/>
  <c r="BC410" i="7"/>
  <c r="BB410" i="7"/>
  <c r="BA410" i="7"/>
  <c r="AV410" i="7"/>
  <c r="AU410" i="7"/>
  <c r="BC409" i="7"/>
  <c r="BB409" i="7"/>
  <c r="BA409" i="7"/>
  <c r="AV409" i="7"/>
  <c r="AU409" i="7"/>
  <c r="BC408" i="7"/>
  <c r="BB408" i="7"/>
  <c r="BA408" i="7"/>
  <c r="AV408" i="7"/>
  <c r="AU408" i="7"/>
  <c r="BC407" i="7"/>
  <c r="BB407" i="7"/>
  <c r="BA407" i="7"/>
  <c r="AV407" i="7"/>
  <c r="AU407" i="7"/>
  <c r="BC406" i="7"/>
  <c r="BB406" i="7"/>
  <c r="BA406" i="7"/>
  <c r="AV406" i="7"/>
  <c r="AU406" i="7"/>
  <c r="BC405" i="7"/>
  <c r="BB405" i="7"/>
  <c r="BA405" i="7"/>
  <c r="AV405" i="7"/>
  <c r="AU405" i="7"/>
  <c r="BC404" i="7"/>
  <c r="BB404" i="7"/>
  <c r="BA404" i="7"/>
  <c r="AV404" i="7"/>
  <c r="AU404" i="7"/>
  <c r="BC403" i="7"/>
  <c r="BB403" i="7"/>
  <c r="BA403" i="7"/>
  <c r="AV403" i="7"/>
  <c r="AU403" i="7"/>
  <c r="BC402" i="7"/>
  <c r="BB402" i="7"/>
  <c r="BA402" i="7"/>
  <c r="AV402" i="7"/>
  <c r="AU402" i="7"/>
  <c r="BC401" i="7"/>
  <c r="BB401" i="7"/>
  <c r="BA401" i="7"/>
  <c r="AV401" i="7"/>
  <c r="AU401" i="7"/>
  <c r="BC400" i="7"/>
  <c r="BB400" i="7"/>
  <c r="BA400" i="7"/>
  <c r="AV400" i="7"/>
  <c r="AU400" i="7"/>
  <c r="BC399" i="7"/>
  <c r="BB399" i="7"/>
  <c r="BA399" i="7"/>
  <c r="AV399" i="7"/>
  <c r="AU399" i="7"/>
  <c r="BC398" i="7"/>
  <c r="BB398" i="7"/>
  <c r="BA398" i="7"/>
  <c r="AV398" i="7"/>
  <c r="AU398" i="7"/>
  <c r="BC397" i="7"/>
  <c r="BB397" i="7"/>
  <c r="BA397" i="7"/>
  <c r="AV397" i="7"/>
  <c r="AU397" i="7"/>
  <c r="BC396" i="7"/>
  <c r="BB396" i="7"/>
  <c r="BA396" i="7"/>
  <c r="AV396" i="7"/>
  <c r="AU396" i="7"/>
  <c r="BC395" i="7"/>
  <c r="BB395" i="7"/>
  <c r="BA395" i="7"/>
  <c r="AV395" i="7"/>
  <c r="AU395" i="7"/>
  <c r="BC394" i="7"/>
  <c r="BB394" i="7"/>
  <c r="BA394" i="7"/>
  <c r="AV394" i="7"/>
  <c r="AU394" i="7"/>
  <c r="BC393" i="7"/>
  <c r="BB393" i="7"/>
  <c r="BA393" i="7"/>
  <c r="AV393" i="7"/>
  <c r="AU393" i="7"/>
  <c r="BC392" i="7"/>
  <c r="BB392" i="7"/>
  <c r="BA392" i="7"/>
  <c r="AV392" i="7"/>
  <c r="AU392" i="7"/>
  <c r="BC391" i="7"/>
  <c r="BB391" i="7"/>
  <c r="BA391" i="7"/>
  <c r="AV391" i="7"/>
  <c r="AU391" i="7"/>
  <c r="BC390" i="7"/>
  <c r="BB390" i="7"/>
  <c r="BA390" i="7"/>
  <c r="AV390" i="7"/>
  <c r="AU390" i="7"/>
  <c r="BC389" i="7"/>
  <c r="BB389" i="7"/>
  <c r="BA389" i="7"/>
  <c r="AV389" i="7"/>
  <c r="AU389" i="7"/>
  <c r="BC388" i="7"/>
  <c r="BB388" i="7"/>
  <c r="BA388" i="7"/>
  <c r="AV388" i="7"/>
  <c r="AU388" i="7"/>
  <c r="BC387" i="7"/>
  <c r="BB387" i="7"/>
  <c r="BA387" i="7"/>
  <c r="AV387" i="7"/>
  <c r="AU387" i="7"/>
  <c r="BC386" i="7"/>
  <c r="BB386" i="7"/>
  <c r="BA386" i="7"/>
  <c r="AV386" i="7"/>
  <c r="AU386" i="7"/>
  <c r="BC385" i="7"/>
  <c r="BB385" i="7"/>
  <c r="BA385" i="7"/>
  <c r="AV385" i="7"/>
  <c r="AU385" i="7"/>
  <c r="BC384" i="7"/>
  <c r="BB384" i="7"/>
  <c r="BA384" i="7"/>
  <c r="AV384" i="7"/>
  <c r="AU384" i="7"/>
  <c r="BC383" i="7"/>
  <c r="BB383" i="7"/>
  <c r="BA383" i="7"/>
  <c r="AV383" i="7"/>
  <c r="AU383" i="7"/>
  <c r="BC382" i="7"/>
  <c r="BB382" i="7"/>
  <c r="BA382" i="7"/>
  <c r="AV382" i="7"/>
  <c r="AU382" i="7"/>
  <c r="BC381" i="7"/>
  <c r="BB381" i="7"/>
  <c r="BA381" i="7"/>
  <c r="AV381" i="7"/>
  <c r="AU381" i="7"/>
  <c r="BC380" i="7"/>
  <c r="BB380" i="7"/>
  <c r="BA380" i="7"/>
  <c r="AV380" i="7"/>
  <c r="AU380" i="7"/>
  <c r="BC379" i="7"/>
  <c r="BB379" i="7"/>
  <c r="BA379" i="7"/>
  <c r="AV379" i="7"/>
  <c r="AU379" i="7"/>
  <c r="BC378" i="7"/>
  <c r="BB378" i="7"/>
  <c r="BA378" i="7"/>
  <c r="AV378" i="7"/>
  <c r="AU378" i="7"/>
  <c r="BC377" i="7"/>
  <c r="BB377" i="7"/>
  <c r="BA377" i="7"/>
  <c r="AV377" i="7"/>
  <c r="AU377" i="7"/>
  <c r="BC376" i="7"/>
  <c r="BB376" i="7"/>
  <c r="BA376" i="7"/>
  <c r="AV376" i="7"/>
  <c r="AU376" i="7"/>
  <c r="BC375" i="7"/>
  <c r="BB375" i="7"/>
  <c r="BA375" i="7"/>
  <c r="AV375" i="7"/>
  <c r="AU375" i="7"/>
  <c r="BC374" i="7"/>
  <c r="BB374" i="7"/>
  <c r="BA374" i="7"/>
  <c r="AV374" i="7"/>
  <c r="AU374" i="7"/>
  <c r="BC373" i="7"/>
  <c r="BB373" i="7"/>
  <c r="BA373" i="7"/>
  <c r="AV373" i="7"/>
  <c r="AU373" i="7"/>
  <c r="BC372" i="7"/>
  <c r="BB372" i="7"/>
  <c r="BA372" i="7"/>
  <c r="AV372" i="7"/>
  <c r="AU372" i="7"/>
  <c r="BC371" i="7"/>
  <c r="BB371" i="7"/>
  <c r="BA371" i="7"/>
  <c r="AV371" i="7"/>
  <c r="AU371" i="7"/>
  <c r="BC370" i="7"/>
  <c r="BB370" i="7"/>
  <c r="BA370" i="7"/>
  <c r="AV370" i="7"/>
  <c r="AU370" i="7"/>
  <c r="BC369" i="7"/>
  <c r="BB369" i="7"/>
  <c r="BA369" i="7"/>
  <c r="AV369" i="7"/>
  <c r="AU369" i="7"/>
  <c r="BC368" i="7"/>
  <c r="BB368" i="7"/>
  <c r="BA368" i="7"/>
  <c r="AV368" i="7"/>
  <c r="AU368" i="7"/>
  <c r="BC367" i="7"/>
  <c r="BB367" i="7"/>
  <c r="BA367" i="7"/>
  <c r="AV367" i="7"/>
  <c r="AU367" i="7"/>
  <c r="BC366" i="7"/>
  <c r="BB366" i="7"/>
  <c r="BA366" i="7"/>
  <c r="AV366" i="7"/>
  <c r="AU366" i="7"/>
  <c r="BC365" i="7"/>
  <c r="BB365" i="7"/>
  <c r="BA365" i="7"/>
  <c r="AV365" i="7"/>
  <c r="AU365" i="7"/>
  <c r="BC364" i="7"/>
  <c r="BB364" i="7"/>
  <c r="BA364" i="7"/>
  <c r="AV364" i="7"/>
  <c r="AU364" i="7"/>
  <c r="BC363" i="7"/>
  <c r="BB363" i="7"/>
  <c r="BA363" i="7"/>
  <c r="AV363" i="7"/>
  <c r="AU363" i="7"/>
  <c r="BC362" i="7"/>
  <c r="BB362" i="7"/>
  <c r="BA362" i="7"/>
  <c r="AV362" i="7"/>
  <c r="AU362" i="7"/>
  <c r="BC361" i="7"/>
  <c r="BB361" i="7"/>
  <c r="BA361" i="7"/>
  <c r="AV361" i="7"/>
  <c r="AU361" i="7"/>
  <c r="BC360" i="7"/>
  <c r="BB360" i="7"/>
  <c r="BA360" i="7"/>
  <c r="AV360" i="7"/>
  <c r="AU360" i="7"/>
  <c r="BC359" i="7"/>
  <c r="BB359" i="7"/>
  <c r="BA359" i="7"/>
  <c r="AV359" i="7"/>
  <c r="AU359" i="7"/>
  <c r="BC358" i="7"/>
  <c r="BB358" i="7"/>
  <c r="BA358" i="7"/>
  <c r="AV358" i="7"/>
  <c r="AU358" i="7"/>
  <c r="BC357" i="7"/>
  <c r="BB357" i="7"/>
  <c r="BA357" i="7"/>
  <c r="AV357" i="7"/>
  <c r="AU357" i="7"/>
  <c r="BC356" i="7"/>
  <c r="BB356" i="7"/>
  <c r="BA356" i="7"/>
  <c r="AV356" i="7"/>
  <c r="AU356" i="7"/>
  <c r="BC355" i="7"/>
  <c r="BB355" i="7"/>
  <c r="BA355" i="7"/>
  <c r="AV355" i="7"/>
  <c r="AU355" i="7"/>
  <c r="BC354" i="7"/>
  <c r="BB354" i="7"/>
  <c r="BA354" i="7"/>
  <c r="AV354" i="7"/>
  <c r="AU354" i="7"/>
  <c r="BC353" i="7"/>
  <c r="BB353" i="7"/>
  <c r="BA353" i="7"/>
  <c r="AV353" i="7"/>
  <c r="AU353" i="7"/>
  <c r="BC352" i="7"/>
  <c r="BB352" i="7"/>
  <c r="BA352" i="7"/>
  <c r="AV352" i="7"/>
  <c r="AU352" i="7"/>
  <c r="BC351" i="7"/>
  <c r="BB351" i="7"/>
  <c r="BA351" i="7"/>
  <c r="AV351" i="7"/>
  <c r="AU351" i="7"/>
  <c r="BC350" i="7"/>
  <c r="BB350" i="7"/>
  <c r="BA350" i="7"/>
  <c r="AV350" i="7"/>
  <c r="AU350" i="7"/>
  <c r="BC349" i="7"/>
  <c r="BB349" i="7"/>
  <c r="BA349" i="7"/>
  <c r="AV349" i="7"/>
  <c r="AU349" i="7"/>
  <c r="BC348" i="7"/>
  <c r="BB348" i="7"/>
  <c r="BA348" i="7"/>
  <c r="AV348" i="7"/>
  <c r="AU348" i="7"/>
  <c r="BC347" i="7"/>
  <c r="BB347" i="7"/>
  <c r="BA347" i="7"/>
  <c r="AV347" i="7"/>
  <c r="AU347" i="7"/>
  <c r="BC346" i="7"/>
  <c r="BB346" i="7"/>
  <c r="BA346" i="7"/>
  <c r="AV346" i="7"/>
  <c r="AU346" i="7"/>
  <c r="BC345" i="7"/>
  <c r="BB345" i="7"/>
  <c r="BA345" i="7"/>
  <c r="AV345" i="7"/>
  <c r="AU345" i="7"/>
  <c r="BC344" i="7"/>
  <c r="BB344" i="7"/>
  <c r="BA344" i="7"/>
  <c r="AV344" i="7"/>
  <c r="AU344" i="7"/>
  <c r="BC343" i="7"/>
  <c r="BB343" i="7"/>
  <c r="BA343" i="7"/>
  <c r="AV343" i="7"/>
  <c r="AU343" i="7"/>
  <c r="BC342" i="7"/>
  <c r="BB342" i="7"/>
  <c r="BA342" i="7"/>
  <c r="AV342" i="7"/>
  <c r="AU342" i="7"/>
  <c r="BC341" i="7"/>
  <c r="BB341" i="7"/>
  <c r="BA341" i="7"/>
  <c r="AV341" i="7"/>
  <c r="AU341" i="7"/>
  <c r="BC340" i="7"/>
  <c r="BB340" i="7"/>
  <c r="BA340" i="7"/>
  <c r="AV340" i="7"/>
  <c r="AU340" i="7"/>
  <c r="BC339" i="7"/>
  <c r="BB339" i="7"/>
  <c r="BA339" i="7"/>
  <c r="AV339" i="7"/>
  <c r="AU339" i="7"/>
  <c r="BC338" i="7"/>
  <c r="BB338" i="7"/>
  <c r="BA338" i="7"/>
  <c r="AV338" i="7"/>
  <c r="AU338" i="7"/>
  <c r="BC337" i="7"/>
  <c r="BB337" i="7"/>
  <c r="BA337" i="7"/>
  <c r="AV337" i="7"/>
  <c r="AU337" i="7"/>
  <c r="BC336" i="7"/>
  <c r="BB336" i="7"/>
  <c r="BA336" i="7"/>
  <c r="AV336" i="7"/>
  <c r="AU336" i="7"/>
  <c r="BC335" i="7"/>
  <c r="BB335" i="7"/>
  <c r="BA335" i="7"/>
  <c r="AV335" i="7"/>
  <c r="AU335" i="7"/>
  <c r="BC334" i="7"/>
  <c r="BB334" i="7"/>
  <c r="BA334" i="7"/>
  <c r="AV334" i="7"/>
  <c r="AU334" i="7"/>
  <c r="BC333" i="7"/>
  <c r="BB333" i="7"/>
  <c r="BA333" i="7"/>
  <c r="AV333" i="7"/>
  <c r="AU333" i="7"/>
  <c r="BC332" i="7"/>
  <c r="BB332" i="7"/>
  <c r="BA332" i="7"/>
  <c r="AV332" i="7"/>
  <c r="AU332" i="7"/>
  <c r="BC331" i="7"/>
  <c r="BB331" i="7"/>
  <c r="BA331" i="7"/>
  <c r="AV331" i="7"/>
  <c r="AU331" i="7"/>
  <c r="BC330" i="7"/>
  <c r="BB330" i="7"/>
  <c r="BA330" i="7"/>
  <c r="AV330" i="7"/>
  <c r="AU330" i="7"/>
  <c r="BC329" i="7"/>
  <c r="BB329" i="7"/>
  <c r="BA329" i="7"/>
  <c r="AV329" i="7"/>
  <c r="AU329" i="7"/>
  <c r="BC328" i="7"/>
  <c r="BB328" i="7"/>
  <c r="BA328" i="7"/>
  <c r="AV328" i="7"/>
  <c r="AU328" i="7"/>
  <c r="BC327" i="7"/>
  <c r="BB327" i="7"/>
  <c r="BA327" i="7"/>
  <c r="AV327" i="7"/>
  <c r="AU327" i="7"/>
  <c r="BC326" i="7"/>
  <c r="BB326" i="7"/>
  <c r="BA326" i="7"/>
  <c r="AV326" i="7"/>
  <c r="AU326" i="7"/>
  <c r="BC325" i="7"/>
  <c r="BB325" i="7"/>
  <c r="BA325" i="7"/>
  <c r="AV325" i="7"/>
  <c r="AU325" i="7"/>
  <c r="BC324" i="7"/>
  <c r="BB324" i="7"/>
  <c r="BA324" i="7"/>
  <c r="AV324" i="7"/>
  <c r="AU324" i="7"/>
  <c r="BC323" i="7"/>
  <c r="BB323" i="7"/>
  <c r="BA323" i="7"/>
  <c r="AV323" i="7"/>
  <c r="AU323" i="7"/>
  <c r="BC322" i="7"/>
  <c r="BB322" i="7"/>
  <c r="BA322" i="7"/>
  <c r="AV322" i="7"/>
  <c r="AU322" i="7"/>
  <c r="BC321" i="7"/>
  <c r="BB321" i="7"/>
  <c r="BA321" i="7"/>
  <c r="AV321" i="7"/>
  <c r="AU321" i="7"/>
  <c r="BC320" i="7"/>
  <c r="BB320" i="7"/>
  <c r="BA320" i="7"/>
  <c r="AV320" i="7"/>
  <c r="AU320" i="7"/>
  <c r="BC319" i="7"/>
  <c r="BB319" i="7"/>
  <c r="BA319" i="7"/>
  <c r="AV319" i="7"/>
  <c r="AU319" i="7"/>
  <c r="BC318" i="7"/>
  <c r="BB318" i="7"/>
  <c r="BA318" i="7"/>
  <c r="AV318" i="7"/>
  <c r="AU318" i="7"/>
  <c r="BC317" i="7"/>
  <c r="BB317" i="7"/>
  <c r="BA317" i="7"/>
  <c r="AV317" i="7"/>
  <c r="AU317" i="7"/>
  <c r="BC316" i="7"/>
  <c r="BB316" i="7"/>
  <c r="BA316" i="7"/>
  <c r="AV316" i="7"/>
  <c r="AU316" i="7"/>
  <c r="BC315" i="7"/>
  <c r="BB315" i="7"/>
  <c r="BA315" i="7"/>
  <c r="AV315" i="7"/>
  <c r="AU315" i="7"/>
  <c r="BC314" i="7"/>
  <c r="BB314" i="7"/>
  <c r="BA314" i="7"/>
  <c r="AV314" i="7"/>
  <c r="AU314" i="7"/>
  <c r="BC313" i="7"/>
  <c r="BB313" i="7"/>
  <c r="BA313" i="7"/>
  <c r="AV313" i="7"/>
  <c r="AU313" i="7"/>
  <c r="BC312" i="7"/>
  <c r="BB312" i="7"/>
  <c r="BA312" i="7"/>
  <c r="AV312" i="7"/>
  <c r="AU312" i="7"/>
  <c r="BC311" i="7"/>
  <c r="BB311" i="7"/>
  <c r="BA311" i="7"/>
  <c r="AV311" i="7"/>
  <c r="AU311" i="7"/>
  <c r="BC310" i="7"/>
  <c r="BB310" i="7"/>
  <c r="BA310" i="7"/>
  <c r="AV310" i="7"/>
  <c r="AU310" i="7"/>
  <c r="BC309" i="7"/>
  <c r="BB309" i="7"/>
  <c r="BA309" i="7"/>
  <c r="AV309" i="7"/>
  <c r="AU309" i="7"/>
  <c r="BC308" i="7"/>
  <c r="BB308" i="7"/>
  <c r="BA308" i="7"/>
  <c r="AV308" i="7"/>
  <c r="AU308" i="7"/>
  <c r="BC307" i="7"/>
  <c r="BB307" i="7"/>
  <c r="BA307" i="7"/>
  <c r="AV307" i="7"/>
  <c r="AU307" i="7"/>
  <c r="BC306" i="7"/>
  <c r="BB306" i="7"/>
  <c r="BA306" i="7"/>
  <c r="AV306" i="7"/>
  <c r="AU306" i="7"/>
  <c r="BC305" i="7"/>
  <c r="BB305" i="7"/>
  <c r="BA305" i="7"/>
  <c r="AV305" i="7"/>
  <c r="AU305" i="7"/>
  <c r="BC304" i="7"/>
  <c r="BB304" i="7"/>
  <c r="BA304" i="7"/>
  <c r="AV304" i="7"/>
  <c r="AU304" i="7"/>
  <c r="BC303" i="7"/>
  <c r="BB303" i="7"/>
  <c r="BA303" i="7"/>
  <c r="AV303" i="7"/>
  <c r="AU303" i="7"/>
  <c r="BC302" i="7"/>
  <c r="BB302" i="7"/>
  <c r="BA302" i="7"/>
  <c r="AV302" i="7"/>
  <c r="AU302" i="7"/>
  <c r="BC301" i="7"/>
  <c r="BB301" i="7"/>
  <c r="BA301" i="7"/>
  <c r="AV301" i="7"/>
  <c r="AU301" i="7"/>
  <c r="BC300" i="7"/>
  <c r="BB300" i="7"/>
  <c r="BA300" i="7"/>
  <c r="AV300" i="7"/>
  <c r="AU300" i="7"/>
  <c r="BC299" i="7"/>
  <c r="BB299" i="7"/>
  <c r="BA299" i="7"/>
  <c r="AV299" i="7"/>
  <c r="AU299" i="7"/>
  <c r="BC298" i="7"/>
  <c r="BB298" i="7"/>
  <c r="BA298" i="7"/>
  <c r="AV298" i="7"/>
  <c r="AU298" i="7"/>
  <c r="BC297" i="7"/>
  <c r="BB297" i="7"/>
  <c r="BA297" i="7"/>
  <c r="AV297" i="7"/>
  <c r="AU297" i="7"/>
  <c r="BC296" i="7"/>
  <c r="BB296" i="7"/>
  <c r="BA296" i="7"/>
  <c r="AV296" i="7"/>
  <c r="AU296" i="7"/>
  <c r="BC295" i="7"/>
  <c r="BB295" i="7"/>
  <c r="BA295" i="7"/>
  <c r="AV295" i="7"/>
  <c r="AU295" i="7"/>
  <c r="BC294" i="7"/>
  <c r="BB294" i="7"/>
  <c r="BA294" i="7"/>
  <c r="AV294" i="7"/>
  <c r="AU294" i="7"/>
  <c r="BC293" i="7"/>
  <c r="BB293" i="7"/>
  <c r="BA293" i="7"/>
  <c r="AV293" i="7"/>
  <c r="AU293" i="7"/>
  <c r="BC292" i="7"/>
  <c r="BB292" i="7"/>
  <c r="BA292" i="7"/>
  <c r="AV292" i="7"/>
  <c r="AU292" i="7"/>
  <c r="BC291" i="7"/>
  <c r="BB291" i="7"/>
  <c r="BA291" i="7"/>
  <c r="AV291" i="7"/>
  <c r="AU291" i="7"/>
  <c r="BC290" i="7"/>
  <c r="BB290" i="7"/>
  <c r="BA290" i="7"/>
  <c r="AV290" i="7"/>
  <c r="AU290" i="7"/>
  <c r="BC289" i="7"/>
  <c r="BB289" i="7"/>
  <c r="BA289" i="7"/>
  <c r="AV289" i="7"/>
  <c r="AU289" i="7"/>
  <c r="BC288" i="7"/>
  <c r="BB288" i="7"/>
  <c r="BA288" i="7"/>
  <c r="AV288" i="7"/>
  <c r="AU288" i="7"/>
  <c r="BC287" i="7"/>
  <c r="BB287" i="7"/>
  <c r="BA287" i="7"/>
  <c r="AV287" i="7"/>
  <c r="AU287" i="7"/>
  <c r="BC286" i="7"/>
  <c r="BB286" i="7"/>
  <c r="BA286" i="7"/>
  <c r="AV286" i="7"/>
  <c r="AU286" i="7"/>
  <c r="BC285" i="7"/>
  <c r="BB285" i="7"/>
  <c r="BA285" i="7"/>
  <c r="AV285" i="7"/>
  <c r="AU285" i="7"/>
  <c r="BC284" i="7"/>
  <c r="BB284" i="7"/>
  <c r="BA284" i="7"/>
  <c r="AV284" i="7"/>
  <c r="AU284" i="7"/>
  <c r="BC283" i="7"/>
  <c r="BB283" i="7"/>
  <c r="BA283" i="7"/>
  <c r="AV283" i="7"/>
  <c r="AU283" i="7"/>
  <c r="BC282" i="7"/>
  <c r="BB282" i="7"/>
  <c r="BA282" i="7"/>
  <c r="AV282" i="7"/>
  <c r="AU282" i="7"/>
  <c r="BC281" i="7"/>
  <c r="BB281" i="7"/>
  <c r="BA281" i="7"/>
  <c r="AV281" i="7"/>
  <c r="AU281" i="7"/>
  <c r="BC280" i="7"/>
  <c r="BB280" i="7"/>
  <c r="BA280" i="7"/>
  <c r="AV280" i="7"/>
  <c r="AU280" i="7"/>
  <c r="BC279" i="7"/>
  <c r="BB279" i="7"/>
  <c r="BA279" i="7"/>
  <c r="AV279" i="7"/>
  <c r="AU279" i="7"/>
  <c r="BC278" i="7"/>
  <c r="BB278" i="7"/>
  <c r="BA278" i="7"/>
  <c r="AV278" i="7"/>
  <c r="AU278" i="7"/>
  <c r="BC277" i="7"/>
  <c r="BB277" i="7"/>
  <c r="BA277" i="7"/>
  <c r="AV277" i="7"/>
  <c r="AU277" i="7"/>
  <c r="BC276" i="7"/>
  <c r="BB276" i="7"/>
  <c r="BA276" i="7"/>
  <c r="AV276" i="7"/>
  <c r="AU276" i="7"/>
  <c r="BC275" i="7"/>
  <c r="BB275" i="7"/>
  <c r="BA275" i="7"/>
  <c r="AV275" i="7"/>
  <c r="AU275" i="7"/>
  <c r="BC274" i="7"/>
  <c r="BB274" i="7"/>
  <c r="BA274" i="7"/>
  <c r="AV274" i="7"/>
  <c r="AU274" i="7"/>
  <c r="BC273" i="7"/>
  <c r="BB273" i="7"/>
  <c r="BA273" i="7"/>
  <c r="AV273" i="7"/>
  <c r="AU273" i="7"/>
  <c r="BC272" i="7"/>
  <c r="BB272" i="7"/>
  <c r="BA272" i="7"/>
  <c r="AV272" i="7"/>
  <c r="AU272" i="7"/>
  <c r="BC271" i="7"/>
  <c r="BB271" i="7"/>
  <c r="BA271" i="7"/>
  <c r="AV271" i="7"/>
  <c r="AU271" i="7"/>
  <c r="BC270" i="7"/>
  <c r="BB270" i="7"/>
  <c r="BA270" i="7"/>
  <c r="AV270" i="7"/>
  <c r="AU270" i="7"/>
  <c r="BC269" i="7"/>
  <c r="BB269" i="7"/>
  <c r="BA269" i="7"/>
  <c r="AV269" i="7"/>
  <c r="AU269" i="7"/>
  <c r="BC268" i="7"/>
  <c r="BB268" i="7"/>
  <c r="BA268" i="7"/>
  <c r="AV268" i="7"/>
  <c r="AU268" i="7"/>
  <c r="BC267" i="7"/>
  <c r="BB267" i="7"/>
  <c r="BA267" i="7"/>
  <c r="AV267" i="7"/>
  <c r="AU267" i="7"/>
  <c r="BC266" i="7"/>
  <c r="BB266" i="7"/>
  <c r="BA266" i="7"/>
  <c r="AV266" i="7"/>
  <c r="AU266" i="7"/>
  <c r="BC265" i="7"/>
  <c r="BB265" i="7"/>
  <c r="BA265" i="7"/>
  <c r="AV265" i="7"/>
  <c r="AU265" i="7"/>
  <c r="BC264" i="7"/>
  <c r="BB264" i="7"/>
  <c r="BA264" i="7"/>
  <c r="AV264" i="7"/>
  <c r="AU264" i="7"/>
  <c r="BC263" i="7"/>
  <c r="BB263" i="7"/>
  <c r="BA263" i="7"/>
  <c r="AV263" i="7"/>
  <c r="AU263" i="7"/>
  <c r="BC262" i="7"/>
  <c r="BB262" i="7"/>
  <c r="BA262" i="7"/>
  <c r="AV262" i="7"/>
  <c r="AU262" i="7"/>
  <c r="BC261" i="7"/>
  <c r="BB261" i="7"/>
  <c r="BA261" i="7"/>
  <c r="AV261" i="7"/>
  <c r="AU261" i="7"/>
  <c r="BC260" i="7"/>
  <c r="BB260" i="7"/>
  <c r="BA260" i="7"/>
  <c r="AV260" i="7"/>
  <c r="AU260" i="7"/>
  <c r="BC259" i="7"/>
  <c r="BB259" i="7"/>
  <c r="BA259" i="7"/>
  <c r="AV259" i="7"/>
  <c r="AU259" i="7"/>
  <c r="BC258" i="7"/>
  <c r="BB258" i="7"/>
  <c r="BA258" i="7"/>
  <c r="AV258" i="7"/>
  <c r="AU258" i="7"/>
  <c r="BC257" i="7"/>
  <c r="BB257" i="7"/>
  <c r="BA257" i="7"/>
  <c r="AV257" i="7"/>
  <c r="AU257" i="7"/>
  <c r="BC256" i="7"/>
  <c r="BB256" i="7"/>
  <c r="BA256" i="7"/>
  <c r="AV256" i="7"/>
  <c r="AU256" i="7"/>
  <c r="BC255" i="7"/>
  <c r="BB255" i="7"/>
  <c r="BA255" i="7"/>
  <c r="AV255" i="7"/>
  <c r="AU255" i="7"/>
  <c r="BC254" i="7"/>
  <c r="BB254" i="7"/>
  <c r="BA254" i="7"/>
  <c r="AV254" i="7"/>
  <c r="AU254" i="7"/>
  <c r="BC253" i="7"/>
  <c r="BB253" i="7"/>
  <c r="BA253" i="7"/>
  <c r="AV253" i="7"/>
  <c r="AU253" i="7"/>
  <c r="BC252" i="7"/>
  <c r="BB252" i="7"/>
  <c r="BA252" i="7"/>
  <c r="AV252" i="7"/>
  <c r="AU252" i="7"/>
  <c r="BC251" i="7"/>
  <c r="BB251" i="7"/>
  <c r="BA251" i="7"/>
  <c r="AV251" i="7"/>
  <c r="AU251" i="7"/>
  <c r="BC250" i="7"/>
  <c r="BB250" i="7"/>
  <c r="BA250" i="7"/>
  <c r="AV250" i="7"/>
  <c r="AU250" i="7"/>
  <c r="BC249" i="7"/>
  <c r="BB249" i="7"/>
  <c r="BA249" i="7"/>
  <c r="AV249" i="7"/>
  <c r="AU249" i="7"/>
  <c r="BC248" i="7"/>
  <c r="BB248" i="7"/>
  <c r="BA248" i="7"/>
  <c r="AV248" i="7"/>
  <c r="AU248" i="7"/>
  <c r="BC247" i="7"/>
  <c r="BB247" i="7"/>
  <c r="BA247" i="7"/>
  <c r="AV247" i="7"/>
  <c r="AU247" i="7"/>
  <c r="BC246" i="7"/>
  <c r="BB246" i="7"/>
  <c r="BA246" i="7"/>
  <c r="AV246" i="7"/>
  <c r="AU246" i="7"/>
  <c r="BC245" i="7"/>
  <c r="BB245" i="7"/>
  <c r="BA245" i="7"/>
  <c r="AV245" i="7"/>
  <c r="AU245" i="7"/>
  <c r="BC244" i="7"/>
  <c r="BB244" i="7"/>
  <c r="BA244" i="7"/>
  <c r="AV244" i="7"/>
  <c r="AU244" i="7"/>
  <c r="BC243" i="7"/>
  <c r="BB243" i="7"/>
  <c r="BA243" i="7"/>
  <c r="AV243" i="7"/>
  <c r="AU243" i="7"/>
  <c r="BC242" i="7"/>
  <c r="BB242" i="7"/>
  <c r="BA242" i="7"/>
  <c r="AV242" i="7"/>
  <c r="AU242" i="7"/>
  <c r="BC241" i="7"/>
  <c r="BB241" i="7"/>
  <c r="BA241" i="7"/>
  <c r="AV241" i="7"/>
  <c r="AU241" i="7"/>
  <c r="BC240" i="7"/>
  <c r="BB240" i="7"/>
  <c r="BA240" i="7"/>
  <c r="AV240" i="7"/>
  <c r="AU240" i="7"/>
  <c r="BC239" i="7"/>
  <c r="BB239" i="7"/>
  <c r="BA239" i="7"/>
  <c r="AV239" i="7"/>
  <c r="AU239" i="7"/>
  <c r="BC238" i="7"/>
  <c r="BB238" i="7"/>
  <c r="BA238" i="7"/>
  <c r="AV238" i="7"/>
  <c r="AU238" i="7"/>
  <c r="BC237" i="7"/>
  <c r="BB237" i="7"/>
  <c r="BA237" i="7"/>
  <c r="AV237" i="7"/>
  <c r="AU237" i="7"/>
  <c r="BC236" i="7"/>
  <c r="BB236" i="7"/>
  <c r="BA236" i="7"/>
  <c r="AV236" i="7"/>
  <c r="AU236" i="7"/>
  <c r="BC235" i="7"/>
  <c r="BB235" i="7"/>
  <c r="BA235" i="7"/>
  <c r="AV235" i="7"/>
  <c r="AU235" i="7"/>
  <c r="BC234" i="7"/>
  <c r="BB234" i="7"/>
  <c r="BA234" i="7"/>
  <c r="AV234" i="7"/>
  <c r="AU234" i="7"/>
  <c r="BC233" i="7"/>
  <c r="BB233" i="7"/>
  <c r="BA233" i="7"/>
  <c r="AV233" i="7"/>
  <c r="AU233" i="7"/>
  <c r="BC232" i="7"/>
  <c r="BB232" i="7"/>
  <c r="BA232" i="7"/>
  <c r="AV232" i="7"/>
  <c r="AU232" i="7"/>
  <c r="BC231" i="7"/>
  <c r="BB231" i="7"/>
  <c r="BA231" i="7"/>
  <c r="AV231" i="7"/>
  <c r="AU231" i="7"/>
  <c r="BC230" i="7"/>
  <c r="BB230" i="7"/>
  <c r="BA230" i="7"/>
  <c r="AV230" i="7"/>
  <c r="AU230" i="7"/>
  <c r="BC229" i="7"/>
  <c r="BB229" i="7"/>
  <c r="BA229" i="7"/>
  <c r="AV229" i="7"/>
  <c r="AU229" i="7"/>
  <c r="BC228" i="7"/>
  <c r="BB228" i="7"/>
  <c r="BA228" i="7"/>
  <c r="AV228" i="7"/>
  <c r="AU228" i="7"/>
  <c r="BC227" i="7"/>
  <c r="BB227" i="7"/>
  <c r="BA227" i="7"/>
  <c r="AV227" i="7"/>
  <c r="AU227" i="7"/>
  <c r="BC226" i="7"/>
  <c r="BB226" i="7"/>
  <c r="BA226" i="7"/>
  <c r="AV226" i="7"/>
  <c r="AU226" i="7"/>
  <c r="BC225" i="7"/>
  <c r="BB225" i="7"/>
  <c r="BA225" i="7"/>
  <c r="AV225" i="7"/>
  <c r="AU225" i="7"/>
  <c r="BC224" i="7"/>
  <c r="BB224" i="7"/>
  <c r="BA224" i="7"/>
  <c r="AV224" i="7"/>
  <c r="AU224" i="7"/>
  <c r="BC223" i="7"/>
  <c r="BB223" i="7"/>
  <c r="BA223" i="7"/>
  <c r="AV223" i="7"/>
  <c r="AU223" i="7"/>
  <c r="BC222" i="7"/>
  <c r="BB222" i="7"/>
  <c r="BA222" i="7"/>
  <c r="AV222" i="7"/>
  <c r="AU222" i="7"/>
  <c r="BC221" i="7"/>
  <c r="BB221" i="7"/>
  <c r="BA221" i="7"/>
  <c r="AV221" i="7"/>
  <c r="AU221" i="7"/>
  <c r="BC220" i="7"/>
  <c r="BB220" i="7"/>
  <c r="BA220" i="7"/>
  <c r="AV220" i="7"/>
  <c r="AU220" i="7"/>
  <c r="BC219" i="7"/>
  <c r="BB219" i="7"/>
  <c r="BA219" i="7"/>
  <c r="AV219" i="7"/>
  <c r="AU219" i="7"/>
  <c r="BC218" i="7"/>
  <c r="BB218" i="7"/>
  <c r="BA218" i="7"/>
  <c r="AV218" i="7"/>
  <c r="AU218" i="7"/>
  <c r="BC217" i="7"/>
  <c r="BB217" i="7"/>
  <c r="BA217" i="7"/>
  <c r="AV217" i="7"/>
  <c r="AU217" i="7"/>
  <c r="BC216" i="7"/>
  <c r="BB216" i="7"/>
  <c r="BA216" i="7"/>
  <c r="AV216" i="7"/>
  <c r="AU216" i="7"/>
  <c r="BC215" i="7"/>
  <c r="BB215" i="7"/>
  <c r="BA215" i="7"/>
  <c r="AV215" i="7"/>
  <c r="AU215" i="7"/>
  <c r="BC214" i="7"/>
  <c r="BB214" i="7"/>
  <c r="BA214" i="7"/>
  <c r="AV214" i="7"/>
  <c r="AU214" i="7"/>
  <c r="BC213" i="7"/>
  <c r="BB213" i="7"/>
  <c r="BA213" i="7"/>
  <c r="AV213" i="7"/>
  <c r="AU213" i="7"/>
  <c r="BC212" i="7"/>
  <c r="BB212" i="7"/>
  <c r="BA212" i="7"/>
  <c r="AV212" i="7"/>
  <c r="AU212" i="7"/>
  <c r="BC211" i="7"/>
  <c r="BB211" i="7"/>
  <c r="BA211" i="7"/>
  <c r="AV211" i="7"/>
  <c r="AU211" i="7"/>
  <c r="BC210" i="7"/>
  <c r="BB210" i="7"/>
  <c r="BA210" i="7"/>
  <c r="AV210" i="7"/>
  <c r="AU210" i="7"/>
  <c r="BC209" i="7"/>
  <c r="BB209" i="7"/>
  <c r="BA209" i="7"/>
  <c r="AV209" i="7"/>
  <c r="AU209" i="7"/>
  <c r="BC208" i="7"/>
  <c r="BB208" i="7"/>
  <c r="BA208" i="7"/>
  <c r="AV208" i="7"/>
  <c r="AU208" i="7"/>
  <c r="BC207" i="7"/>
  <c r="BB207" i="7"/>
  <c r="BA207" i="7"/>
  <c r="AV207" i="7"/>
  <c r="AU207" i="7"/>
  <c r="BC206" i="7"/>
  <c r="BB206" i="7"/>
  <c r="BA206" i="7"/>
  <c r="AV206" i="7"/>
  <c r="AU206" i="7"/>
  <c r="BC205" i="7"/>
  <c r="BB205" i="7"/>
  <c r="BA205" i="7"/>
  <c r="AV205" i="7"/>
  <c r="AU205" i="7"/>
  <c r="BC204" i="7"/>
  <c r="BB204" i="7"/>
  <c r="BA204" i="7"/>
  <c r="AV204" i="7"/>
  <c r="AU204" i="7"/>
  <c r="BC203" i="7"/>
  <c r="BB203" i="7"/>
  <c r="BA203" i="7"/>
  <c r="AV203" i="7"/>
  <c r="AU203" i="7"/>
  <c r="BC202" i="7"/>
  <c r="BB202" i="7"/>
  <c r="BA202" i="7"/>
  <c r="AV202" i="7"/>
  <c r="AU202" i="7"/>
  <c r="BC201" i="7"/>
  <c r="BB201" i="7"/>
  <c r="BA201" i="7"/>
  <c r="AV201" i="7"/>
  <c r="AU201" i="7"/>
  <c r="BC200" i="7"/>
  <c r="BB200" i="7"/>
  <c r="BA200" i="7"/>
  <c r="AV200" i="7"/>
  <c r="AU200" i="7"/>
  <c r="BC199" i="7"/>
  <c r="BB199" i="7"/>
  <c r="BA199" i="7"/>
  <c r="AV199" i="7"/>
  <c r="AU199" i="7"/>
  <c r="BC198" i="7"/>
  <c r="BB198" i="7"/>
  <c r="BA198" i="7"/>
  <c r="AV198" i="7"/>
  <c r="AU198" i="7"/>
  <c r="BC197" i="7"/>
  <c r="BB197" i="7"/>
  <c r="BA197" i="7"/>
  <c r="AV197" i="7"/>
  <c r="AU197" i="7"/>
  <c r="BC196" i="7"/>
  <c r="BB196" i="7"/>
  <c r="BA196" i="7"/>
  <c r="AV196" i="7"/>
  <c r="AU196" i="7"/>
  <c r="BC195" i="7"/>
  <c r="BB195" i="7"/>
  <c r="BA195" i="7"/>
  <c r="AV195" i="7"/>
  <c r="AU195" i="7"/>
  <c r="BC194" i="7"/>
  <c r="BB194" i="7"/>
  <c r="BA194" i="7"/>
  <c r="AV194" i="7"/>
  <c r="AU194" i="7"/>
  <c r="BC193" i="7"/>
  <c r="BB193" i="7"/>
  <c r="BA193" i="7"/>
  <c r="AV193" i="7"/>
  <c r="AU193" i="7"/>
  <c r="BC192" i="7"/>
  <c r="BB192" i="7"/>
  <c r="BA192" i="7"/>
  <c r="AV192" i="7"/>
  <c r="AU192" i="7"/>
  <c r="BC191" i="7"/>
  <c r="BB191" i="7"/>
  <c r="BA191" i="7"/>
  <c r="AV191" i="7"/>
  <c r="AU191" i="7"/>
  <c r="BC190" i="7"/>
  <c r="BB190" i="7"/>
  <c r="BA190" i="7"/>
  <c r="AV190" i="7"/>
  <c r="AU190" i="7"/>
  <c r="BC189" i="7"/>
  <c r="BB189" i="7"/>
  <c r="BA189" i="7"/>
  <c r="AV189" i="7"/>
  <c r="AU189" i="7"/>
  <c r="BC188" i="7"/>
  <c r="BB188" i="7"/>
  <c r="BA188" i="7"/>
  <c r="AV188" i="7"/>
  <c r="AU188" i="7"/>
  <c r="BC187" i="7"/>
  <c r="BB187" i="7"/>
  <c r="BA187" i="7"/>
  <c r="AV187" i="7"/>
  <c r="AU187" i="7"/>
  <c r="BC186" i="7"/>
  <c r="BB186" i="7"/>
  <c r="BA186" i="7"/>
  <c r="AV186" i="7"/>
  <c r="AU186" i="7"/>
  <c r="BC185" i="7"/>
  <c r="BB185" i="7"/>
  <c r="BA185" i="7"/>
  <c r="AV185" i="7"/>
  <c r="AU185" i="7"/>
  <c r="BC184" i="7"/>
  <c r="BB184" i="7"/>
  <c r="BA184" i="7"/>
  <c r="AV184" i="7"/>
  <c r="AU184" i="7"/>
  <c r="BC183" i="7"/>
  <c r="BB183" i="7"/>
  <c r="BA183" i="7"/>
  <c r="AV183" i="7"/>
  <c r="AU183" i="7"/>
  <c r="BC182" i="7"/>
  <c r="BB182" i="7"/>
  <c r="BA182" i="7"/>
  <c r="AV182" i="7"/>
  <c r="AU182" i="7"/>
  <c r="BC181" i="7"/>
  <c r="BB181" i="7"/>
  <c r="BA181" i="7"/>
  <c r="AV181" i="7"/>
  <c r="AU181" i="7"/>
  <c r="BC180" i="7"/>
  <c r="BB180" i="7"/>
  <c r="BA180" i="7"/>
  <c r="AV180" i="7"/>
  <c r="AU180" i="7"/>
  <c r="BC179" i="7"/>
  <c r="BB179" i="7"/>
  <c r="BA179" i="7"/>
  <c r="AV179" i="7"/>
  <c r="AU179" i="7"/>
  <c r="BC178" i="7"/>
  <c r="BB178" i="7"/>
  <c r="BA178" i="7"/>
  <c r="AV178" i="7"/>
  <c r="AU178" i="7"/>
  <c r="BC177" i="7"/>
  <c r="BB177" i="7"/>
  <c r="BA177" i="7"/>
  <c r="AV177" i="7"/>
  <c r="AU177" i="7"/>
  <c r="BC176" i="7"/>
  <c r="BB176" i="7"/>
  <c r="BA176" i="7"/>
  <c r="AV176" i="7"/>
  <c r="AU176" i="7"/>
  <c r="BC175" i="7"/>
  <c r="BB175" i="7"/>
  <c r="BA175" i="7"/>
  <c r="AV175" i="7"/>
  <c r="AU175" i="7"/>
  <c r="BC174" i="7"/>
  <c r="BB174" i="7"/>
  <c r="BA174" i="7"/>
  <c r="AV174" i="7"/>
  <c r="AU174" i="7"/>
  <c r="BC173" i="7"/>
  <c r="BB173" i="7"/>
  <c r="BA173" i="7"/>
  <c r="AV173" i="7"/>
  <c r="AU173" i="7"/>
  <c r="BC172" i="7"/>
  <c r="BB172" i="7"/>
  <c r="BA172" i="7"/>
  <c r="AV172" i="7"/>
  <c r="AU172" i="7"/>
  <c r="BC171" i="7"/>
  <c r="BB171" i="7"/>
  <c r="BA171" i="7"/>
  <c r="AV171" i="7"/>
  <c r="AU171" i="7"/>
  <c r="BC170" i="7"/>
  <c r="BB170" i="7"/>
  <c r="BA170" i="7"/>
  <c r="AV170" i="7"/>
  <c r="AU170" i="7"/>
  <c r="BC169" i="7"/>
  <c r="BB169" i="7"/>
  <c r="BA169" i="7"/>
  <c r="AV169" i="7"/>
  <c r="AU169" i="7"/>
  <c r="BC168" i="7"/>
  <c r="BB168" i="7"/>
  <c r="BA168" i="7"/>
  <c r="AV168" i="7"/>
  <c r="AU168" i="7"/>
  <c r="BC167" i="7"/>
  <c r="BB167" i="7"/>
  <c r="BA167" i="7"/>
  <c r="AV167" i="7"/>
  <c r="AU167" i="7"/>
  <c r="BC166" i="7"/>
  <c r="BB166" i="7"/>
  <c r="BA166" i="7"/>
  <c r="AV166" i="7"/>
  <c r="AU166" i="7"/>
  <c r="BC165" i="7"/>
  <c r="BB165" i="7"/>
  <c r="BA165" i="7"/>
  <c r="AV165" i="7"/>
  <c r="AU165" i="7"/>
  <c r="BC164" i="7"/>
  <c r="BB164" i="7"/>
  <c r="BA164" i="7"/>
  <c r="AV164" i="7"/>
  <c r="AU164" i="7"/>
  <c r="BC163" i="7"/>
  <c r="BB163" i="7"/>
  <c r="BA163" i="7"/>
  <c r="AV163" i="7"/>
  <c r="AU163" i="7"/>
  <c r="BC162" i="7"/>
  <c r="BB162" i="7"/>
  <c r="BA162" i="7"/>
  <c r="AV162" i="7"/>
  <c r="AU162" i="7"/>
  <c r="BC161" i="7"/>
  <c r="BB161" i="7"/>
  <c r="BA161" i="7"/>
  <c r="AV161" i="7"/>
  <c r="AU161" i="7"/>
  <c r="BC160" i="7"/>
  <c r="BB160" i="7"/>
  <c r="BA160" i="7"/>
  <c r="AV160" i="7"/>
  <c r="AU160" i="7"/>
  <c r="BC159" i="7"/>
  <c r="BB159" i="7"/>
  <c r="BA159" i="7"/>
  <c r="AV159" i="7"/>
  <c r="AU159" i="7"/>
  <c r="BC158" i="7"/>
  <c r="BB158" i="7"/>
  <c r="BA158" i="7"/>
  <c r="AV158" i="7"/>
  <c r="AU158" i="7"/>
  <c r="BC157" i="7"/>
  <c r="BB157" i="7"/>
  <c r="BA157" i="7"/>
  <c r="AV157" i="7"/>
  <c r="AU157" i="7"/>
  <c r="BC156" i="7"/>
  <c r="BB156" i="7"/>
  <c r="BA156" i="7"/>
  <c r="AV156" i="7"/>
  <c r="AU156" i="7"/>
  <c r="BC155" i="7"/>
  <c r="BB155" i="7"/>
  <c r="BA155" i="7"/>
  <c r="AV155" i="7"/>
  <c r="AU155" i="7"/>
  <c r="BC154" i="7"/>
  <c r="BB154" i="7"/>
  <c r="BA154" i="7"/>
  <c r="AV154" i="7"/>
  <c r="AU154" i="7"/>
  <c r="BC153" i="7"/>
  <c r="BB153" i="7"/>
  <c r="BA153" i="7"/>
  <c r="AV153" i="7"/>
  <c r="AU153" i="7"/>
  <c r="BC152" i="7"/>
  <c r="BB152" i="7"/>
  <c r="BA152" i="7"/>
  <c r="AV152" i="7"/>
  <c r="AU152" i="7"/>
  <c r="BC151" i="7"/>
  <c r="BB151" i="7"/>
  <c r="BA151" i="7"/>
  <c r="AV151" i="7"/>
  <c r="AU151" i="7"/>
  <c r="BC150" i="7"/>
  <c r="BB150" i="7"/>
  <c r="BA150" i="7"/>
  <c r="AV150" i="7"/>
  <c r="AU150" i="7"/>
  <c r="BC149" i="7"/>
  <c r="BB149" i="7"/>
  <c r="BA149" i="7"/>
  <c r="AV149" i="7"/>
  <c r="AU149" i="7"/>
  <c r="BC148" i="7"/>
  <c r="BB148" i="7"/>
  <c r="BA148" i="7"/>
  <c r="AV148" i="7"/>
  <c r="AU148" i="7"/>
  <c r="BC147" i="7"/>
  <c r="BB147" i="7"/>
  <c r="BA147" i="7"/>
  <c r="AV147" i="7"/>
  <c r="AU147" i="7"/>
  <c r="BC146" i="7"/>
  <c r="BB146" i="7"/>
  <c r="BA146" i="7"/>
  <c r="AV146" i="7"/>
  <c r="AU146" i="7"/>
  <c r="BC145" i="7"/>
  <c r="BB145" i="7"/>
  <c r="BA145" i="7"/>
  <c r="AV145" i="7"/>
  <c r="AU145" i="7"/>
  <c r="BC144" i="7"/>
  <c r="BB144" i="7"/>
  <c r="BA144" i="7"/>
  <c r="AV144" i="7"/>
  <c r="AU144" i="7"/>
  <c r="BC143" i="7"/>
  <c r="BB143" i="7"/>
  <c r="BA143" i="7"/>
  <c r="AV143" i="7"/>
  <c r="AU143" i="7"/>
  <c r="BC142" i="7"/>
  <c r="BB142" i="7"/>
  <c r="BA142" i="7"/>
  <c r="AV142" i="7"/>
  <c r="AU142" i="7"/>
  <c r="BC141" i="7"/>
  <c r="BB141" i="7"/>
  <c r="BA141" i="7"/>
  <c r="AV141" i="7"/>
  <c r="AU141" i="7"/>
  <c r="BC140" i="7"/>
  <c r="BB140" i="7"/>
  <c r="BA140" i="7"/>
  <c r="AV140" i="7"/>
  <c r="AU140" i="7"/>
  <c r="BC139" i="7"/>
  <c r="BB139" i="7"/>
  <c r="BA139" i="7"/>
  <c r="AV139" i="7"/>
  <c r="AU139" i="7"/>
  <c r="BC138" i="7"/>
  <c r="BB138" i="7"/>
  <c r="BA138" i="7"/>
  <c r="AV138" i="7"/>
  <c r="AU138" i="7"/>
  <c r="BC137" i="7"/>
  <c r="BB137" i="7"/>
  <c r="BA137" i="7"/>
  <c r="AV137" i="7"/>
  <c r="AU137" i="7"/>
  <c r="BC136" i="7"/>
  <c r="BB136" i="7"/>
  <c r="BA136" i="7"/>
  <c r="AV136" i="7"/>
  <c r="AU136" i="7"/>
  <c r="BC135" i="7"/>
  <c r="BB135" i="7"/>
  <c r="BA135" i="7"/>
  <c r="AV135" i="7"/>
  <c r="AU135" i="7"/>
  <c r="BC134" i="7"/>
  <c r="BB134" i="7"/>
  <c r="BA134" i="7"/>
  <c r="AV134" i="7"/>
  <c r="AU134" i="7"/>
  <c r="BC133" i="7"/>
  <c r="BB133" i="7"/>
  <c r="BA133" i="7"/>
  <c r="AV133" i="7"/>
  <c r="AU133" i="7"/>
  <c r="BC132" i="7"/>
  <c r="BB132" i="7"/>
  <c r="BA132" i="7"/>
  <c r="AV132" i="7"/>
  <c r="AU132" i="7"/>
  <c r="BC131" i="7"/>
  <c r="BB131" i="7"/>
  <c r="BA131" i="7"/>
  <c r="AV131" i="7"/>
  <c r="AU131" i="7"/>
  <c r="BC130" i="7"/>
  <c r="BB130" i="7"/>
  <c r="BA130" i="7"/>
  <c r="AV130" i="7"/>
  <c r="AU130" i="7"/>
  <c r="BC129" i="7"/>
  <c r="BB129" i="7"/>
  <c r="BA129" i="7"/>
  <c r="AV129" i="7"/>
  <c r="AU129" i="7"/>
  <c r="BC128" i="7"/>
  <c r="BB128" i="7"/>
  <c r="BA128" i="7"/>
  <c r="AV128" i="7"/>
  <c r="AU128" i="7"/>
  <c r="BC127" i="7"/>
  <c r="BB127" i="7"/>
  <c r="BA127" i="7"/>
  <c r="AV127" i="7"/>
  <c r="AU127" i="7"/>
  <c r="BC126" i="7"/>
  <c r="BB126" i="7"/>
  <c r="BA126" i="7"/>
  <c r="AV126" i="7"/>
  <c r="AU126" i="7"/>
  <c r="BC125" i="7"/>
  <c r="BB125" i="7"/>
  <c r="BA125" i="7"/>
  <c r="AV125" i="7"/>
  <c r="AU125" i="7"/>
  <c r="BC124" i="7"/>
  <c r="BB124" i="7"/>
  <c r="BA124" i="7"/>
  <c r="AV124" i="7"/>
  <c r="AU124" i="7"/>
  <c r="BC123" i="7"/>
  <c r="BB123" i="7"/>
  <c r="BA123" i="7"/>
  <c r="AV123" i="7"/>
  <c r="AU123" i="7"/>
  <c r="BC122" i="7"/>
  <c r="BB122" i="7"/>
  <c r="BA122" i="7"/>
  <c r="AV122" i="7"/>
  <c r="AU122" i="7"/>
  <c r="BC121" i="7"/>
  <c r="BB121" i="7"/>
  <c r="BA121" i="7"/>
  <c r="AV121" i="7"/>
  <c r="AU121" i="7"/>
  <c r="BC120" i="7"/>
  <c r="BB120" i="7"/>
  <c r="BA120" i="7"/>
  <c r="AV120" i="7"/>
  <c r="AU120" i="7"/>
  <c r="BC119" i="7"/>
  <c r="BB119" i="7"/>
  <c r="BA119" i="7"/>
  <c r="AV119" i="7"/>
  <c r="AU119" i="7"/>
  <c r="BC118" i="7"/>
  <c r="BB118" i="7"/>
  <c r="BA118" i="7"/>
  <c r="AV118" i="7"/>
  <c r="AU118" i="7"/>
  <c r="BC117" i="7"/>
  <c r="BB117" i="7"/>
  <c r="BA117" i="7"/>
  <c r="AV117" i="7"/>
  <c r="AU117" i="7"/>
  <c r="BC116" i="7"/>
  <c r="BB116" i="7"/>
  <c r="BA116" i="7"/>
  <c r="AV116" i="7"/>
  <c r="AU116" i="7"/>
  <c r="BC115" i="7"/>
  <c r="BB115" i="7"/>
  <c r="BA115" i="7"/>
  <c r="AV115" i="7"/>
  <c r="AU115" i="7"/>
  <c r="BC114" i="7"/>
  <c r="BB114" i="7"/>
  <c r="BA114" i="7"/>
  <c r="AV114" i="7"/>
  <c r="AU114" i="7"/>
  <c r="BC113" i="7"/>
  <c r="BB113" i="7"/>
  <c r="BA113" i="7"/>
  <c r="AV113" i="7"/>
  <c r="AU113" i="7"/>
  <c r="BC112" i="7"/>
  <c r="BB112" i="7"/>
  <c r="BA112" i="7"/>
  <c r="AV112" i="7"/>
  <c r="AU112" i="7"/>
  <c r="BC111" i="7"/>
  <c r="BB111" i="7"/>
  <c r="BA111" i="7"/>
  <c r="AV111" i="7"/>
  <c r="AU111" i="7"/>
  <c r="BC110" i="7"/>
  <c r="BB110" i="7"/>
  <c r="BA110" i="7"/>
  <c r="AV110" i="7"/>
  <c r="AU110" i="7"/>
  <c r="BC109" i="7"/>
  <c r="BB109" i="7"/>
  <c r="BA109" i="7"/>
  <c r="AV109" i="7"/>
  <c r="AU109" i="7"/>
  <c r="BC108" i="7"/>
  <c r="BB108" i="7"/>
  <c r="BA108" i="7"/>
  <c r="AV108" i="7"/>
  <c r="AU108" i="7"/>
  <c r="BC107" i="7"/>
  <c r="BB107" i="7"/>
  <c r="BA107" i="7"/>
  <c r="AV107" i="7"/>
  <c r="AU107" i="7"/>
  <c r="BC106" i="7"/>
  <c r="BB106" i="7"/>
  <c r="BA106" i="7"/>
  <c r="AV106" i="7"/>
  <c r="AU106" i="7"/>
  <c r="BC105" i="7"/>
  <c r="BB105" i="7"/>
  <c r="BA105" i="7"/>
  <c r="AV105" i="7"/>
  <c r="AU105" i="7"/>
  <c r="BC104" i="7"/>
  <c r="BB104" i="7"/>
  <c r="BA104" i="7"/>
  <c r="AV104" i="7"/>
  <c r="AU104" i="7"/>
  <c r="BC103" i="7"/>
  <c r="BB103" i="7"/>
  <c r="BA103" i="7"/>
  <c r="AV103" i="7"/>
  <c r="AU103" i="7"/>
  <c r="BC102" i="7"/>
  <c r="BB102" i="7"/>
  <c r="BA102" i="7"/>
  <c r="AV102" i="7"/>
  <c r="AU102" i="7"/>
  <c r="BC101" i="7"/>
  <c r="BB101" i="7"/>
  <c r="BA101" i="7"/>
  <c r="AV101" i="7"/>
  <c r="AU101" i="7"/>
  <c r="BC100" i="7"/>
  <c r="BB100" i="7"/>
  <c r="BA100" i="7"/>
  <c r="AV100" i="7"/>
  <c r="AU100" i="7"/>
  <c r="BC99" i="7"/>
  <c r="BB99" i="7"/>
  <c r="BA99" i="7"/>
  <c r="AV99" i="7"/>
  <c r="AU99" i="7"/>
  <c r="BC98" i="7"/>
  <c r="BB98" i="7"/>
  <c r="BA98" i="7"/>
  <c r="AV98" i="7"/>
  <c r="AU98" i="7"/>
  <c r="BC97" i="7"/>
  <c r="BB97" i="7"/>
  <c r="BA97" i="7"/>
  <c r="AV97" i="7"/>
  <c r="AU97" i="7"/>
  <c r="BC96" i="7"/>
  <c r="BB96" i="7"/>
  <c r="BA96" i="7"/>
  <c r="AV96" i="7"/>
  <c r="AU96" i="7"/>
  <c r="BC95" i="7"/>
  <c r="BB95" i="7"/>
  <c r="BA95" i="7"/>
  <c r="AV95" i="7"/>
  <c r="AU95" i="7"/>
  <c r="BC94" i="7"/>
  <c r="BB94" i="7"/>
  <c r="BA94" i="7"/>
  <c r="AV94" i="7"/>
  <c r="AU94" i="7"/>
  <c r="BC93" i="7"/>
  <c r="BB93" i="7"/>
  <c r="BA93" i="7"/>
  <c r="AV93" i="7"/>
  <c r="AU93" i="7"/>
  <c r="BC92" i="7"/>
  <c r="BB92" i="7"/>
  <c r="BA92" i="7"/>
  <c r="AV92" i="7"/>
  <c r="AU92" i="7"/>
  <c r="BC91" i="7"/>
  <c r="BB91" i="7"/>
  <c r="BA91" i="7"/>
  <c r="AV91" i="7"/>
  <c r="AU91" i="7"/>
  <c r="BC90" i="7"/>
  <c r="BB90" i="7"/>
  <c r="BA90" i="7"/>
  <c r="AV90" i="7"/>
  <c r="AU90" i="7"/>
  <c r="BC89" i="7"/>
  <c r="BB89" i="7"/>
  <c r="BA89" i="7"/>
  <c r="AV89" i="7"/>
  <c r="AU89" i="7"/>
  <c r="BC88" i="7"/>
  <c r="BB88" i="7"/>
  <c r="BA88" i="7"/>
  <c r="AV88" i="7"/>
  <c r="AU88" i="7"/>
  <c r="BC87" i="7"/>
  <c r="BB87" i="7"/>
  <c r="BA87" i="7"/>
  <c r="AV87" i="7"/>
  <c r="AU87" i="7"/>
  <c r="BC86" i="7"/>
  <c r="BB86" i="7"/>
  <c r="BA86" i="7"/>
  <c r="AV86" i="7"/>
  <c r="AU86" i="7"/>
  <c r="BC85" i="7"/>
  <c r="BB85" i="7"/>
  <c r="BA85" i="7"/>
  <c r="AV85" i="7"/>
  <c r="AU85" i="7"/>
  <c r="BC84" i="7"/>
  <c r="BB84" i="7"/>
  <c r="BA84" i="7"/>
  <c r="AV84" i="7"/>
  <c r="AU84" i="7"/>
  <c r="BC83" i="7"/>
  <c r="BB83" i="7"/>
  <c r="BA83" i="7"/>
  <c r="AV83" i="7"/>
  <c r="AU83" i="7"/>
  <c r="BC82" i="7"/>
  <c r="BB82" i="7"/>
  <c r="BA82" i="7"/>
  <c r="AV82" i="7"/>
  <c r="AU82" i="7"/>
  <c r="BC81" i="7"/>
  <c r="BB81" i="7"/>
  <c r="BA81" i="7"/>
  <c r="AV81" i="7"/>
  <c r="AU81" i="7"/>
  <c r="BC80" i="7"/>
  <c r="BB80" i="7"/>
  <c r="BA80" i="7"/>
  <c r="AV80" i="7"/>
  <c r="AU80" i="7"/>
  <c r="BC79" i="7"/>
  <c r="BB79" i="7"/>
  <c r="BA79" i="7"/>
  <c r="AV79" i="7"/>
  <c r="AU79" i="7"/>
  <c r="BC78" i="7"/>
  <c r="BB78" i="7"/>
  <c r="BA78" i="7"/>
  <c r="AV78" i="7"/>
  <c r="AU78" i="7"/>
  <c r="BC77" i="7"/>
  <c r="BB77" i="7"/>
  <c r="BA77" i="7"/>
  <c r="AV77" i="7"/>
  <c r="AU77" i="7"/>
  <c r="BC76" i="7"/>
  <c r="BB76" i="7"/>
  <c r="BA76" i="7"/>
  <c r="AV76" i="7"/>
  <c r="AU76" i="7"/>
  <c r="BC75" i="7"/>
  <c r="BB75" i="7"/>
  <c r="BA75" i="7"/>
  <c r="AV75" i="7"/>
  <c r="AU75" i="7"/>
  <c r="BC74" i="7"/>
  <c r="BB74" i="7"/>
  <c r="BA74" i="7"/>
  <c r="AV74" i="7"/>
  <c r="AU74" i="7"/>
  <c r="BC73" i="7"/>
  <c r="BB73" i="7"/>
  <c r="BA73" i="7"/>
  <c r="AV73" i="7"/>
  <c r="AU73" i="7"/>
  <c r="BC72" i="7"/>
  <c r="BB72" i="7"/>
  <c r="BA72" i="7"/>
  <c r="AV72" i="7"/>
  <c r="AU72" i="7"/>
  <c r="BC71" i="7"/>
  <c r="BB71" i="7"/>
  <c r="BA71" i="7"/>
  <c r="AV71" i="7"/>
  <c r="AU71" i="7"/>
  <c r="BC70" i="7"/>
  <c r="BB70" i="7"/>
  <c r="BA70" i="7"/>
  <c r="AV70" i="7"/>
  <c r="AU70" i="7"/>
  <c r="BC69" i="7"/>
  <c r="BB69" i="7"/>
  <c r="BA69" i="7"/>
  <c r="AV69" i="7"/>
  <c r="AU69" i="7"/>
  <c r="BC68" i="7"/>
  <c r="BB68" i="7"/>
  <c r="BA68" i="7"/>
  <c r="AV68" i="7"/>
  <c r="AU68" i="7"/>
  <c r="BC67" i="7"/>
  <c r="BB67" i="7"/>
  <c r="BA67" i="7"/>
  <c r="AV67" i="7"/>
  <c r="AU67" i="7"/>
  <c r="BC66" i="7"/>
  <c r="BB66" i="7"/>
  <c r="BA66" i="7"/>
  <c r="AV66" i="7"/>
  <c r="AU66" i="7"/>
  <c r="BC65" i="7"/>
  <c r="BB65" i="7"/>
  <c r="BA65" i="7"/>
  <c r="AV65" i="7"/>
  <c r="AU65" i="7"/>
  <c r="BC64" i="7"/>
  <c r="BB64" i="7"/>
  <c r="BA64" i="7"/>
  <c r="AV64" i="7"/>
  <c r="AU64" i="7"/>
  <c r="BC63" i="7"/>
  <c r="BB63" i="7"/>
  <c r="BA63" i="7"/>
  <c r="AV63" i="7"/>
  <c r="AU63" i="7"/>
  <c r="BC62" i="7"/>
  <c r="BB62" i="7"/>
  <c r="BA62" i="7"/>
  <c r="AV62" i="7"/>
  <c r="AU62" i="7"/>
  <c r="BC61" i="7"/>
  <c r="BB61" i="7"/>
  <c r="BA61" i="7"/>
  <c r="AV61" i="7"/>
  <c r="AU61" i="7"/>
  <c r="BC60" i="7"/>
  <c r="BB60" i="7"/>
  <c r="BA60" i="7"/>
  <c r="AV60" i="7"/>
  <c r="AU60" i="7"/>
  <c r="BC59" i="7"/>
  <c r="BB59" i="7"/>
  <c r="BA59" i="7"/>
  <c r="AV59" i="7"/>
  <c r="AU59" i="7"/>
  <c r="BC58" i="7"/>
  <c r="BB58" i="7"/>
  <c r="BA58" i="7"/>
  <c r="AV58" i="7"/>
  <c r="AU58" i="7"/>
  <c r="BC57" i="7"/>
  <c r="BB57" i="7"/>
  <c r="BA57" i="7"/>
  <c r="AV57" i="7"/>
  <c r="AU57" i="7"/>
  <c r="BC56" i="7"/>
  <c r="BB56" i="7"/>
  <c r="BA56" i="7"/>
  <c r="AV56" i="7"/>
  <c r="AU56" i="7"/>
  <c r="BC55" i="7"/>
  <c r="BB55" i="7"/>
  <c r="BA55" i="7"/>
  <c r="AV55" i="7"/>
  <c r="AU55" i="7"/>
  <c r="BC54" i="7"/>
  <c r="BB54" i="7"/>
  <c r="BA54" i="7"/>
  <c r="AV54" i="7"/>
  <c r="AU54" i="7"/>
  <c r="BC53" i="7"/>
  <c r="BB53" i="7"/>
  <c r="BA53" i="7"/>
  <c r="AV53" i="7"/>
  <c r="AU53" i="7"/>
  <c r="BC52" i="7"/>
  <c r="BB52" i="7"/>
  <c r="BA52" i="7"/>
  <c r="AV52" i="7"/>
  <c r="AU52" i="7"/>
  <c r="BC51" i="7"/>
  <c r="BB51" i="7"/>
  <c r="BA51" i="7"/>
  <c r="AV51" i="7"/>
  <c r="AU51" i="7"/>
  <c r="BC50" i="7"/>
  <c r="BB50" i="7"/>
  <c r="BA50" i="7"/>
  <c r="AV50" i="7"/>
  <c r="AU50" i="7"/>
  <c r="BC49" i="7"/>
  <c r="BB49" i="7"/>
  <c r="BA49" i="7"/>
  <c r="AV49" i="7"/>
  <c r="AU49" i="7"/>
  <c r="BC48" i="7"/>
  <c r="BB48" i="7"/>
  <c r="BA48" i="7"/>
  <c r="AV48" i="7"/>
  <c r="AU48" i="7"/>
  <c r="BC47" i="7"/>
  <c r="BB47" i="7"/>
  <c r="BA47" i="7"/>
  <c r="AV47" i="7"/>
  <c r="AU47" i="7"/>
  <c r="BC46" i="7"/>
  <c r="BB46" i="7"/>
  <c r="BA46" i="7"/>
  <c r="AV46" i="7"/>
  <c r="AU46" i="7"/>
  <c r="BC45" i="7"/>
  <c r="BB45" i="7"/>
  <c r="BA45" i="7"/>
  <c r="AV45" i="7"/>
  <c r="AU45" i="7"/>
  <c r="BC44" i="7"/>
  <c r="BB44" i="7"/>
  <c r="BA44" i="7"/>
  <c r="AV44" i="7"/>
  <c r="AU44" i="7"/>
  <c r="BC43" i="7"/>
  <c r="BB43" i="7"/>
  <c r="BA43" i="7"/>
  <c r="AV43" i="7"/>
  <c r="AU43" i="7"/>
  <c r="BC42" i="7"/>
  <c r="BB42" i="7"/>
  <c r="BA42" i="7"/>
  <c r="AV42" i="7"/>
  <c r="AU42" i="7"/>
  <c r="BC41" i="7"/>
  <c r="BB41" i="7"/>
  <c r="BA41" i="7"/>
  <c r="AV41" i="7"/>
  <c r="AU41" i="7"/>
  <c r="BC40" i="7"/>
  <c r="BB40" i="7"/>
  <c r="BA40" i="7"/>
  <c r="AV40" i="7"/>
  <c r="AU40" i="7"/>
  <c r="BC39" i="7"/>
  <c r="BB39" i="7"/>
  <c r="BA39" i="7"/>
  <c r="AV39" i="7"/>
  <c r="AU39" i="7"/>
  <c r="BC38" i="7"/>
  <c r="BB38" i="7"/>
  <c r="BA38" i="7"/>
  <c r="AV38" i="7"/>
  <c r="AU38" i="7"/>
  <c r="BC37" i="7"/>
  <c r="BB37" i="7"/>
  <c r="BA37" i="7"/>
  <c r="AV37" i="7"/>
  <c r="AU37" i="7"/>
  <c r="BC36" i="7"/>
  <c r="BB36" i="7"/>
  <c r="BA36" i="7"/>
  <c r="AV36" i="7"/>
  <c r="AU36" i="7"/>
  <c r="BC35" i="7"/>
  <c r="BB35" i="7"/>
  <c r="BA35" i="7"/>
  <c r="AV35" i="7"/>
  <c r="AU35" i="7"/>
  <c r="BC34" i="7"/>
  <c r="BB34" i="7"/>
  <c r="BA34" i="7"/>
  <c r="AV34" i="7"/>
  <c r="AU34" i="7"/>
  <c r="BC33" i="7"/>
  <c r="BB33" i="7"/>
  <c r="BA33" i="7"/>
  <c r="AV33" i="7"/>
  <c r="AU33" i="7"/>
  <c r="BC32" i="7"/>
  <c r="BB32" i="7"/>
  <c r="BA32" i="7"/>
  <c r="AV32" i="7"/>
  <c r="AU32" i="7"/>
  <c r="BC31" i="7"/>
  <c r="BB31" i="7"/>
  <c r="BA31" i="7"/>
  <c r="AV31" i="7"/>
  <c r="AU31" i="7"/>
  <c r="BC30" i="7"/>
  <c r="BB30" i="7"/>
  <c r="BA30" i="7"/>
  <c r="AV30" i="7"/>
  <c r="AU30" i="7"/>
  <c r="BC29" i="7"/>
  <c r="BB29" i="7"/>
  <c r="BA29" i="7"/>
  <c r="AV29" i="7"/>
  <c r="AU29" i="7"/>
  <c r="BC28" i="7"/>
  <c r="BB28" i="7"/>
  <c r="BA28" i="7"/>
  <c r="AV28" i="7"/>
  <c r="AU28" i="7"/>
  <c r="BC27" i="7"/>
  <c r="BB27" i="7"/>
  <c r="BA27" i="7"/>
  <c r="AV27" i="7"/>
  <c r="AU27" i="7"/>
  <c r="BC26" i="7"/>
  <c r="BB26" i="7"/>
  <c r="BA26" i="7"/>
  <c r="AV26" i="7"/>
  <c r="AU26" i="7"/>
  <c r="BC25" i="7"/>
  <c r="BB25" i="7"/>
  <c r="BA25" i="7"/>
  <c r="AV25" i="7"/>
  <c r="AU25" i="7"/>
  <c r="BC24" i="7"/>
  <c r="BB24" i="7"/>
  <c r="BA24" i="7"/>
  <c r="AV24" i="7"/>
  <c r="AU24" i="7"/>
  <c r="BC23" i="7"/>
  <c r="BB23" i="7"/>
  <c r="BA23" i="7"/>
  <c r="AV23" i="7"/>
  <c r="AU23" i="7"/>
  <c r="BC22" i="7"/>
  <c r="BB22" i="7"/>
  <c r="BA22" i="7"/>
  <c r="AV22" i="7"/>
  <c r="AU22" i="7"/>
  <c r="BC21" i="7"/>
  <c r="BB21" i="7"/>
  <c r="BA21" i="7"/>
  <c r="AV21" i="7"/>
  <c r="AU21" i="7"/>
  <c r="BC20" i="7"/>
  <c r="BB20" i="7"/>
  <c r="BA20" i="7"/>
  <c r="AV20" i="7"/>
  <c r="AU20" i="7"/>
  <c r="BC19" i="7"/>
  <c r="BB19" i="7"/>
  <c r="BA19" i="7"/>
  <c r="AV19" i="7"/>
  <c r="AU19" i="7"/>
  <c r="BC18" i="7"/>
  <c r="BB18" i="7"/>
  <c r="BA18" i="7"/>
  <c r="AV18" i="7"/>
  <c r="AU18" i="7"/>
  <c r="BC17" i="7"/>
  <c r="BB17" i="7"/>
  <c r="BA17" i="7"/>
  <c r="AV17" i="7"/>
  <c r="AU17" i="7"/>
  <c r="BC16" i="7"/>
  <c r="BB16" i="7"/>
  <c r="BA16" i="7"/>
  <c r="AV16" i="7"/>
  <c r="AU16" i="7"/>
  <c r="BC15" i="7"/>
  <c r="BB15" i="7"/>
  <c r="BA15" i="7"/>
  <c r="AV15" i="7"/>
  <c r="AU15" i="7"/>
  <c r="BC14" i="7"/>
  <c r="BB14" i="7"/>
  <c r="BA14" i="7"/>
  <c r="AV14" i="7"/>
  <c r="AU14" i="7"/>
  <c r="BC13" i="7"/>
  <c r="BB13" i="7"/>
  <c r="BA13" i="7"/>
  <c r="AV13" i="7"/>
  <c r="AU13" i="7"/>
  <c r="BC12" i="7"/>
  <c r="BB12" i="7"/>
  <c r="BA12" i="7"/>
  <c r="AV12" i="7"/>
  <c r="AU12" i="7"/>
  <c r="BC11" i="7"/>
  <c r="BB11" i="7"/>
  <c r="BA11" i="7"/>
  <c r="AV11" i="7"/>
  <c r="AU11" i="7"/>
  <c r="BC10" i="7"/>
  <c r="BB10" i="7"/>
  <c r="BA10" i="7"/>
  <c r="AV10" i="7"/>
  <c r="AU10" i="7"/>
  <c r="BC9" i="7"/>
  <c r="BB9" i="7"/>
  <c r="BA9" i="7"/>
  <c r="AV9" i="7"/>
  <c r="AU9" i="7"/>
  <c r="B3" i="7"/>
  <c r="B2" i="7"/>
  <c r="C949" i="3"/>
  <c r="C885" i="3"/>
  <c r="C832" i="3"/>
  <c r="C768" i="3"/>
  <c r="C733" i="3"/>
  <c r="C685" i="3"/>
  <c r="C452" i="3"/>
  <c r="C444" i="3"/>
  <c r="C436" i="3"/>
  <c r="C428" i="3"/>
  <c r="C420" i="3"/>
  <c r="C412" i="3"/>
  <c r="C404" i="3"/>
  <c r="C396" i="3"/>
  <c r="C388" i="3"/>
  <c r="C380" i="3"/>
  <c r="C372" i="3"/>
  <c r="C364" i="3"/>
  <c r="C356" i="3"/>
  <c r="C348" i="3"/>
  <c r="C340" i="3"/>
  <c r="C332" i="3"/>
  <c r="C324" i="3"/>
  <c r="C316" i="3"/>
  <c r="C308" i="3"/>
  <c r="C300" i="3"/>
  <c r="C292" i="3"/>
  <c r="C284" i="3"/>
  <c r="C276" i="3"/>
  <c r="C268" i="3"/>
  <c r="C260" i="3"/>
  <c r="C252" i="3"/>
  <c r="C244" i="3"/>
  <c r="C236" i="3"/>
  <c r="C228" i="3"/>
  <c r="C220" i="3"/>
  <c r="C212" i="3"/>
  <c r="C204" i="3"/>
  <c r="C196" i="3"/>
  <c r="C188" i="3"/>
  <c r="C180" i="3"/>
  <c r="C172" i="3"/>
  <c r="C164" i="3"/>
  <c r="C156" i="3"/>
  <c r="C148" i="3"/>
  <c r="C140" i="3"/>
  <c r="C132" i="3"/>
  <c r="C124" i="3"/>
  <c r="C116" i="3"/>
  <c r="C108" i="3"/>
  <c r="C100" i="3"/>
  <c r="C92" i="3"/>
  <c r="C84" i="3"/>
  <c r="C76" i="3"/>
  <c r="C68" i="3"/>
  <c r="C60" i="3"/>
  <c r="C52" i="3"/>
  <c r="C44" i="3"/>
  <c r="C36" i="3"/>
  <c r="C28" i="3"/>
  <c r="C20" i="3"/>
  <c r="C12" i="3"/>
  <c r="C4" i="3"/>
  <c r="A1" i="3"/>
  <c r="C981" i="3" s="1"/>
  <c r="D885" i="3"/>
  <c r="D832" i="3"/>
  <c r="D428" i="3"/>
  <c r="D404" i="3"/>
  <c r="D340" i="3"/>
  <c r="D276" i="3"/>
  <c r="D212" i="3"/>
  <c r="D148" i="3"/>
  <c r="D84" i="3"/>
  <c r="D20" i="3"/>
  <c r="D981" i="3"/>
  <c r="D396" i="3"/>
  <c r="D332" i="3"/>
  <c r="D268" i="3"/>
  <c r="D76" i="3"/>
  <c r="D12" i="3"/>
  <c r="D140" i="3"/>
  <c r="D768" i="3"/>
  <c r="D949" i="3"/>
  <c r="D733" i="3"/>
  <c r="D444" i="3"/>
  <c r="D372" i="3"/>
  <c r="D308" i="3"/>
  <c r="D244" i="3"/>
  <c r="D180" i="3"/>
  <c r="D116" i="3"/>
  <c r="D52" i="3"/>
  <c r="D236" i="3"/>
  <c r="D172" i="3"/>
  <c r="D108" i="3"/>
  <c r="D364" i="3"/>
  <c r="D204" i="3"/>
  <c r="D300" i="3"/>
  <c r="D44" i="3"/>
  <c r="D156" i="3"/>
  <c r="D388" i="3"/>
  <c r="D685" i="3"/>
  <c r="D452" i="3"/>
  <c r="D196" i="3"/>
  <c r="D324" i="3"/>
  <c r="D380" i="3"/>
  <c r="D316" i="3"/>
  <c r="D252" i="3"/>
  <c r="D188" i="3"/>
  <c r="D124" i="3"/>
  <c r="D60" i="3"/>
  <c r="D412" i="3"/>
  <c r="D92" i="3"/>
  <c r="D4" i="3"/>
  <c r="D436" i="3"/>
  <c r="D36" i="3"/>
  <c r="D284" i="3"/>
  <c r="D260" i="3"/>
  <c r="D356" i="3"/>
  <c r="D228" i="3"/>
  <c r="D100" i="3"/>
  <c r="D220" i="3"/>
  <c r="D68" i="3"/>
  <c r="D420" i="3"/>
  <c r="D292" i="3"/>
  <c r="D164" i="3"/>
  <c r="D348" i="3"/>
  <c r="D28" i="3"/>
  <c r="D132" i="3"/>
  <c r="C457" i="3" l="1"/>
  <c r="C669" i="3"/>
  <c r="C809" i="3"/>
  <c r="C864" i="3"/>
  <c r="C917" i="3"/>
  <c r="C980" i="3"/>
  <c r="C458" i="3"/>
  <c r="C473" i="3"/>
  <c r="C489" i="3"/>
  <c r="C505" i="3"/>
  <c r="C521" i="3"/>
  <c r="C537" i="3"/>
  <c r="C553" i="3"/>
  <c r="C569" i="3"/>
  <c r="C585" i="3"/>
  <c r="C601" i="3"/>
  <c r="C617" i="3"/>
  <c r="C633" i="3"/>
  <c r="C649" i="3"/>
  <c r="C717" i="3"/>
  <c r="C873" i="3"/>
  <c r="C928" i="3"/>
  <c r="C999" i="3"/>
  <c r="C995" i="3"/>
  <c r="C991" i="3"/>
  <c r="C987" i="3"/>
  <c r="C983" i="3"/>
  <c r="C979" i="3"/>
  <c r="C975" i="3"/>
  <c r="C971" i="3"/>
  <c r="C967" i="3"/>
  <c r="C963" i="3"/>
  <c r="C959" i="3"/>
  <c r="C955" i="3"/>
  <c r="C951" i="3"/>
  <c r="C947" i="3"/>
  <c r="C943" i="3"/>
  <c r="C939" i="3"/>
  <c r="C935" i="3"/>
  <c r="C931" i="3"/>
  <c r="C927" i="3"/>
  <c r="C923" i="3"/>
  <c r="C919" i="3"/>
  <c r="C915" i="3"/>
  <c r="C911" i="3"/>
  <c r="C907" i="3"/>
  <c r="C903" i="3"/>
  <c r="C899" i="3"/>
  <c r="C895" i="3"/>
  <c r="C891" i="3"/>
  <c r="C887" i="3"/>
  <c r="C883" i="3"/>
  <c r="C879" i="3"/>
  <c r="C875" i="3"/>
  <c r="C871" i="3"/>
  <c r="C867" i="3"/>
  <c r="C863" i="3"/>
  <c r="C859" i="3"/>
  <c r="C855" i="3"/>
  <c r="C851" i="3"/>
  <c r="C847" i="3"/>
  <c r="C843" i="3"/>
  <c r="C839" i="3"/>
  <c r="C835" i="3"/>
  <c r="C831" i="3"/>
  <c r="C827" i="3"/>
  <c r="C823" i="3"/>
  <c r="C819" i="3"/>
  <c r="C815" i="3"/>
  <c r="C811" i="3"/>
  <c r="C807" i="3"/>
  <c r="C803" i="3"/>
  <c r="C799" i="3"/>
  <c r="C795" i="3"/>
  <c r="C791" i="3"/>
  <c r="C787" i="3"/>
  <c r="C783" i="3"/>
  <c r="C779" i="3"/>
  <c r="C775" i="3"/>
  <c r="C771" i="3"/>
  <c r="C767" i="3"/>
  <c r="C763" i="3"/>
  <c r="C998" i="3"/>
  <c r="C994" i="3"/>
  <c r="C990" i="3"/>
  <c r="C986" i="3"/>
  <c r="C982" i="3"/>
  <c r="C978" i="3"/>
  <c r="C974" i="3"/>
  <c r="C970" i="3"/>
  <c r="C966" i="3"/>
  <c r="C962" i="3"/>
  <c r="C958" i="3"/>
  <c r="C954" i="3"/>
  <c r="C950" i="3"/>
  <c r="C946" i="3"/>
  <c r="C942" i="3"/>
  <c r="C938" i="3"/>
  <c r="C934" i="3"/>
  <c r="C930" i="3"/>
  <c r="C926" i="3"/>
  <c r="C922" i="3"/>
  <c r="C918" i="3"/>
  <c r="C914" i="3"/>
  <c r="C910" i="3"/>
  <c r="C906" i="3"/>
  <c r="C902" i="3"/>
  <c r="C898" i="3"/>
  <c r="C894" i="3"/>
  <c r="C890" i="3"/>
  <c r="C886" i="3"/>
  <c r="C882" i="3"/>
  <c r="C878" i="3"/>
  <c r="C874" i="3"/>
  <c r="C870" i="3"/>
  <c r="C866" i="3"/>
  <c r="C862" i="3"/>
  <c r="C858" i="3"/>
  <c r="C854" i="3"/>
  <c r="C850" i="3"/>
  <c r="C846" i="3"/>
  <c r="C842" i="3"/>
  <c r="C838" i="3"/>
  <c r="C834" i="3"/>
  <c r="C830" i="3"/>
  <c r="C826" i="3"/>
  <c r="C822" i="3"/>
  <c r="C818" i="3"/>
  <c r="C814" i="3"/>
  <c r="C810" i="3"/>
  <c r="C806" i="3"/>
  <c r="C802" i="3"/>
  <c r="C798" i="3"/>
  <c r="C794" i="3"/>
  <c r="C790" i="3"/>
  <c r="C786" i="3"/>
  <c r="C782" i="3"/>
  <c r="C778" i="3"/>
  <c r="C774" i="3"/>
  <c r="C770" i="3"/>
  <c r="C766" i="3"/>
  <c r="C762" i="3"/>
  <c r="C758" i="3"/>
  <c r="C754" i="3"/>
  <c r="C750" i="3"/>
  <c r="C746" i="3"/>
  <c r="C742" i="3"/>
  <c r="C738" i="3"/>
  <c r="C734" i="3"/>
  <c r="C730" i="3"/>
  <c r="C726" i="3"/>
  <c r="C722" i="3"/>
  <c r="C718" i="3"/>
  <c r="C714" i="3"/>
  <c r="C710" i="3"/>
  <c r="C706" i="3"/>
  <c r="C702" i="3"/>
  <c r="C698" i="3"/>
  <c r="C694" i="3"/>
  <c r="C690" i="3"/>
  <c r="C686" i="3"/>
  <c r="C682" i="3"/>
  <c r="C678" i="3"/>
  <c r="C674" i="3"/>
  <c r="C670" i="3"/>
  <c r="C666" i="3"/>
  <c r="C662" i="3"/>
  <c r="C996" i="3"/>
  <c r="C985" i="3"/>
  <c r="C964" i="3"/>
  <c r="C953" i="3"/>
  <c r="C932" i="3"/>
  <c r="C921" i="3"/>
  <c r="C900" i="3"/>
  <c r="C889" i="3"/>
  <c r="C868" i="3"/>
  <c r="C857" i="3"/>
  <c r="C836" i="3"/>
  <c r="C825" i="3"/>
  <c r="C804" i="3"/>
  <c r="C793" i="3"/>
  <c r="C772" i="3"/>
  <c r="C761" i="3"/>
  <c r="C753" i="3"/>
  <c r="C745" i="3"/>
  <c r="C737" i="3"/>
  <c r="C729" i="3"/>
  <c r="C721" i="3"/>
  <c r="C713" i="3"/>
  <c r="C705" i="3"/>
  <c r="C697" i="3"/>
  <c r="C689" i="3"/>
  <c r="C681" i="3"/>
  <c r="C673" i="3"/>
  <c r="C665" i="3"/>
  <c r="C659" i="3"/>
  <c r="C655" i="3"/>
  <c r="C651" i="3"/>
  <c r="C647" i="3"/>
  <c r="C643" i="3"/>
  <c r="C639" i="3"/>
  <c r="C635" i="3"/>
  <c r="C631" i="3"/>
  <c r="C627" i="3"/>
  <c r="C623" i="3"/>
  <c r="C619" i="3"/>
  <c r="C615" i="3"/>
  <c r="C611" i="3"/>
  <c r="C607" i="3"/>
  <c r="C603" i="3"/>
  <c r="C599" i="3"/>
  <c r="C595" i="3"/>
  <c r="C591" i="3"/>
  <c r="C587" i="3"/>
  <c r="C583" i="3"/>
  <c r="C579" i="3"/>
  <c r="C575" i="3"/>
  <c r="C571" i="3"/>
  <c r="C567" i="3"/>
  <c r="C563" i="3"/>
  <c r="C559" i="3"/>
  <c r="C555" i="3"/>
  <c r="C551" i="3"/>
  <c r="C547" i="3"/>
  <c r="C543" i="3"/>
  <c r="C539" i="3"/>
  <c r="C535" i="3"/>
  <c r="C531" i="3"/>
  <c r="C527" i="3"/>
  <c r="C523" i="3"/>
  <c r="C519" i="3"/>
  <c r="C515" i="3"/>
  <c r="C511" i="3"/>
  <c r="C507" i="3"/>
  <c r="C503" i="3"/>
  <c r="C499" i="3"/>
  <c r="C495" i="3"/>
  <c r="C491" i="3"/>
  <c r="C487" i="3"/>
  <c r="C483" i="3"/>
  <c r="C479" i="3"/>
  <c r="C475" i="3"/>
  <c r="C471" i="3"/>
  <c r="C467" i="3"/>
  <c r="C463" i="3"/>
  <c r="C984" i="3"/>
  <c r="C973" i="3"/>
  <c r="C952" i="3"/>
  <c r="C941" i="3"/>
  <c r="C920" i="3"/>
  <c r="C909" i="3"/>
  <c r="C888" i="3"/>
  <c r="C877" i="3"/>
  <c r="C856" i="3"/>
  <c r="C845" i="3"/>
  <c r="C824" i="3"/>
  <c r="C813" i="3"/>
  <c r="C792" i="3"/>
  <c r="C781" i="3"/>
  <c r="C760" i="3"/>
  <c r="C752" i="3"/>
  <c r="C744" i="3"/>
  <c r="C736" i="3"/>
  <c r="C728" i="3"/>
  <c r="C720" i="3"/>
  <c r="C712" i="3"/>
  <c r="C704" i="3"/>
  <c r="C696" i="3"/>
  <c r="C688" i="3"/>
  <c r="C680" i="3"/>
  <c r="C672" i="3"/>
  <c r="C664" i="3"/>
  <c r="C993" i="3"/>
  <c r="C972" i="3"/>
  <c r="C961" i="3"/>
  <c r="C940" i="3"/>
  <c r="C929" i="3"/>
  <c r="C908" i="3"/>
  <c r="C897" i="3"/>
  <c r="C876" i="3"/>
  <c r="C865" i="3"/>
  <c r="C844" i="3"/>
  <c r="C833" i="3"/>
  <c r="C812" i="3"/>
  <c r="C801" i="3"/>
  <c r="C780" i="3"/>
  <c r="C769" i="3"/>
  <c r="C759" i="3"/>
  <c r="C751" i="3"/>
  <c r="C743" i="3"/>
  <c r="C735" i="3"/>
  <c r="C727" i="3"/>
  <c r="C719" i="3"/>
  <c r="C711" i="3"/>
  <c r="C703" i="3"/>
  <c r="C695" i="3"/>
  <c r="C687" i="3"/>
  <c r="C679" i="3"/>
  <c r="C671" i="3"/>
  <c r="C663" i="3"/>
  <c r="C658" i="3"/>
  <c r="C654" i="3"/>
  <c r="C650" i="3"/>
  <c r="C646" i="3"/>
  <c r="C642" i="3"/>
  <c r="C638" i="3"/>
  <c r="C634" i="3"/>
  <c r="C630" i="3"/>
  <c r="C626" i="3"/>
  <c r="C622" i="3"/>
  <c r="C618" i="3"/>
  <c r="C614" i="3"/>
  <c r="C610" i="3"/>
  <c r="C606" i="3"/>
  <c r="C602" i="3"/>
  <c r="C598" i="3"/>
  <c r="C594" i="3"/>
  <c r="C590" i="3"/>
  <c r="C586" i="3"/>
  <c r="C582" i="3"/>
  <c r="C578" i="3"/>
  <c r="C574" i="3"/>
  <c r="C570" i="3"/>
  <c r="C566" i="3"/>
  <c r="C562" i="3"/>
  <c r="C558" i="3"/>
  <c r="C554" i="3"/>
  <c r="C550" i="3"/>
  <c r="C546" i="3"/>
  <c r="C542" i="3"/>
  <c r="C538" i="3"/>
  <c r="C534" i="3"/>
  <c r="C530" i="3"/>
  <c r="C526" i="3"/>
  <c r="C522" i="3"/>
  <c r="C518" i="3"/>
  <c r="C514" i="3"/>
  <c r="C510" i="3"/>
  <c r="C506" i="3"/>
  <c r="C502" i="3"/>
  <c r="C498" i="3"/>
  <c r="C494" i="3"/>
  <c r="C490" i="3"/>
  <c r="C486" i="3"/>
  <c r="C482" i="3"/>
  <c r="C478" i="3"/>
  <c r="C474" i="3"/>
  <c r="C470" i="3"/>
  <c r="C466" i="3"/>
  <c r="C462" i="3"/>
  <c r="C1000" i="3"/>
  <c r="C989" i="3"/>
  <c r="C968" i="3"/>
  <c r="C957" i="3"/>
  <c r="C936" i="3"/>
  <c r="C925" i="3"/>
  <c r="C904" i="3"/>
  <c r="C893" i="3"/>
  <c r="C872" i="3"/>
  <c r="C861" i="3"/>
  <c r="C840" i="3"/>
  <c r="C829" i="3"/>
  <c r="C808" i="3"/>
  <c r="C797" i="3"/>
  <c r="C776" i="3"/>
  <c r="C765" i="3"/>
  <c r="C756" i="3"/>
  <c r="C748" i="3"/>
  <c r="C740" i="3"/>
  <c r="C732" i="3"/>
  <c r="C724" i="3"/>
  <c r="C716" i="3"/>
  <c r="C708" i="3"/>
  <c r="C700" i="3"/>
  <c r="C692" i="3"/>
  <c r="C684" i="3"/>
  <c r="C676" i="3"/>
  <c r="C668" i="3"/>
  <c r="C969" i="3"/>
  <c r="C948" i="3"/>
  <c r="C905" i="3"/>
  <c r="C884" i="3"/>
  <c r="C841" i="3"/>
  <c r="C820" i="3"/>
  <c r="C777" i="3"/>
  <c r="C757" i="3"/>
  <c r="C741" i="3"/>
  <c r="C725" i="3"/>
  <c r="C709" i="3"/>
  <c r="C693" i="3"/>
  <c r="C677" i="3"/>
  <c r="C661" i="3"/>
  <c r="C653" i="3"/>
  <c r="C645" i="3"/>
  <c r="C637" i="3"/>
  <c r="C629" i="3"/>
  <c r="C621" i="3"/>
  <c r="C613" i="3"/>
  <c r="C605" i="3"/>
  <c r="C597" i="3"/>
  <c r="C589" i="3"/>
  <c r="C581" i="3"/>
  <c r="C573" i="3"/>
  <c r="C565" i="3"/>
  <c r="C557" i="3"/>
  <c r="C549" i="3"/>
  <c r="C541" i="3"/>
  <c r="C533" i="3"/>
  <c r="C525" i="3"/>
  <c r="C517" i="3"/>
  <c r="C509" i="3"/>
  <c r="C501" i="3"/>
  <c r="C493" i="3"/>
  <c r="C485" i="3"/>
  <c r="C477" i="3"/>
  <c r="C469" i="3"/>
  <c r="C461" i="3"/>
  <c r="C988" i="3"/>
  <c r="C945" i="3"/>
  <c r="C924" i="3"/>
  <c r="C881" i="3"/>
  <c r="C860" i="3"/>
  <c r="C817" i="3"/>
  <c r="C796" i="3"/>
  <c r="C755" i="3"/>
  <c r="C739" i="3"/>
  <c r="C723" i="3"/>
  <c r="C707" i="3"/>
  <c r="C691" i="3"/>
  <c r="C675" i="3"/>
  <c r="C660" i="3"/>
  <c r="C652" i="3"/>
  <c r="C644" i="3"/>
  <c r="C636" i="3"/>
  <c r="C628" i="3"/>
  <c r="C620" i="3"/>
  <c r="C612" i="3"/>
  <c r="C604" i="3"/>
  <c r="C596" i="3"/>
  <c r="C588" i="3"/>
  <c r="C580" i="3"/>
  <c r="C572" i="3"/>
  <c r="C564" i="3"/>
  <c r="C556" i="3"/>
  <c r="C548" i="3"/>
  <c r="C540" i="3"/>
  <c r="C532" i="3"/>
  <c r="C524" i="3"/>
  <c r="C516" i="3"/>
  <c r="C508" i="3"/>
  <c r="C500" i="3"/>
  <c r="C492" i="3"/>
  <c r="C484" i="3"/>
  <c r="C476" i="3"/>
  <c r="C468" i="3"/>
  <c r="C460" i="3"/>
  <c r="C455" i="3"/>
  <c r="C451" i="3"/>
  <c r="C447" i="3"/>
  <c r="C443" i="3"/>
  <c r="C439" i="3"/>
  <c r="C435" i="3"/>
  <c r="C431" i="3"/>
  <c r="C427" i="3"/>
  <c r="C423" i="3"/>
  <c r="C419" i="3"/>
  <c r="C415" i="3"/>
  <c r="C411" i="3"/>
  <c r="C407" i="3"/>
  <c r="C403" i="3"/>
  <c r="C399" i="3"/>
  <c r="C395" i="3"/>
  <c r="C391" i="3"/>
  <c r="C387" i="3"/>
  <c r="C383" i="3"/>
  <c r="C379" i="3"/>
  <c r="C375" i="3"/>
  <c r="C371" i="3"/>
  <c r="C367" i="3"/>
  <c r="C363" i="3"/>
  <c r="C359" i="3"/>
  <c r="C355" i="3"/>
  <c r="C351" i="3"/>
  <c r="C347" i="3"/>
  <c r="C343" i="3"/>
  <c r="C339" i="3"/>
  <c r="C335" i="3"/>
  <c r="C331" i="3"/>
  <c r="C327" i="3"/>
  <c r="C323" i="3"/>
  <c r="C319" i="3"/>
  <c r="C315" i="3"/>
  <c r="C311" i="3"/>
  <c r="C307" i="3"/>
  <c r="C303" i="3"/>
  <c r="C299" i="3"/>
  <c r="C295" i="3"/>
  <c r="C291" i="3"/>
  <c r="C287" i="3"/>
  <c r="C283" i="3"/>
  <c r="C279" i="3"/>
  <c r="C275" i="3"/>
  <c r="C271" i="3"/>
  <c r="C267" i="3"/>
  <c r="C263" i="3"/>
  <c r="C259" i="3"/>
  <c r="C255" i="3"/>
  <c r="C251" i="3"/>
  <c r="C247" i="3"/>
  <c r="C243" i="3"/>
  <c r="C239" i="3"/>
  <c r="C235" i="3"/>
  <c r="C231" i="3"/>
  <c r="C227" i="3"/>
  <c r="C223" i="3"/>
  <c r="C219" i="3"/>
  <c r="C215" i="3"/>
  <c r="C211" i="3"/>
  <c r="C207" i="3"/>
  <c r="C203" i="3"/>
  <c r="C199" i="3"/>
  <c r="C195" i="3"/>
  <c r="C191" i="3"/>
  <c r="C187" i="3"/>
  <c r="C183" i="3"/>
  <c r="C179" i="3"/>
  <c r="C175" i="3"/>
  <c r="C171" i="3"/>
  <c r="C167" i="3"/>
  <c r="C163" i="3"/>
  <c r="C159" i="3"/>
  <c r="C155" i="3"/>
  <c r="C151" i="3"/>
  <c r="C147" i="3"/>
  <c r="C143" i="3"/>
  <c r="C139" i="3"/>
  <c r="C135" i="3"/>
  <c r="C131" i="3"/>
  <c r="C127" i="3"/>
  <c r="C123" i="3"/>
  <c r="C119" i="3"/>
  <c r="C115" i="3"/>
  <c r="C111" i="3"/>
  <c r="C107" i="3"/>
  <c r="C103" i="3"/>
  <c r="C99" i="3"/>
  <c r="C95" i="3"/>
  <c r="C91" i="3"/>
  <c r="C87" i="3"/>
  <c r="C83" i="3"/>
  <c r="C79" i="3"/>
  <c r="C75" i="3"/>
  <c r="C71" i="3"/>
  <c r="C67" i="3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C3" i="3"/>
  <c r="C965" i="3"/>
  <c r="C944" i="3"/>
  <c r="C901" i="3"/>
  <c r="C880" i="3"/>
  <c r="C837" i="3"/>
  <c r="C816" i="3"/>
  <c r="C773" i="3"/>
  <c r="C977" i="3"/>
  <c r="C956" i="3"/>
  <c r="C913" i="3"/>
  <c r="C892" i="3"/>
  <c r="C849" i="3"/>
  <c r="C828" i="3"/>
  <c r="C785" i="3"/>
  <c r="C764" i="3"/>
  <c r="C747" i="3"/>
  <c r="C731" i="3"/>
  <c r="C715" i="3"/>
  <c r="C699" i="3"/>
  <c r="C683" i="3"/>
  <c r="C667" i="3"/>
  <c r="C656" i="3"/>
  <c r="C648" i="3"/>
  <c r="C640" i="3"/>
  <c r="C632" i="3"/>
  <c r="C624" i="3"/>
  <c r="C616" i="3"/>
  <c r="C608" i="3"/>
  <c r="C600" i="3"/>
  <c r="C592" i="3"/>
  <c r="C584" i="3"/>
  <c r="C576" i="3"/>
  <c r="C568" i="3"/>
  <c r="C560" i="3"/>
  <c r="C552" i="3"/>
  <c r="C544" i="3"/>
  <c r="C536" i="3"/>
  <c r="C528" i="3"/>
  <c r="C520" i="3"/>
  <c r="C512" i="3"/>
  <c r="C504" i="3"/>
  <c r="C496" i="3"/>
  <c r="C488" i="3"/>
  <c r="C480" i="3"/>
  <c r="C472" i="3"/>
  <c r="C464" i="3"/>
  <c r="C453" i="3"/>
  <c r="C449" i="3"/>
  <c r="C445" i="3"/>
  <c r="C441" i="3"/>
  <c r="C437" i="3"/>
  <c r="C433" i="3"/>
  <c r="C429" i="3"/>
  <c r="C425" i="3"/>
  <c r="C421" i="3"/>
  <c r="C417" i="3"/>
  <c r="C413" i="3"/>
  <c r="C409" i="3"/>
  <c r="C405" i="3"/>
  <c r="C401" i="3"/>
  <c r="C397" i="3"/>
  <c r="C393" i="3"/>
  <c r="C389" i="3"/>
  <c r="C385" i="3"/>
  <c r="C381" i="3"/>
  <c r="C377" i="3"/>
  <c r="C373" i="3"/>
  <c r="C369" i="3"/>
  <c r="C365" i="3"/>
  <c r="C361" i="3"/>
  <c r="C357" i="3"/>
  <c r="C353" i="3"/>
  <c r="C349" i="3"/>
  <c r="C345" i="3"/>
  <c r="C341" i="3"/>
  <c r="C337" i="3"/>
  <c r="C333" i="3"/>
  <c r="C329" i="3"/>
  <c r="C325" i="3"/>
  <c r="C321" i="3"/>
  <c r="C317" i="3"/>
  <c r="C313" i="3"/>
  <c r="C309" i="3"/>
  <c r="C305" i="3"/>
  <c r="C301" i="3"/>
  <c r="C297" i="3"/>
  <c r="C293" i="3"/>
  <c r="C289" i="3"/>
  <c r="C285" i="3"/>
  <c r="C281" i="3"/>
  <c r="C277" i="3"/>
  <c r="C273" i="3"/>
  <c r="C269" i="3"/>
  <c r="C265" i="3"/>
  <c r="C261" i="3"/>
  <c r="C257" i="3"/>
  <c r="C253" i="3"/>
  <c r="C249" i="3"/>
  <c r="C245" i="3"/>
  <c r="C241" i="3"/>
  <c r="C237" i="3"/>
  <c r="C233" i="3"/>
  <c r="C229" i="3"/>
  <c r="C225" i="3"/>
  <c r="C221" i="3"/>
  <c r="C217" i="3"/>
  <c r="C213" i="3"/>
  <c r="C209" i="3"/>
  <c r="C205" i="3"/>
  <c r="C201" i="3"/>
  <c r="C197" i="3"/>
  <c r="C193" i="3"/>
  <c r="C189" i="3"/>
  <c r="C185" i="3"/>
  <c r="C181" i="3"/>
  <c r="C177" i="3"/>
  <c r="C173" i="3"/>
  <c r="C169" i="3"/>
  <c r="C165" i="3"/>
  <c r="C161" i="3"/>
  <c r="C157" i="3"/>
  <c r="C153" i="3"/>
  <c r="C149" i="3"/>
  <c r="C145" i="3"/>
  <c r="C141" i="3"/>
  <c r="C137" i="3"/>
  <c r="C133" i="3"/>
  <c r="C129" i="3"/>
  <c r="C125" i="3"/>
  <c r="C121" i="3"/>
  <c r="C117" i="3"/>
  <c r="C113" i="3"/>
  <c r="C109" i="3"/>
  <c r="C105" i="3"/>
  <c r="C101" i="3"/>
  <c r="C97" i="3"/>
  <c r="C93" i="3"/>
  <c r="C89" i="3"/>
  <c r="C85" i="3"/>
  <c r="C81" i="3"/>
  <c r="C77" i="3"/>
  <c r="C73" i="3"/>
  <c r="C69" i="3"/>
  <c r="C65" i="3"/>
  <c r="C61" i="3"/>
  <c r="C57" i="3"/>
  <c r="C53" i="3"/>
  <c r="C49" i="3"/>
  <c r="C45" i="3"/>
  <c r="C41" i="3"/>
  <c r="C37" i="3"/>
  <c r="C33" i="3"/>
  <c r="C29" i="3"/>
  <c r="C25" i="3"/>
  <c r="C21" i="3"/>
  <c r="C17" i="3"/>
  <c r="C13" i="3"/>
  <c r="C9" i="3"/>
  <c r="C5" i="3"/>
  <c r="C976" i="3"/>
  <c r="C933" i="3"/>
  <c r="C912" i="3"/>
  <c r="C869" i="3"/>
  <c r="C848" i="3"/>
  <c r="C784" i="3"/>
  <c r="C997" i="3"/>
  <c r="C805" i="3"/>
  <c r="C2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114" i="3"/>
  <c r="C122" i="3"/>
  <c r="C130" i="3"/>
  <c r="C138" i="3"/>
  <c r="C146" i="3"/>
  <c r="C154" i="3"/>
  <c r="C162" i="3"/>
  <c r="C170" i="3"/>
  <c r="C178" i="3"/>
  <c r="C186" i="3"/>
  <c r="C194" i="3"/>
  <c r="C202" i="3"/>
  <c r="C210" i="3"/>
  <c r="C218" i="3"/>
  <c r="C226" i="3"/>
  <c r="C234" i="3"/>
  <c r="C242" i="3"/>
  <c r="C250" i="3"/>
  <c r="C258" i="3"/>
  <c r="C266" i="3"/>
  <c r="C274" i="3"/>
  <c r="C282" i="3"/>
  <c r="C290" i="3"/>
  <c r="C298" i="3"/>
  <c r="C306" i="3"/>
  <c r="C314" i="3"/>
  <c r="C322" i="3"/>
  <c r="C330" i="3"/>
  <c r="C338" i="3"/>
  <c r="C346" i="3"/>
  <c r="C354" i="3"/>
  <c r="C362" i="3"/>
  <c r="C370" i="3"/>
  <c r="C378" i="3"/>
  <c r="C386" i="3"/>
  <c r="C394" i="3"/>
  <c r="C402" i="3"/>
  <c r="C410" i="3"/>
  <c r="C418" i="3"/>
  <c r="C426" i="3"/>
  <c r="C434" i="3"/>
  <c r="C442" i="3"/>
  <c r="C450" i="3"/>
  <c r="C459" i="3"/>
  <c r="C821" i="3"/>
  <c r="C937" i="3"/>
  <c r="C992" i="3"/>
  <c r="C513" i="3"/>
  <c r="C561" i="3"/>
  <c r="C625" i="3"/>
  <c r="C896" i="3"/>
  <c r="C465" i="3"/>
  <c r="C481" i="3"/>
  <c r="C497" i="3"/>
  <c r="C529" i="3"/>
  <c r="C545" i="3"/>
  <c r="C577" i="3"/>
  <c r="C593" i="3"/>
  <c r="C609" i="3"/>
  <c r="C641" i="3"/>
  <c r="C657" i="3"/>
  <c r="C788" i="3"/>
  <c r="C6" i="3"/>
  <c r="C14" i="3"/>
  <c r="C22" i="3"/>
  <c r="C30" i="3"/>
  <c r="C38" i="3"/>
  <c r="C46" i="3"/>
  <c r="C54" i="3"/>
  <c r="C62" i="3"/>
  <c r="C70" i="3"/>
  <c r="C78" i="3"/>
  <c r="C86" i="3"/>
  <c r="C94" i="3"/>
  <c r="C102" i="3"/>
  <c r="C110" i="3"/>
  <c r="C118" i="3"/>
  <c r="C126" i="3"/>
  <c r="C134" i="3"/>
  <c r="C142" i="3"/>
  <c r="C150" i="3"/>
  <c r="C158" i="3"/>
  <c r="C166" i="3"/>
  <c r="C174" i="3"/>
  <c r="C182" i="3"/>
  <c r="C190" i="3"/>
  <c r="C198" i="3"/>
  <c r="C206" i="3"/>
  <c r="C214" i="3"/>
  <c r="C222" i="3"/>
  <c r="C230" i="3"/>
  <c r="C238" i="3"/>
  <c r="C246" i="3"/>
  <c r="C254" i="3"/>
  <c r="C262" i="3"/>
  <c r="C270" i="3"/>
  <c r="C278" i="3"/>
  <c r="C286" i="3"/>
  <c r="C294" i="3"/>
  <c r="C302" i="3"/>
  <c r="C310" i="3"/>
  <c r="C318" i="3"/>
  <c r="C326" i="3"/>
  <c r="C334" i="3"/>
  <c r="C342" i="3"/>
  <c r="C350" i="3"/>
  <c r="C358" i="3"/>
  <c r="C366" i="3"/>
  <c r="C374" i="3"/>
  <c r="C382" i="3"/>
  <c r="C390" i="3"/>
  <c r="C398" i="3"/>
  <c r="C406" i="3"/>
  <c r="C414" i="3"/>
  <c r="C422" i="3"/>
  <c r="C430" i="3"/>
  <c r="C438" i="3"/>
  <c r="C446" i="3"/>
  <c r="C454" i="3"/>
  <c r="C701" i="3"/>
  <c r="C789" i="3"/>
  <c r="C852" i="3"/>
  <c r="C960" i="3"/>
  <c r="C8" i="3"/>
  <c r="C16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C184" i="3"/>
  <c r="C192" i="3"/>
  <c r="C200" i="3"/>
  <c r="C208" i="3"/>
  <c r="C216" i="3"/>
  <c r="C224" i="3"/>
  <c r="C232" i="3"/>
  <c r="C240" i="3"/>
  <c r="C248" i="3"/>
  <c r="C256" i="3"/>
  <c r="C264" i="3"/>
  <c r="C272" i="3"/>
  <c r="C280" i="3"/>
  <c r="C288" i="3"/>
  <c r="C296" i="3"/>
  <c r="C304" i="3"/>
  <c r="C312" i="3"/>
  <c r="C320" i="3"/>
  <c r="C328" i="3"/>
  <c r="C336" i="3"/>
  <c r="C344" i="3"/>
  <c r="C352" i="3"/>
  <c r="C360" i="3"/>
  <c r="C368" i="3"/>
  <c r="C376" i="3"/>
  <c r="C384" i="3"/>
  <c r="C392" i="3"/>
  <c r="C400" i="3"/>
  <c r="C408" i="3"/>
  <c r="C416" i="3"/>
  <c r="C424" i="3"/>
  <c r="C432" i="3"/>
  <c r="C440" i="3"/>
  <c r="C448" i="3"/>
  <c r="C456" i="3"/>
  <c r="C749" i="3"/>
  <c r="C800" i="3"/>
  <c r="C853" i="3"/>
  <c r="C916" i="3"/>
  <c r="D457" i="3"/>
  <c r="D489" i="3"/>
  <c r="D617" i="3"/>
  <c r="D991" i="3"/>
  <c r="D959" i="3"/>
  <c r="D927" i="3"/>
  <c r="D895" i="3"/>
  <c r="D863" i="3"/>
  <c r="D831" i="3"/>
  <c r="D799" i="3"/>
  <c r="D767" i="3"/>
  <c r="D974" i="3"/>
  <c r="D942" i="3"/>
  <c r="D910" i="3"/>
  <c r="D878" i="3"/>
  <c r="D846" i="3"/>
  <c r="D814" i="3"/>
  <c r="D782" i="3"/>
  <c r="D750" i="3"/>
  <c r="D718" i="3"/>
  <c r="D686" i="3"/>
  <c r="D985" i="3"/>
  <c r="D857" i="3"/>
  <c r="D745" i="3"/>
  <c r="D681" i="3"/>
  <c r="D639" i="3"/>
  <c r="D607" i="3"/>
  <c r="D575" i="3"/>
  <c r="D543" i="3"/>
  <c r="D511" i="3"/>
  <c r="D479" i="3"/>
  <c r="D941" i="3"/>
  <c r="D813" i="3"/>
  <c r="D720" i="3"/>
  <c r="D993" i="3"/>
  <c r="D865" i="3"/>
  <c r="D751" i="3"/>
  <c r="D687" i="3"/>
  <c r="D642" i="3"/>
  <c r="D610" i="3"/>
  <c r="D578" i="3"/>
  <c r="D546" i="3"/>
  <c r="D514" i="3"/>
  <c r="D482" i="3"/>
  <c r="D968" i="3"/>
  <c r="D840" i="3"/>
  <c r="D740" i="3"/>
  <c r="D676" i="3"/>
  <c r="D777" i="3"/>
  <c r="D653" i="3"/>
  <c r="D589" i="3"/>
  <c r="D525" i="3"/>
  <c r="D461" i="3"/>
  <c r="D755" i="3"/>
  <c r="D644" i="3"/>
  <c r="D580" i="3"/>
  <c r="D516" i="3"/>
  <c r="D455" i="3"/>
  <c r="D423" i="3"/>
  <c r="D391" i="3"/>
  <c r="D359" i="3"/>
  <c r="D327" i="3"/>
  <c r="D295" i="3"/>
  <c r="D263" i="3"/>
  <c r="D231" i="3"/>
  <c r="D199" i="3"/>
  <c r="D167" i="3"/>
  <c r="D135" i="3"/>
  <c r="D103" i="3"/>
  <c r="D71" i="3"/>
  <c r="D39" i="3"/>
  <c r="D7" i="3"/>
  <c r="D773" i="3"/>
  <c r="D764" i="3"/>
  <c r="D648" i="3"/>
  <c r="D584" i="3"/>
  <c r="D520" i="3"/>
  <c r="D453" i="3"/>
  <c r="D421" i="3"/>
  <c r="D389" i="3"/>
  <c r="D357" i="3"/>
  <c r="D325" i="3"/>
  <c r="D293" i="3"/>
  <c r="D261" i="3"/>
  <c r="D229" i="3"/>
  <c r="D197" i="3"/>
  <c r="D165" i="3"/>
  <c r="D133" i="3"/>
  <c r="D101" i="3"/>
  <c r="D69" i="3"/>
  <c r="D37" i="3"/>
  <c r="D5" i="3"/>
  <c r="D805" i="3"/>
  <c r="D58" i="3"/>
  <c r="D122" i="3"/>
  <c r="D186" i="3"/>
  <c r="D250" i="3"/>
  <c r="D314" i="3"/>
  <c r="D378" i="3"/>
  <c r="D442" i="3"/>
  <c r="D625" i="3"/>
  <c r="D593" i="3"/>
  <c r="D30" i="3"/>
  <c r="D94" i="3"/>
  <c r="D158" i="3"/>
  <c r="D222" i="3"/>
  <c r="D286" i="3"/>
  <c r="D350" i="3"/>
  <c r="D414" i="3"/>
  <c r="D852" i="3"/>
  <c r="D56" i="3"/>
  <c r="D120" i="3"/>
  <c r="D184" i="3"/>
  <c r="D248" i="3"/>
  <c r="D312" i="3"/>
  <c r="D376" i="3"/>
  <c r="D440" i="3"/>
  <c r="D320" i="3"/>
  <c r="D448" i="3"/>
  <c r="D336" i="3"/>
  <c r="D368" i="3"/>
  <c r="D669" i="3"/>
  <c r="D505" i="3"/>
  <c r="D633" i="3"/>
  <c r="D987" i="3"/>
  <c r="D955" i="3"/>
  <c r="D923" i="3"/>
  <c r="D891" i="3"/>
  <c r="D859" i="3"/>
  <c r="D827" i="3"/>
  <c r="D795" i="3"/>
  <c r="D763" i="3"/>
  <c r="D970" i="3"/>
  <c r="D938" i="3"/>
  <c r="D906" i="3"/>
  <c r="D874" i="3"/>
  <c r="D842" i="3"/>
  <c r="D810" i="3"/>
  <c r="D778" i="3"/>
  <c r="D746" i="3"/>
  <c r="D714" i="3"/>
  <c r="D682" i="3"/>
  <c r="D964" i="3"/>
  <c r="D836" i="3"/>
  <c r="D737" i="3"/>
  <c r="D673" i="3"/>
  <c r="D635" i="3"/>
  <c r="D603" i="3"/>
  <c r="D571" i="3"/>
  <c r="D539" i="3"/>
  <c r="D507" i="3"/>
  <c r="D475" i="3"/>
  <c r="D920" i="3"/>
  <c r="D792" i="3"/>
  <c r="D712" i="3"/>
  <c r="D972" i="3"/>
  <c r="D844" i="3"/>
  <c r="D743" i="3"/>
  <c r="D679" i="3"/>
  <c r="D638" i="3"/>
  <c r="D606" i="3"/>
  <c r="D574" i="3"/>
  <c r="D542" i="3"/>
  <c r="D510" i="3"/>
  <c r="D478" i="3"/>
  <c r="D957" i="3"/>
  <c r="D829" i="3"/>
  <c r="D732" i="3"/>
  <c r="D668" i="3"/>
  <c r="D757" i="3"/>
  <c r="D645" i="3"/>
  <c r="D581" i="3"/>
  <c r="D517" i="3"/>
  <c r="D988" i="3"/>
  <c r="D739" i="3"/>
  <c r="D636" i="3"/>
  <c r="D572" i="3"/>
  <c r="D508" i="3"/>
  <c r="D451" i="3"/>
  <c r="D419" i="3"/>
  <c r="D387" i="3"/>
  <c r="D355" i="3"/>
  <c r="D323" i="3"/>
  <c r="D291" i="3"/>
  <c r="D259" i="3"/>
  <c r="D227" i="3"/>
  <c r="D195" i="3"/>
  <c r="D163" i="3"/>
  <c r="D131" i="3"/>
  <c r="D99" i="3"/>
  <c r="D67" i="3"/>
  <c r="D35" i="3"/>
  <c r="D3" i="3"/>
  <c r="D977" i="3"/>
  <c r="D747" i="3"/>
  <c r="D640" i="3"/>
  <c r="D576" i="3"/>
  <c r="D512" i="3"/>
  <c r="D449" i="3"/>
  <c r="D417" i="3"/>
  <c r="D385" i="3"/>
  <c r="D353" i="3"/>
  <c r="D321" i="3"/>
  <c r="D289" i="3"/>
  <c r="D257" i="3"/>
  <c r="D225" i="3"/>
  <c r="D193" i="3"/>
  <c r="D161" i="3"/>
  <c r="D129" i="3"/>
  <c r="D97" i="3"/>
  <c r="D65" i="3"/>
  <c r="D33" i="3"/>
  <c r="D976" i="3"/>
  <c r="D2" i="3"/>
  <c r="D66" i="3"/>
  <c r="D130" i="3"/>
  <c r="D194" i="3"/>
  <c r="D258" i="3"/>
  <c r="D322" i="3"/>
  <c r="D386" i="3"/>
  <c r="D450" i="3"/>
  <c r="D896" i="3"/>
  <c r="D609" i="3"/>
  <c r="D38" i="3"/>
  <c r="D102" i="3"/>
  <c r="D166" i="3"/>
  <c r="D230" i="3"/>
  <c r="D294" i="3"/>
  <c r="D358" i="3"/>
  <c r="D422" i="3"/>
  <c r="D960" i="3"/>
  <c r="D64" i="3"/>
  <c r="D128" i="3"/>
  <c r="D192" i="3"/>
  <c r="D256" i="3"/>
  <c r="D384" i="3"/>
  <c r="D456" i="3"/>
  <c r="D424" i="3"/>
  <c r="D809" i="3"/>
  <c r="D521" i="3"/>
  <c r="D649" i="3"/>
  <c r="D983" i="3"/>
  <c r="D951" i="3"/>
  <c r="D919" i="3"/>
  <c r="D887" i="3"/>
  <c r="D855" i="3"/>
  <c r="D823" i="3"/>
  <c r="D791" i="3"/>
  <c r="D998" i="3"/>
  <c r="D966" i="3"/>
  <c r="D934" i="3"/>
  <c r="D902" i="3"/>
  <c r="D870" i="3"/>
  <c r="D838" i="3"/>
  <c r="D806" i="3"/>
  <c r="D774" i="3"/>
  <c r="D742" i="3"/>
  <c r="D710" i="3"/>
  <c r="D678" i="3"/>
  <c r="D953" i="3"/>
  <c r="D825" i="3"/>
  <c r="D729" i="3"/>
  <c r="D665" i="3"/>
  <c r="D631" i="3"/>
  <c r="D599" i="3"/>
  <c r="D567" i="3"/>
  <c r="D535" i="3"/>
  <c r="D503" i="3"/>
  <c r="D471" i="3"/>
  <c r="D909" i="3"/>
  <c r="D781" i="3"/>
  <c r="D704" i="3"/>
  <c r="D961" i="3"/>
  <c r="D833" i="3"/>
  <c r="D735" i="3"/>
  <c r="D671" i="3"/>
  <c r="D634" i="3"/>
  <c r="D602" i="3"/>
  <c r="D570" i="3"/>
  <c r="D538" i="3"/>
  <c r="D506" i="3"/>
  <c r="D474" i="3"/>
  <c r="D936" i="3"/>
  <c r="D808" i="3"/>
  <c r="D724" i="3"/>
  <c r="D969" i="3"/>
  <c r="D741" i="3"/>
  <c r="D637" i="3"/>
  <c r="D573" i="3"/>
  <c r="D509" i="3"/>
  <c r="D945" i="3"/>
  <c r="D723" i="3"/>
  <c r="D628" i="3"/>
  <c r="D564" i="3"/>
  <c r="D500" i="3"/>
  <c r="D447" i="3"/>
  <c r="D415" i="3"/>
  <c r="D383" i="3"/>
  <c r="D351" i="3"/>
  <c r="D319" i="3"/>
  <c r="D287" i="3"/>
  <c r="D255" i="3"/>
  <c r="D223" i="3"/>
  <c r="D191" i="3"/>
  <c r="D159" i="3"/>
  <c r="D127" i="3"/>
  <c r="D95" i="3"/>
  <c r="D63" i="3"/>
  <c r="D31" i="3"/>
  <c r="D965" i="3"/>
  <c r="D956" i="3"/>
  <c r="D731" i="3"/>
  <c r="D632" i="3"/>
  <c r="D568" i="3"/>
  <c r="D504" i="3"/>
  <c r="D445" i="3"/>
  <c r="D413" i="3"/>
  <c r="D381" i="3"/>
  <c r="D349" i="3"/>
  <c r="D317" i="3"/>
  <c r="D285" i="3"/>
  <c r="D253" i="3"/>
  <c r="D221" i="3"/>
  <c r="D189" i="3"/>
  <c r="D157" i="3"/>
  <c r="D125" i="3"/>
  <c r="D93" i="3"/>
  <c r="D61" i="3"/>
  <c r="D29" i="3"/>
  <c r="D933" i="3"/>
  <c r="D10" i="3"/>
  <c r="D74" i="3"/>
  <c r="D138" i="3"/>
  <c r="D202" i="3"/>
  <c r="D266" i="3"/>
  <c r="D330" i="3"/>
  <c r="D394" i="3"/>
  <c r="D459" i="3"/>
  <c r="D465" i="3"/>
  <c r="D641" i="3"/>
  <c r="D46" i="3"/>
  <c r="D110" i="3"/>
  <c r="D174" i="3"/>
  <c r="D238" i="3"/>
  <c r="D302" i="3"/>
  <c r="D366" i="3"/>
  <c r="D430" i="3"/>
  <c r="D8" i="3"/>
  <c r="D72" i="3"/>
  <c r="D136" i="3"/>
  <c r="D200" i="3"/>
  <c r="D264" i="3"/>
  <c r="D328" i="3"/>
  <c r="D392" i="3"/>
  <c r="D749" i="3"/>
  <c r="D864" i="3"/>
  <c r="D537" i="3"/>
  <c r="D717" i="3"/>
  <c r="D979" i="3"/>
  <c r="D947" i="3"/>
  <c r="D915" i="3"/>
  <c r="D883" i="3"/>
  <c r="D851" i="3"/>
  <c r="D819" i="3"/>
  <c r="D787" i="3"/>
  <c r="D994" i="3"/>
  <c r="D962" i="3"/>
  <c r="D930" i="3"/>
  <c r="D898" i="3"/>
  <c r="D866" i="3"/>
  <c r="D834" i="3"/>
  <c r="D802" i="3"/>
  <c r="D770" i="3"/>
  <c r="D738" i="3"/>
  <c r="D706" i="3"/>
  <c r="D674" i="3"/>
  <c r="D932" i="3"/>
  <c r="D804" i="3"/>
  <c r="D721" i="3"/>
  <c r="D659" i="3"/>
  <c r="D627" i="3"/>
  <c r="D595" i="3"/>
  <c r="D563" i="3"/>
  <c r="D531" i="3"/>
  <c r="D499" i="3"/>
  <c r="D467" i="3"/>
  <c r="D888" i="3"/>
  <c r="D760" i="3"/>
  <c r="D696" i="3"/>
  <c r="D940" i="3"/>
  <c r="D812" i="3"/>
  <c r="D727" i="3"/>
  <c r="D663" i="3"/>
  <c r="D630" i="3"/>
  <c r="D598" i="3"/>
  <c r="D566" i="3"/>
  <c r="D534" i="3"/>
  <c r="D502" i="3"/>
  <c r="D470" i="3"/>
  <c r="D925" i="3"/>
  <c r="D797" i="3"/>
  <c r="D716" i="3"/>
  <c r="D948" i="3"/>
  <c r="D725" i="3"/>
  <c r="D629" i="3"/>
  <c r="D565" i="3"/>
  <c r="D501" i="3"/>
  <c r="D924" i="3"/>
  <c r="D707" i="3"/>
  <c r="D620" i="3"/>
  <c r="D556" i="3"/>
  <c r="D492" i="3"/>
  <c r="D443" i="3"/>
  <c r="D411" i="3"/>
  <c r="D379" i="3"/>
  <c r="D347" i="3"/>
  <c r="D315" i="3"/>
  <c r="D283" i="3"/>
  <c r="D251" i="3"/>
  <c r="D219" i="3"/>
  <c r="D187" i="3"/>
  <c r="D155" i="3"/>
  <c r="D123" i="3"/>
  <c r="D91" i="3"/>
  <c r="D59" i="3"/>
  <c r="D27" i="3"/>
  <c r="D944" i="3"/>
  <c r="D913" i="3"/>
  <c r="D715" i="3"/>
  <c r="D624" i="3"/>
  <c r="D560" i="3"/>
  <c r="D496" i="3"/>
  <c r="D441" i="3"/>
  <c r="D409" i="3"/>
  <c r="D377" i="3"/>
  <c r="D345" i="3"/>
  <c r="D313" i="3"/>
  <c r="D281" i="3"/>
  <c r="D249" i="3"/>
  <c r="D217" i="3"/>
  <c r="D185" i="3"/>
  <c r="D153" i="3"/>
  <c r="D121" i="3"/>
  <c r="D89" i="3"/>
  <c r="D57" i="3"/>
  <c r="D25" i="3"/>
  <c r="D912" i="3"/>
  <c r="D18" i="3"/>
  <c r="D82" i="3"/>
  <c r="D146" i="3"/>
  <c r="D210" i="3"/>
  <c r="D274" i="3"/>
  <c r="D338" i="3"/>
  <c r="D402" i="3"/>
  <c r="D821" i="3"/>
  <c r="D481" i="3"/>
  <c r="D657" i="3"/>
  <c r="D54" i="3"/>
  <c r="D118" i="3"/>
  <c r="D182" i="3"/>
  <c r="D246" i="3"/>
  <c r="D310" i="3"/>
  <c r="D374" i="3"/>
  <c r="D438" i="3"/>
  <c r="D16" i="3"/>
  <c r="D80" i="3"/>
  <c r="D144" i="3"/>
  <c r="D208" i="3"/>
  <c r="D272" i="3"/>
  <c r="D400" i="3"/>
  <c r="D917" i="3"/>
  <c r="D553" i="3"/>
  <c r="D873" i="3"/>
  <c r="D975" i="3"/>
  <c r="D943" i="3"/>
  <c r="D911" i="3"/>
  <c r="D879" i="3"/>
  <c r="D847" i="3"/>
  <c r="D815" i="3"/>
  <c r="D783" i="3"/>
  <c r="D990" i="3"/>
  <c r="D958" i="3"/>
  <c r="D926" i="3"/>
  <c r="D894" i="3"/>
  <c r="D862" i="3"/>
  <c r="D830" i="3"/>
  <c r="D798" i="3"/>
  <c r="D766" i="3"/>
  <c r="D734" i="3"/>
  <c r="D702" i="3"/>
  <c r="D670" i="3"/>
  <c r="D921" i="3"/>
  <c r="D793" i="3"/>
  <c r="D713" i="3"/>
  <c r="D655" i="3"/>
  <c r="D623" i="3"/>
  <c r="D591" i="3"/>
  <c r="D559" i="3"/>
  <c r="D527" i="3"/>
  <c r="D495" i="3"/>
  <c r="D463" i="3"/>
  <c r="D877" i="3"/>
  <c r="D752" i="3"/>
  <c r="D688" i="3"/>
  <c r="D929" i="3"/>
  <c r="D801" i="3"/>
  <c r="D719" i="3"/>
  <c r="D658" i="3"/>
  <c r="D626" i="3"/>
  <c r="D594" i="3"/>
  <c r="D562" i="3"/>
  <c r="D530" i="3"/>
  <c r="D498" i="3"/>
  <c r="D466" i="3"/>
  <c r="D904" i="3"/>
  <c r="D776" i="3"/>
  <c r="D708" i="3"/>
  <c r="D905" i="3"/>
  <c r="D709" i="3"/>
  <c r="D621" i="3"/>
  <c r="D557" i="3"/>
  <c r="D493" i="3"/>
  <c r="D881" i="3"/>
  <c r="D691" i="3"/>
  <c r="D612" i="3"/>
  <c r="D548" i="3"/>
  <c r="D484" i="3"/>
  <c r="D439" i="3"/>
  <c r="D407" i="3"/>
  <c r="D375" i="3"/>
  <c r="D343" i="3"/>
  <c r="D311" i="3"/>
  <c r="D279" i="3"/>
  <c r="D247" i="3"/>
  <c r="D215" i="3"/>
  <c r="D183" i="3"/>
  <c r="D151" i="3"/>
  <c r="D119" i="3"/>
  <c r="D87" i="3"/>
  <c r="D55" i="3"/>
  <c r="D23" i="3"/>
  <c r="D901" i="3"/>
  <c r="D892" i="3"/>
  <c r="D699" i="3"/>
  <c r="D616" i="3"/>
  <c r="D552" i="3"/>
  <c r="D488" i="3"/>
  <c r="D437" i="3"/>
  <c r="D405" i="3"/>
  <c r="D373" i="3"/>
  <c r="D341" i="3"/>
  <c r="D309" i="3"/>
  <c r="D277" i="3"/>
  <c r="D245" i="3"/>
  <c r="D213" i="3"/>
  <c r="D181" i="3"/>
  <c r="D149" i="3"/>
  <c r="D117" i="3"/>
  <c r="D85" i="3"/>
  <c r="D53" i="3"/>
  <c r="D21" i="3"/>
  <c r="D869" i="3"/>
  <c r="D26" i="3"/>
  <c r="D90" i="3"/>
  <c r="D154" i="3"/>
  <c r="D218" i="3"/>
  <c r="D282" i="3"/>
  <c r="D346" i="3"/>
  <c r="D410" i="3"/>
  <c r="D937" i="3"/>
  <c r="D497" i="3"/>
  <c r="D788" i="3"/>
  <c r="D62" i="3"/>
  <c r="D126" i="3"/>
  <c r="D190" i="3"/>
  <c r="D254" i="3"/>
  <c r="D318" i="3"/>
  <c r="D382" i="3"/>
  <c r="D446" i="3"/>
  <c r="D24" i="3"/>
  <c r="D88" i="3"/>
  <c r="D152" i="3"/>
  <c r="D216" i="3"/>
  <c r="D280" i="3"/>
  <c r="D344" i="3"/>
  <c r="D408" i="3"/>
  <c r="D800" i="3"/>
  <c r="D853" i="3"/>
  <c r="D980" i="3"/>
  <c r="D569" i="3"/>
  <c r="D928" i="3"/>
  <c r="D971" i="3"/>
  <c r="D939" i="3"/>
  <c r="D907" i="3"/>
  <c r="D875" i="3"/>
  <c r="D843" i="3"/>
  <c r="D811" i="3"/>
  <c r="D779" i="3"/>
  <c r="D986" i="3"/>
  <c r="D954" i="3"/>
  <c r="D922" i="3"/>
  <c r="D890" i="3"/>
  <c r="D858" i="3"/>
  <c r="D826" i="3"/>
  <c r="D794" i="3"/>
  <c r="D762" i="3"/>
  <c r="D730" i="3"/>
  <c r="D698" i="3"/>
  <c r="D666" i="3"/>
  <c r="D900" i="3"/>
  <c r="D772" i="3"/>
  <c r="D705" i="3"/>
  <c r="D651" i="3"/>
  <c r="D619" i="3"/>
  <c r="D587" i="3"/>
  <c r="D555" i="3"/>
  <c r="D523" i="3"/>
  <c r="D491" i="3"/>
  <c r="D984" i="3"/>
  <c r="D856" i="3"/>
  <c r="D744" i="3"/>
  <c r="D680" i="3"/>
  <c r="D908" i="3"/>
  <c r="D780" i="3"/>
  <c r="D711" i="3"/>
  <c r="D654" i="3"/>
  <c r="D622" i="3"/>
  <c r="D590" i="3"/>
  <c r="D558" i="3"/>
  <c r="D526" i="3"/>
  <c r="D494" i="3"/>
  <c r="D462" i="3"/>
  <c r="D893" i="3"/>
  <c r="D765" i="3"/>
  <c r="D700" i="3"/>
  <c r="D884" i="3"/>
  <c r="D693" i="3"/>
  <c r="D613" i="3"/>
  <c r="D549" i="3"/>
  <c r="D485" i="3"/>
  <c r="D860" i="3"/>
  <c r="D675" i="3"/>
  <c r="D604" i="3"/>
  <c r="D540" i="3"/>
  <c r="D476" i="3"/>
  <c r="D435" i="3"/>
  <c r="D403" i="3"/>
  <c r="D371" i="3"/>
  <c r="D339" i="3"/>
  <c r="D307" i="3"/>
  <c r="D275" i="3"/>
  <c r="D243" i="3"/>
  <c r="D211" i="3"/>
  <c r="D179" i="3"/>
  <c r="D147" i="3"/>
  <c r="D115" i="3"/>
  <c r="D83" i="3"/>
  <c r="D51" i="3"/>
  <c r="D19" i="3"/>
  <c r="D880" i="3"/>
  <c r="D849" i="3"/>
  <c r="D683" i="3"/>
  <c r="D608" i="3"/>
  <c r="D544" i="3"/>
  <c r="D480" i="3"/>
  <c r="D433" i="3"/>
  <c r="D401" i="3"/>
  <c r="D369" i="3"/>
  <c r="D337" i="3"/>
  <c r="D305" i="3"/>
  <c r="D273" i="3"/>
  <c r="D241" i="3"/>
  <c r="D209" i="3"/>
  <c r="D177" i="3"/>
  <c r="D145" i="3"/>
  <c r="D113" i="3"/>
  <c r="D81" i="3"/>
  <c r="D49" i="3"/>
  <c r="D17" i="3"/>
  <c r="D848" i="3"/>
  <c r="D34" i="3"/>
  <c r="D98" i="3"/>
  <c r="D162" i="3"/>
  <c r="D226" i="3"/>
  <c r="D290" i="3"/>
  <c r="D354" i="3"/>
  <c r="D418" i="3"/>
  <c r="D992" i="3"/>
  <c r="D529" i="3"/>
  <c r="D6" i="3"/>
  <c r="D70" i="3"/>
  <c r="D134" i="3"/>
  <c r="D198" i="3"/>
  <c r="D262" i="3"/>
  <c r="D326" i="3"/>
  <c r="D390" i="3"/>
  <c r="D454" i="3"/>
  <c r="D32" i="3"/>
  <c r="D96" i="3"/>
  <c r="D160" i="3"/>
  <c r="D224" i="3"/>
  <c r="D288" i="3"/>
  <c r="D352" i="3"/>
  <c r="D416" i="3"/>
  <c r="D916" i="3"/>
  <c r="D458" i="3"/>
  <c r="D585" i="3"/>
  <c r="D999" i="3"/>
  <c r="D967" i="3"/>
  <c r="D935" i="3"/>
  <c r="D903" i="3"/>
  <c r="D871" i="3"/>
  <c r="D839" i="3"/>
  <c r="D807" i="3"/>
  <c r="D775" i="3"/>
  <c r="D982" i="3"/>
  <c r="D950" i="3"/>
  <c r="D918" i="3"/>
  <c r="D886" i="3"/>
  <c r="D854" i="3"/>
  <c r="D822" i="3"/>
  <c r="D790" i="3"/>
  <c r="D758" i="3"/>
  <c r="D726" i="3"/>
  <c r="D694" i="3"/>
  <c r="D662" i="3"/>
  <c r="D889" i="3"/>
  <c r="D761" i="3"/>
  <c r="D697" i="3"/>
  <c r="D647" i="3"/>
  <c r="D615" i="3"/>
  <c r="D583" i="3"/>
  <c r="D551" i="3"/>
  <c r="D519" i="3"/>
  <c r="D487" i="3"/>
  <c r="D973" i="3"/>
  <c r="D845" i="3"/>
  <c r="D736" i="3"/>
  <c r="D672" i="3"/>
  <c r="D897" i="3"/>
  <c r="D769" i="3"/>
  <c r="D703" i="3"/>
  <c r="D650" i="3"/>
  <c r="D618" i="3"/>
  <c r="D586" i="3"/>
  <c r="D554" i="3"/>
  <c r="D522" i="3"/>
  <c r="D490" i="3"/>
  <c r="D1000" i="3"/>
  <c r="D872" i="3"/>
  <c r="D756" i="3"/>
  <c r="D692" i="3"/>
  <c r="D841" i="3"/>
  <c r="D677" i="3"/>
  <c r="D605" i="3"/>
  <c r="D541" i="3"/>
  <c r="D477" i="3"/>
  <c r="D817" i="3"/>
  <c r="D660" i="3"/>
  <c r="D596" i="3"/>
  <c r="D532" i="3"/>
  <c r="D468" i="3"/>
  <c r="D431" i="3"/>
  <c r="D399" i="3"/>
  <c r="D367" i="3"/>
  <c r="D335" i="3"/>
  <c r="D303" i="3"/>
  <c r="D271" i="3"/>
  <c r="D239" i="3"/>
  <c r="D207" i="3"/>
  <c r="D175" i="3"/>
  <c r="D143" i="3"/>
  <c r="D111" i="3"/>
  <c r="D79" i="3"/>
  <c r="D47" i="3"/>
  <c r="D15" i="3"/>
  <c r="D837" i="3"/>
  <c r="D828" i="3"/>
  <c r="D667" i="3"/>
  <c r="D600" i="3"/>
  <c r="D536" i="3"/>
  <c r="D472" i="3"/>
  <c r="D429" i="3"/>
  <c r="D397" i="3"/>
  <c r="D365" i="3"/>
  <c r="D333" i="3"/>
  <c r="D301" i="3"/>
  <c r="D269" i="3"/>
  <c r="D237" i="3"/>
  <c r="D205" i="3"/>
  <c r="D173" i="3"/>
  <c r="D141" i="3"/>
  <c r="D109" i="3"/>
  <c r="D77" i="3"/>
  <c r="D45" i="3"/>
  <c r="D13" i="3"/>
  <c r="D784" i="3"/>
  <c r="D42" i="3"/>
  <c r="D106" i="3"/>
  <c r="D170" i="3"/>
  <c r="D234" i="3"/>
  <c r="D298" i="3"/>
  <c r="D362" i="3"/>
  <c r="D426" i="3"/>
  <c r="D513" i="3"/>
  <c r="D545" i="3"/>
  <c r="D14" i="3"/>
  <c r="D78" i="3"/>
  <c r="D142" i="3"/>
  <c r="D206" i="3"/>
  <c r="D270" i="3"/>
  <c r="D334" i="3"/>
  <c r="D398" i="3"/>
  <c r="D701" i="3"/>
  <c r="D40" i="3"/>
  <c r="D104" i="3"/>
  <c r="D168" i="3"/>
  <c r="D232" i="3"/>
  <c r="D296" i="3"/>
  <c r="D360" i="3"/>
  <c r="D432" i="3"/>
  <c r="D473" i="3"/>
  <c r="D601" i="3"/>
  <c r="D995" i="3"/>
  <c r="D963" i="3"/>
  <c r="D931" i="3"/>
  <c r="D899" i="3"/>
  <c r="D867" i="3"/>
  <c r="D835" i="3"/>
  <c r="D803" i="3"/>
  <c r="D771" i="3"/>
  <c r="D978" i="3"/>
  <c r="D946" i="3"/>
  <c r="D914" i="3"/>
  <c r="D882" i="3"/>
  <c r="D850" i="3"/>
  <c r="D818" i="3"/>
  <c r="D786" i="3"/>
  <c r="D754" i="3"/>
  <c r="D722" i="3"/>
  <c r="D690" i="3"/>
  <c r="D996" i="3"/>
  <c r="D868" i="3"/>
  <c r="D753" i="3"/>
  <c r="D689" i="3"/>
  <c r="D643" i="3"/>
  <c r="D611" i="3"/>
  <c r="D579" i="3"/>
  <c r="D547" i="3"/>
  <c r="D515" i="3"/>
  <c r="D483" i="3"/>
  <c r="D952" i="3"/>
  <c r="D824" i="3"/>
  <c r="D728" i="3"/>
  <c r="D664" i="3"/>
  <c r="D876" i="3"/>
  <c r="D759" i="3"/>
  <c r="D695" i="3"/>
  <c r="D646" i="3"/>
  <c r="D614" i="3"/>
  <c r="D582" i="3"/>
  <c r="D550" i="3"/>
  <c r="D518" i="3"/>
  <c r="D486" i="3"/>
  <c r="D989" i="3"/>
  <c r="D861" i="3"/>
  <c r="D748" i="3"/>
  <c r="D684" i="3"/>
  <c r="D820" i="3"/>
  <c r="D661" i="3"/>
  <c r="D597" i="3"/>
  <c r="D533" i="3"/>
  <c r="D469" i="3"/>
  <c r="D796" i="3"/>
  <c r="D652" i="3"/>
  <c r="D588" i="3"/>
  <c r="D524" i="3"/>
  <c r="D460" i="3"/>
  <c r="D427" i="3"/>
  <c r="D395" i="3"/>
  <c r="D363" i="3"/>
  <c r="D331" i="3"/>
  <c r="D299" i="3"/>
  <c r="D267" i="3"/>
  <c r="D235" i="3"/>
  <c r="D203" i="3"/>
  <c r="D171" i="3"/>
  <c r="D139" i="3"/>
  <c r="D107" i="3"/>
  <c r="D75" i="3"/>
  <c r="D43" i="3"/>
  <c r="D11" i="3"/>
  <c r="D816" i="3"/>
  <c r="D785" i="3"/>
  <c r="D656" i="3"/>
  <c r="D592" i="3"/>
  <c r="D528" i="3"/>
  <c r="D464" i="3"/>
  <c r="D425" i="3"/>
  <c r="D393" i="3"/>
  <c r="D361" i="3"/>
  <c r="D329" i="3"/>
  <c r="D297" i="3"/>
  <c r="D265" i="3"/>
  <c r="D233" i="3"/>
  <c r="D201" i="3"/>
  <c r="D169" i="3"/>
  <c r="D137" i="3"/>
  <c r="D105" i="3"/>
  <c r="D73" i="3"/>
  <c r="D41" i="3"/>
  <c r="D9" i="3"/>
  <c r="D997" i="3"/>
  <c r="D50" i="3"/>
  <c r="D114" i="3"/>
  <c r="D178" i="3"/>
  <c r="D242" i="3"/>
  <c r="D306" i="3"/>
  <c r="D370" i="3"/>
  <c r="D434" i="3"/>
  <c r="D561" i="3"/>
  <c r="D577" i="3"/>
  <c r="D22" i="3"/>
  <c r="D86" i="3"/>
  <c r="D150" i="3"/>
  <c r="D214" i="3"/>
  <c r="D278" i="3"/>
  <c r="D342" i="3"/>
  <c r="D406" i="3"/>
  <c r="D789" i="3"/>
  <c r="D48" i="3"/>
  <c r="D112" i="3"/>
  <c r="D176" i="3"/>
  <c r="D240" i="3"/>
  <c r="D304" i="3"/>
</calcChain>
</file>

<file path=xl/sharedStrings.xml><?xml version="1.0" encoding="utf-8"?>
<sst xmlns="http://schemas.openxmlformats.org/spreadsheetml/2006/main" count="1242" uniqueCount="145">
  <si>
    <t>dropdown</t>
  </si>
  <si>
    <t>alias</t>
  </si>
  <si>
    <t>name</t>
  </si>
  <si>
    <t>department</t>
  </si>
  <si>
    <t>LOTR</t>
  </si>
  <si>
    <t>bilbo</t>
  </si>
  <si>
    <t>Bilbo Baggins</t>
  </si>
  <si>
    <t>middle-earth</t>
  </si>
  <si>
    <t>frodo</t>
  </si>
  <si>
    <t>Frodo Baggins</t>
  </si>
  <si>
    <t>gandalf</t>
  </si>
  <si>
    <t>Gandalf the Grey</t>
  </si>
  <si>
    <t>merry</t>
  </si>
  <si>
    <t>Meriadoc Brandybuck</t>
  </si>
  <si>
    <t>pippin</t>
  </si>
  <si>
    <t>Peregrin Took</t>
  </si>
  <si>
    <t>sam</t>
  </si>
  <si>
    <t>Samwise Gamgee</t>
  </si>
  <si>
    <t>saruman</t>
  </si>
  <si>
    <t>Saruman the White</t>
  </si>
  <si>
    <t>lab teams</t>
  </si>
  <si>
    <t>AP, FHP</t>
  </si>
  <si>
    <t>AP, WD</t>
  </si>
  <si>
    <t>FHP, WD</t>
  </si>
  <si>
    <t>lab individuals</t>
  </si>
  <si>
    <t>AP</t>
  </si>
  <si>
    <t>provisal</t>
  </si>
  <si>
    <t>Alain Proviste</t>
  </si>
  <si>
    <t>miskatonic</t>
  </si>
  <si>
    <t>FHP</t>
  </si>
  <si>
    <t>pabodifr</t>
  </si>
  <si>
    <t xml:space="preserve">Frank H. Pabodie </t>
  </si>
  <si>
    <t>WD</t>
  </si>
  <si>
    <t>dyerwi</t>
  </si>
  <si>
    <t>William Dyer</t>
  </si>
  <si>
    <t>H2G2</t>
  </si>
  <si>
    <t>breebzap</t>
  </si>
  <si>
    <t>Zaphod Breeblebox</t>
  </si>
  <si>
    <t>heart-of-gold</t>
  </si>
  <si>
    <t>dentarth</t>
  </si>
  <si>
    <t>Arthur Dent</t>
  </si>
  <si>
    <t>paramarv</t>
  </si>
  <si>
    <t>Marvin Paranoid Android</t>
  </si>
  <si>
    <t>prefecfo</t>
  </si>
  <si>
    <t>Ford Prefect</t>
  </si>
  <si>
    <t>DiningRoom</t>
  </si>
  <si>
    <t>Kitchen</t>
  </si>
  <si>
    <t>Bar</t>
  </si>
  <si>
    <t>Bench</t>
  </si>
  <si>
    <t>DiningArea</t>
  </si>
  <si>
    <t>DiningRoom:Bar</t>
  </si>
  <si>
    <t>DiningRoom:DiningArea</t>
  </si>
  <si>
    <t>Kitchen:Bench</t>
  </si>
  <si>
    <t>Kitchen:DiningArea</t>
  </si>
  <si>
    <t>Commode</t>
  </si>
  <si>
    <t>Table</t>
  </si>
  <si>
    <t>Sink</t>
  </si>
  <si>
    <t>Dischwascher</t>
  </si>
  <si>
    <t>Chair</t>
  </si>
  <si>
    <t>DiningRoom:Bar:Commode</t>
  </si>
  <si>
    <t>DiningRoom:DiningArea:Table</t>
  </si>
  <si>
    <t>Kitchen:Bench:Dischwascher</t>
  </si>
  <si>
    <t>Kitchen:Bench:Sink</t>
  </si>
  <si>
    <t>Kitchen:DiningArea:Chair</t>
  </si>
  <si>
    <t>Kitchen:DiningArea:Table</t>
  </si>
  <si>
    <t>Glassware</t>
  </si>
  <si>
    <t>Leg1</t>
  </si>
  <si>
    <t>Door</t>
  </si>
  <si>
    <t>Tap</t>
  </si>
  <si>
    <t>Liquor</t>
  </si>
  <si>
    <t>Leg2</t>
  </si>
  <si>
    <t>Drain</t>
  </si>
  <si>
    <t>Overflow</t>
  </si>
  <si>
    <t>1Q42</t>
  </si>
  <si>
    <t>2019</t>
  </si>
  <si>
    <t xml:space="preserve">Responsible: </t>
  </si>
  <si>
    <t xml:space="preserve">Results: </t>
  </si>
  <si>
    <t>Sample ID</t>
  </si>
  <si>
    <t>Site</t>
  </si>
  <si>
    <t>Sample</t>
  </si>
  <si>
    <t>Comment</t>
  </si>
  <si>
    <t>Communication</t>
  </si>
  <si>
    <t>Analysis</t>
  </si>
  <si>
    <t>Expected value of measured variable</t>
  </si>
  <si>
    <t>ConcatID</t>
  </si>
  <si>
    <t>Number of options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</si>
  <si>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</si>
  <si>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</si>
  <si>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</si>
  <si>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</si>
  <si>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</si>
  <si>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</si>
  <si>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</si>
  <si>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</si>
  <si>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Sampling method</t>
  </si>
  <si>
    <t>Filter at sampling</t>
  </si>
  <si>
    <t>Dilution at sampling</t>
  </si>
  <si>
    <t>Who (S)</t>
  </si>
  <si>
    <t>Who (A)</t>
  </si>
  <si>
    <t>DOC</t>
  </si>
  <si>
    <t>TOC</t>
  </si>
  <si>
    <t>TIC</t>
  </si>
  <si>
    <t>Ntot</t>
  </si>
  <si>
    <t>Cl</t>
  </si>
  <si>
    <t>NO2-N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</si>
  <si>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</si>
  <si>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</si>
  <si>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</si>
  <si>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</si>
  <si>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</si>
  <si>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</si>
  <si>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</si>
  <si>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</si>
  <si>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</si>
  <si>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</si>
  <si>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</si>
  <si>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</si>
  <si>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</si>
  <si>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</si>
  <si>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</si>
  <si>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</si>
  <si>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</si>
  <si>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BOD5</t>
  </si>
  <si>
    <t>TSS</t>
  </si>
  <si>
    <t>VSS</t>
  </si>
  <si>
    <t>TCC</t>
  </si>
  <si>
    <t>ICC</t>
  </si>
  <si>
    <t>ATP</t>
  </si>
  <si>
    <t>TSS63</t>
  </si>
  <si>
    <t>[##]</t>
  </si>
  <si>
    <t>[yysss]</t>
  </si>
  <si>
    <t>[dd.mm.yyyy]</t>
  </si>
  <si>
    <t>[HH:MM:SS]</t>
  </si>
  <si>
    <t>[total vol/sample vol]</t>
  </si>
  <si>
    <t>mg/L</t>
  </si>
  <si>
    <t>mgN/L</t>
  </si>
  <si>
    <t>mmol/L</t>
  </si>
  <si>
    <t>microS/cm</t>
  </si>
  <si>
    <t>1</t>
  </si>
  <si>
    <t>NTU</t>
  </si>
  <si>
    <t>#/mL</t>
  </si>
  <si>
    <t>gATP/gGAC</t>
  </si>
  <si>
    <t xml:space="preserve">mg/L </t>
  </si>
  <si>
    <t>Text</t>
  </si>
  <si>
    <t>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</si>
</sst>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99"/>
      <name val="Calibri"/>
    </font>
    <font>
      <u/>
      <sz val="11"/>
      <color rgb="FF000099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2" fillId="0" borderId="3">
      <alignment horizontal="left" vertical="top"/>
    </xf>
    <xf numFmtId="49" fontId="3" fillId="0" borderId="4">
      <alignment horizontal="center" vertical="top"/>
    </xf>
    <xf numFmtId="164" fontId="3" fillId="0" borderId="4">
      <alignment horizontal="center" vertical="top"/>
    </xf>
    <xf numFmtId="49" fontId="3" fillId="0" borderId="5">
      <alignment horizontal="center" vertical="top"/>
    </xf>
    <xf numFmtId="49" fontId="3" fillId="0" borderId="6">
      <alignment horizontal="center" vertical="top"/>
    </xf>
    <xf numFmtId="49" fontId="3" fillId="0" borderId="7">
      <alignment horizontal="center" vertical="top"/>
    </xf>
    <xf numFmtId="21" fontId="3" fillId="0" borderId="7">
      <alignment horizontal="center" vertical="top"/>
    </xf>
    <xf numFmtId="49" fontId="3" fillId="0" borderId="8">
      <alignment horizontal="center" vertical="top"/>
    </xf>
    <xf numFmtId="49" fontId="3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4" fillId="0" borderId="12">
      <alignment horizontal="center" vertical="top"/>
    </xf>
    <xf numFmtId="49" fontId="4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  <xf numFmtId="49" fontId="5" fillId="0" borderId="16">
      <alignment horizontal="center" vertical="top"/>
    </xf>
    <xf numFmtId="49" fontId="5" fillId="0" borderId="17">
      <alignment horizontal="center" vertical="top"/>
    </xf>
  </cellStyleXfs>
  <cellXfs count="29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49" fontId="4" fillId="0" borderId="12" xfId="12" applyAlignment="1">
      <alignment horizontal="center" vertical="top"/>
    </xf>
    <xf numFmtId="49" fontId="4" fillId="0" borderId="15" xfId="15" applyAlignment="1">
      <alignment horizontal="center" vertical="top"/>
    </xf>
    <xf numFmtId="49" fontId="4" fillId="0" borderId="13" xfId="13" applyAlignment="1">
      <alignment horizontal="center" vertical="top"/>
    </xf>
    <xf numFmtId="49" fontId="5" fillId="0" borderId="16" xfId="16" applyAlignment="1">
      <alignment horizontal="center" vertical="top"/>
    </xf>
    <xf numFmtId="49" fontId="4" fillId="0" borderId="14" xfId="14" applyAlignment="1">
      <alignment horizontal="center" vertical="top"/>
    </xf>
    <xf numFmtId="49" fontId="5" fillId="0" borderId="17" xfId="17" applyAlignment="1">
      <alignment horizontal="center" vertical="top"/>
    </xf>
    <xf numFmtId="49" fontId="2" fillId="0" borderId="3" xfId="1" applyAlignment="1">
      <alignment horizontal="left" vertical="top"/>
    </xf>
    <xf numFmtId="49" fontId="3" fillId="0" borderId="9" xfId="9" applyAlignment="1">
      <alignment horizontal="center" vertical="top"/>
    </xf>
    <xf numFmtId="49" fontId="3" fillId="0" borderId="6" xfId="5" applyAlignment="1">
      <alignment horizontal="center" vertical="top"/>
    </xf>
    <xf numFmtId="49" fontId="3" fillId="0" borderId="4" xfId="2" applyAlignment="1">
      <alignment horizontal="center" vertical="top"/>
    </xf>
    <xf numFmtId="49" fontId="3" fillId="0" borderId="10" xfId="10" applyAlignment="1">
      <alignment horizontal="center" vertical="top"/>
    </xf>
    <xf numFmtId="49" fontId="3" fillId="0" borderId="7" xfId="6" applyAlignment="1">
      <alignment horizontal="center" vertical="top"/>
    </xf>
    <xf numFmtId="49" fontId="3" fillId="0" borderId="5" xfId="4" applyAlignment="1">
      <alignment horizontal="center" vertical="top"/>
    </xf>
    <xf numFmtId="49" fontId="3" fillId="0" borderId="11" xfId="11" applyAlignment="1">
      <alignment horizontal="center" vertical="top"/>
    </xf>
    <xf numFmtId="49" fontId="3" fillId="0" borderId="8" xfId="8" applyAlignment="1">
      <alignment horizontal="center" vertical="top"/>
    </xf>
    <xf numFmtId="49" fontId="3" fillId="0" borderId="4" xfId="2" applyAlignment="1" applyProtection="1">
      <alignment horizontal="center" vertical="top"/>
      <protection locked="0"/>
    </xf>
    <xf numFmtId="49" fontId="3" fillId="0" borderId="10" xfId="10" applyAlignment="1" applyProtection="1">
      <alignment horizontal="center" vertical="top"/>
      <protection locked="0"/>
    </xf>
    <xf numFmtId="49" fontId="3" fillId="0" borderId="7" xfId="6" applyAlignment="1" applyProtection="1">
      <alignment horizontal="center" vertical="top"/>
      <protection locked="0"/>
    </xf>
    <xf numFmtId="164" fontId="3" fillId="0" borderId="4" xfId="3" applyAlignment="1" applyProtection="1">
      <alignment horizontal="center" vertical="top"/>
      <protection locked="0"/>
    </xf>
    <xf numFmtId="21" fontId="3" fillId="0" borderId="7" xfId="7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3" fillId="0" borderId="5" xfId="4" applyAlignment="1" applyProtection="1">
      <alignment horizontal="center" vertical="top"/>
      <protection locked="0"/>
    </xf>
    <xf numFmtId="49" fontId="3" fillId="0" borderId="11" xfId="11" applyAlignment="1" applyProtection="1">
      <alignment horizontal="center" vertical="top"/>
      <protection locked="0"/>
    </xf>
    <xf numFmtId="49" fontId="3" fillId="0" borderId="8" xfId="8" applyAlignment="1" applyProtection="1">
      <alignment horizontal="center" vertical="top"/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106"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defaultRowHeight="14.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5</v>
      </c>
      <c r="C2" s="3" t="s">
        <v>5</v>
      </c>
      <c r="D2" s="3" t="s">
        <v>6</v>
      </c>
      <c r="E2" s="3" t="s">
        <v>7</v>
      </c>
    </row>
    <row r="3" spans="1:5">
      <c r="B3" t="s">
        <v>8</v>
      </c>
      <c r="C3" t="s">
        <v>8</v>
      </c>
      <c r="D3" t="s">
        <v>9</v>
      </c>
      <c r="E3" t="s">
        <v>7</v>
      </c>
    </row>
    <row r="4" spans="1:5">
      <c r="B4" t="s">
        <v>10</v>
      </c>
      <c r="C4" t="s">
        <v>10</v>
      </c>
      <c r="D4" t="s">
        <v>11</v>
      </c>
      <c r="E4" t="s">
        <v>7</v>
      </c>
    </row>
    <row r="5" spans="1:5">
      <c r="B5" t="s">
        <v>12</v>
      </c>
      <c r="C5" t="s">
        <v>12</v>
      </c>
      <c r="D5" t="s">
        <v>13</v>
      </c>
      <c r="E5" t="s">
        <v>7</v>
      </c>
    </row>
    <row r="6" spans="1:5">
      <c r="B6" t="s">
        <v>14</v>
      </c>
      <c r="C6" t="s">
        <v>14</v>
      </c>
      <c r="D6" t="s">
        <v>15</v>
      </c>
      <c r="E6" t="s">
        <v>7</v>
      </c>
    </row>
    <row r="7" spans="1:5">
      <c r="B7" t="s">
        <v>16</v>
      </c>
      <c r="C7" t="s">
        <v>16</v>
      </c>
      <c r="D7" t="s">
        <v>17</v>
      </c>
      <c r="E7" t="s">
        <v>7</v>
      </c>
    </row>
    <row r="8" spans="1:5">
      <c r="B8" s="4" t="s">
        <v>18</v>
      </c>
      <c r="C8" s="4" t="s">
        <v>18</v>
      </c>
      <c r="D8" s="4" t="s">
        <v>19</v>
      </c>
      <c r="E8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4.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20</v>
      </c>
      <c r="B2" s="3" t="s">
        <v>21</v>
      </c>
    </row>
    <row r="3" spans="1:5">
      <c r="B3" t="s">
        <v>22</v>
      </c>
    </row>
    <row r="4" spans="1:5">
      <c r="B4" s="4" t="s">
        <v>23</v>
      </c>
    </row>
    <row r="5" spans="1:5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</row>
    <row r="6" spans="1:5">
      <c r="B6" t="s">
        <v>29</v>
      </c>
      <c r="C6" t="s">
        <v>30</v>
      </c>
      <c r="D6" t="s">
        <v>31</v>
      </c>
      <c r="E6" t="s">
        <v>28</v>
      </c>
    </row>
    <row r="7" spans="1:5">
      <c r="B7" s="4" t="s">
        <v>32</v>
      </c>
      <c r="C7" s="4" t="s">
        <v>33</v>
      </c>
      <c r="D7" s="4" t="s">
        <v>34</v>
      </c>
      <c r="E7" s="4" t="s">
        <v>28</v>
      </c>
    </row>
    <row r="8" spans="1:5">
      <c r="A8" s="2" t="s">
        <v>35</v>
      </c>
      <c r="B8" s="3" t="s">
        <v>36</v>
      </c>
      <c r="C8" s="3" t="s">
        <v>36</v>
      </c>
      <c r="D8" s="3" t="s">
        <v>37</v>
      </c>
      <c r="E8" s="3" t="s">
        <v>38</v>
      </c>
    </row>
    <row r="9" spans="1:5">
      <c r="B9" t="s">
        <v>39</v>
      </c>
      <c r="C9" t="s">
        <v>39</v>
      </c>
      <c r="D9" t="s">
        <v>40</v>
      </c>
      <c r="E9" t="s">
        <v>38</v>
      </c>
    </row>
    <row r="10" spans="1:5">
      <c r="B10" t="s">
        <v>41</v>
      </c>
      <c r="C10" t="s">
        <v>41</v>
      </c>
      <c r="D10" t="s">
        <v>42</v>
      </c>
      <c r="E10" t="s">
        <v>38</v>
      </c>
    </row>
    <row r="11" spans="1:5">
      <c r="B11" s="4" t="s">
        <v>43</v>
      </c>
      <c r="C11" s="4" t="s">
        <v>43</v>
      </c>
      <c r="D11" s="4" t="s">
        <v>44</v>
      </c>
      <c r="E11" s="4" t="s">
        <v>38</v>
      </c>
    </row>
  </sheetData>
  <sheetProtection password="E321" sheet="1" formatColumn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RowHeight="14.5"/>
  <sheetData>
    <row r="1" spans="1:4">
      <c r="A1">
        <f>COUNTIF(person_db!$B$2:$B$1000,"&gt;""")</f>
        <v>10</v>
      </c>
      <c r="B1">
        <v>0</v>
      </c>
    </row>
    <row r="2" spans="1:4">
      <c r="B2">
        <v>1</v>
      </c>
      <c r="C2" t="b">
        <f>B2&lt;=A1</f>
        <v>1</v>
      </c>
      <c r="D2" t="str">
        <f t="shared" ref="D2:D65" ca="1" si="0">IF(C2,INDIRECT("person_db!B"&amp;(B2+1)),INDIRECT("person!B"&amp;(B2-$A$1+1)))</f>
        <v>AP, FHP</v>
      </c>
    </row>
    <row r="3" spans="1:4">
      <c r="B3">
        <v>2</v>
      </c>
      <c r="C3" t="b">
        <f>B3&lt;=A1</f>
        <v>1</v>
      </c>
      <c r="D3" t="str">
        <f t="shared" ca="1" si="0"/>
        <v>AP, WD</v>
      </c>
    </row>
    <row r="4" spans="1:4">
      <c r="B4">
        <v>3</v>
      </c>
      <c r="C4" t="b">
        <f>B4&lt;=A1</f>
        <v>1</v>
      </c>
      <c r="D4" t="str">
        <f t="shared" ca="1" si="0"/>
        <v>FHP, WD</v>
      </c>
    </row>
    <row r="5" spans="1:4">
      <c r="B5">
        <v>4</v>
      </c>
      <c r="C5" t="b">
        <f>B5&lt;=A1</f>
        <v>1</v>
      </c>
      <c r="D5" t="str">
        <f t="shared" ca="1" si="0"/>
        <v>AP</v>
      </c>
    </row>
    <row r="6" spans="1:4">
      <c r="B6">
        <v>5</v>
      </c>
      <c r="C6" t="b">
        <f>B6&lt;=A1</f>
        <v>1</v>
      </c>
      <c r="D6" t="str">
        <f t="shared" ca="1" si="0"/>
        <v>FHP</v>
      </c>
    </row>
    <row r="7" spans="1:4">
      <c r="B7">
        <v>6</v>
      </c>
      <c r="C7" t="b">
        <f>B7&lt;=A1</f>
        <v>1</v>
      </c>
      <c r="D7" t="str">
        <f t="shared" ca="1" si="0"/>
        <v>WD</v>
      </c>
    </row>
    <row r="8" spans="1:4">
      <c r="B8">
        <v>7</v>
      </c>
      <c r="C8" t="b">
        <f>B8&lt;=A1</f>
        <v>1</v>
      </c>
      <c r="D8" t="str">
        <f t="shared" ca="1" si="0"/>
        <v>breebzap</v>
      </c>
    </row>
    <row r="9" spans="1:4">
      <c r="B9">
        <v>8</v>
      </c>
      <c r="C9" t="b">
        <f>B9&lt;=A1</f>
        <v>1</v>
      </c>
      <c r="D9" t="str">
        <f t="shared" ca="1" si="0"/>
        <v>dentarth</v>
      </c>
    </row>
    <row r="10" spans="1:4">
      <c r="B10">
        <v>9</v>
      </c>
      <c r="C10" t="b">
        <f>B10&lt;=A1</f>
        <v>1</v>
      </c>
      <c r="D10" t="str">
        <f t="shared" ca="1" si="0"/>
        <v>paramarv</v>
      </c>
    </row>
    <row r="11" spans="1:4">
      <c r="B11">
        <v>10</v>
      </c>
      <c r="C11" t="b">
        <f>B11&lt;=A1</f>
        <v>1</v>
      </c>
      <c r="D11" t="str">
        <f t="shared" ca="1" si="0"/>
        <v>prefecfo</v>
      </c>
    </row>
    <row r="12" spans="1:4">
      <c r="B12">
        <v>11</v>
      </c>
      <c r="C12" t="b">
        <f>B12&lt;=A1</f>
        <v>0</v>
      </c>
      <c r="D12" t="str">
        <f t="shared" ca="1" si="0"/>
        <v>bilbo</v>
      </c>
    </row>
    <row r="13" spans="1:4">
      <c r="B13">
        <v>12</v>
      </c>
      <c r="C13" t="b">
        <f>B13&lt;=A1</f>
        <v>0</v>
      </c>
      <c r="D13" t="str">
        <f t="shared" ca="1" si="0"/>
        <v>frodo</v>
      </c>
    </row>
    <row r="14" spans="1:4">
      <c r="B14">
        <v>13</v>
      </c>
      <c r="C14" t="b">
        <f>B14&lt;=A1</f>
        <v>0</v>
      </c>
      <c r="D14" t="str">
        <f t="shared" ca="1" si="0"/>
        <v>gandalf</v>
      </c>
    </row>
    <row r="15" spans="1:4">
      <c r="B15">
        <v>14</v>
      </c>
      <c r="C15" t="b">
        <f>B15&lt;=A1</f>
        <v>0</v>
      </c>
      <c r="D15" t="str">
        <f t="shared" ca="1" si="0"/>
        <v>merry</v>
      </c>
    </row>
    <row r="16" spans="1:4">
      <c r="B16">
        <v>15</v>
      </c>
      <c r="C16" t="b">
        <f>B16&lt;=A1</f>
        <v>0</v>
      </c>
      <c r="D16" t="str">
        <f t="shared" ca="1" si="0"/>
        <v>pippin</v>
      </c>
    </row>
    <row r="17" spans="2:4">
      <c r="B17">
        <v>16</v>
      </c>
      <c r="C17" t="b">
        <f>B17&lt;=A1</f>
        <v>0</v>
      </c>
      <c r="D17" t="str">
        <f t="shared" ca="1" si="0"/>
        <v>sam</v>
      </c>
    </row>
    <row r="18" spans="2:4">
      <c r="B18">
        <v>17</v>
      </c>
      <c r="C18" t="b">
        <f>B18&lt;=A1</f>
        <v>0</v>
      </c>
      <c r="D18" t="str">
        <f t="shared" ca="1" si="0"/>
        <v>saruman</v>
      </c>
    </row>
    <row r="19" spans="2:4">
      <c r="B19">
        <v>18</v>
      </c>
      <c r="C19" t="b">
        <f>B19&lt;=A1</f>
        <v>0</v>
      </c>
      <c r="D19">
        <f t="shared" ca="1" si="0"/>
        <v>0</v>
      </c>
    </row>
    <row r="20" spans="2:4">
      <c r="B20">
        <v>19</v>
      </c>
      <c r="C20" t="b">
        <f>B20&lt;=A1</f>
        <v>0</v>
      </c>
      <c r="D20">
        <f t="shared" ca="1" si="0"/>
        <v>0</v>
      </c>
    </row>
    <row r="21" spans="2:4">
      <c r="B21">
        <v>20</v>
      </c>
      <c r="C21" t="b">
        <f>B21&lt;=A1</f>
        <v>0</v>
      </c>
      <c r="D21">
        <f t="shared" ca="1" si="0"/>
        <v>0</v>
      </c>
    </row>
    <row r="22" spans="2:4">
      <c r="B22">
        <v>21</v>
      </c>
      <c r="C22" t="b">
        <f>B22&lt;=A1</f>
        <v>0</v>
      </c>
      <c r="D22">
        <f t="shared" ca="1" si="0"/>
        <v>0</v>
      </c>
    </row>
    <row r="23" spans="2:4">
      <c r="B23">
        <v>22</v>
      </c>
      <c r="C23" t="b">
        <f>B23&lt;=A1</f>
        <v>0</v>
      </c>
      <c r="D23">
        <f t="shared" ca="1" si="0"/>
        <v>0</v>
      </c>
    </row>
    <row r="24" spans="2:4">
      <c r="B24">
        <v>23</v>
      </c>
      <c r="C24" t="b">
        <f>B24&lt;=A1</f>
        <v>0</v>
      </c>
      <c r="D24">
        <f t="shared" ca="1" si="0"/>
        <v>0</v>
      </c>
    </row>
    <row r="25" spans="2:4">
      <c r="B25">
        <v>24</v>
      </c>
      <c r="C25" t="b">
        <f>B25&lt;=A1</f>
        <v>0</v>
      </c>
      <c r="D25">
        <f t="shared" ca="1" si="0"/>
        <v>0</v>
      </c>
    </row>
    <row r="26" spans="2:4">
      <c r="B26">
        <v>25</v>
      </c>
      <c r="C26" t="b">
        <f>B26&lt;=A1</f>
        <v>0</v>
      </c>
      <c r="D26">
        <f t="shared" ca="1" si="0"/>
        <v>0</v>
      </c>
    </row>
    <row r="27" spans="2:4">
      <c r="B27">
        <v>26</v>
      </c>
      <c r="C27" t="b">
        <f>B27&lt;=A1</f>
        <v>0</v>
      </c>
      <c r="D27">
        <f t="shared" ca="1" si="0"/>
        <v>0</v>
      </c>
    </row>
    <row r="28" spans="2:4">
      <c r="B28">
        <v>27</v>
      </c>
      <c r="C28" t="b">
        <f>B28&lt;=A1</f>
        <v>0</v>
      </c>
      <c r="D28">
        <f t="shared" ca="1" si="0"/>
        <v>0</v>
      </c>
    </row>
    <row r="29" spans="2:4">
      <c r="B29">
        <v>28</v>
      </c>
      <c r="C29" t="b">
        <f>B29&lt;=A1</f>
        <v>0</v>
      </c>
      <c r="D29">
        <f t="shared" ca="1" si="0"/>
        <v>0</v>
      </c>
    </row>
    <row r="30" spans="2:4">
      <c r="B30">
        <v>29</v>
      </c>
      <c r="C30" t="b">
        <f>B30&lt;=A1</f>
        <v>0</v>
      </c>
      <c r="D30">
        <f t="shared" ca="1" si="0"/>
        <v>0</v>
      </c>
    </row>
    <row r="31" spans="2:4">
      <c r="B31">
        <v>30</v>
      </c>
      <c r="C31" t="b">
        <f>B31&lt;=A1</f>
        <v>0</v>
      </c>
      <c r="D31">
        <f t="shared" ca="1" si="0"/>
        <v>0</v>
      </c>
    </row>
    <row r="32" spans="2:4">
      <c r="B32">
        <v>31</v>
      </c>
      <c r="C32" t="b">
        <f>B32&lt;=A1</f>
        <v>0</v>
      </c>
      <c r="D32">
        <f t="shared" ca="1" si="0"/>
        <v>0</v>
      </c>
    </row>
    <row r="33" spans="2:4">
      <c r="B33">
        <v>32</v>
      </c>
      <c r="C33" t="b">
        <f>B33&lt;=A1</f>
        <v>0</v>
      </c>
      <c r="D33">
        <f t="shared" ca="1" si="0"/>
        <v>0</v>
      </c>
    </row>
    <row r="34" spans="2:4">
      <c r="B34">
        <v>33</v>
      </c>
      <c r="C34" t="b">
        <f>B34&lt;=A1</f>
        <v>0</v>
      </c>
      <c r="D34">
        <f t="shared" ca="1" si="0"/>
        <v>0</v>
      </c>
    </row>
    <row r="35" spans="2:4">
      <c r="B35">
        <v>34</v>
      </c>
      <c r="C35" t="b">
        <f>B35&lt;=A1</f>
        <v>0</v>
      </c>
      <c r="D35">
        <f t="shared" ca="1" si="0"/>
        <v>0</v>
      </c>
    </row>
    <row r="36" spans="2:4">
      <c r="B36">
        <v>35</v>
      </c>
      <c r="C36" t="b">
        <f>B36&lt;=A1</f>
        <v>0</v>
      </c>
      <c r="D36">
        <f t="shared" ca="1" si="0"/>
        <v>0</v>
      </c>
    </row>
    <row r="37" spans="2:4">
      <c r="B37">
        <v>36</v>
      </c>
      <c r="C37" t="b">
        <f>B37&lt;=A1</f>
        <v>0</v>
      </c>
      <c r="D37">
        <f t="shared" ca="1" si="0"/>
        <v>0</v>
      </c>
    </row>
    <row r="38" spans="2:4">
      <c r="B38">
        <v>37</v>
      </c>
      <c r="C38" t="b">
        <f>B38&lt;=A1</f>
        <v>0</v>
      </c>
      <c r="D38">
        <f t="shared" ca="1" si="0"/>
        <v>0</v>
      </c>
    </row>
    <row r="39" spans="2:4">
      <c r="B39">
        <v>38</v>
      </c>
      <c r="C39" t="b">
        <f>B39&lt;=A1</f>
        <v>0</v>
      </c>
      <c r="D39">
        <f t="shared" ca="1" si="0"/>
        <v>0</v>
      </c>
    </row>
    <row r="40" spans="2:4">
      <c r="B40">
        <v>39</v>
      </c>
      <c r="C40" t="b">
        <f>B40&lt;=A1</f>
        <v>0</v>
      </c>
      <c r="D40">
        <f t="shared" ca="1" si="0"/>
        <v>0</v>
      </c>
    </row>
    <row r="41" spans="2:4">
      <c r="B41">
        <v>40</v>
      </c>
      <c r="C41" t="b">
        <f>B41&lt;=A1</f>
        <v>0</v>
      </c>
      <c r="D41">
        <f t="shared" ca="1" si="0"/>
        <v>0</v>
      </c>
    </row>
    <row r="42" spans="2:4">
      <c r="B42">
        <v>41</v>
      </c>
      <c r="C42" t="b">
        <f>B42&lt;=A1</f>
        <v>0</v>
      </c>
      <c r="D42">
        <f t="shared" ca="1" si="0"/>
        <v>0</v>
      </c>
    </row>
    <row r="43" spans="2:4">
      <c r="B43">
        <v>42</v>
      </c>
      <c r="C43" t="b">
        <f>B43&lt;=A1</f>
        <v>0</v>
      </c>
      <c r="D43">
        <f t="shared" ca="1" si="0"/>
        <v>0</v>
      </c>
    </row>
    <row r="44" spans="2:4">
      <c r="B44">
        <v>43</v>
      </c>
      <c r="C44" t="b">
        <f>B44&lt;=A1</f>
        <v>0</v>
      </c>
      <c r="D44">
        <f t="shared" ca="1" si="0"/>
        <v>0</v>
      </c>
    </row>
    <row r="45" spans="2:4">
      <c r="B45">
        <v>44</v>
      </c>
      <c r="C45" t="b">
        <f>B45&lt;=A1</f>
        <v>0</v>
      </c>
      <c r="D45">
        <f t="shared" ca="1" si="0"/>
        <v>0</v>
      </c>
    </row>
    <row r="46" spans="2:4">
      <c r="B46">
        <v>45</v>
      </c>
      <c r="C46" t="b">
        <f>B46&lt;=A1</f>
        <v>0</v>
      </c>
      <c r="D46">
        <f t="shared" ca="1" si="0"/>
        <v>0</v>
      </c>
    </row>
    <row r="47" spans="2:4">
      <c r="B47">
        <v>46</v>
      </c>
      <c r="C47" t="b">
        <f>B47&lt;=A1</f>
        <v>0</v>
      </c>
      <c r="D47">
        <f t="shared" ca="1" si="0"/>
        <v>0</v>
      </c>
    </row>
    <row r="48" spans="2:4">
      <c r="B48">
        <v>47</v>
      </c>
      <c r="C48" t="b">
        <f>B48&lt;=A1</f>
        <v>0</v>
      </c>
      <c r="D48">
        <f t="shared" ca="1" si="0"/>
        <v>0</v>
      </c>
    </row>
    <row r="49" spans="2:4">
      <c r="B49">
        <v>48</v>
      </c>
      <c r="C49" t="b">
        <f>B49&lt;=A1</f>
        <v>0</v>
      </c>
      <c r="D49">
        <f t="shared" ca="1" si="0"/>
        <v>0</v>
      </c>
    </row>
    <row r="50" spans="2:4">
      <c r="B50">
        <v>49</v>
      </c>
      <c r="C50" t="b">
        <f>B50&lt;=A1</f>
        <v>0</v>
      </c>
      <c r="D50">
        <f t="shared" ca="1" si="0"/>
        <v>0</v>
      </c>
    </row>
    <row r="51" spans="2:4">
      <c r="B51">
        <v>50</v>
      </c>
      <c r="C51" t="b">
        <f>B51&lt;=A1</f>
        <v>0</v>
      </c>
      <c r="D51">
        <f t="shared" ca="1" si="0"/>
        <v>0</v>
      </c>
    </row>
    <row r="52" spans="2:4">
      <c r="B52">
        <v>51</v>
      </c>
      <c r="C52" t="b">
        <f>B52&lt;=A1</f>
        <v>0</v>
      </c>
      <c r="D52">
        <f t="shared" ca="1" si="0"/>
        <v>0</v>
      </c>
    </row>
    <row r="53" spans="2:4">
      <c r="B53">
        <v>52</v>
      </c>
      <c r="C53" t="b">
        <f>B53&lt;=A1</f>
        <v>0</v>
      </c>
      <c r="D53">
        <f t="shared" ca="1" si="0"/>
        <v>0</v>
      </c>
    </row>
    <row r="54" spans="2:4">
      <c r="B54">
        <v>53</v>
      </c>
      <c r="C54" t="b">
        <f>B54&lt;=A1</f>
        <v>0</v>
      </c>
      <c r="D54">
        <f t="shared" ca="1" si="0"/>
        <v>0</v>
      </c>
    </row>
    <row r="55" spans="2:4">
      <c r="B55">
        <v>54</v>
      </c>
      <c r="C55" t="b">
        <f>B55&lt;=A1</f>
        <v>0</v>
      </c>
      <c r="D55">
        <f t="shared" ca="1" si="0"/>
        <v>0</v>
      </c>
    </row>
    <row r="56" spans="2:4">
      <c r="B56">
        <v>55</v>
      </c>
      <c r="C56" t="b">
        <f>B56&lt;=A1</f>
        <v>0</v>
      </c>
      <c r="D56">
        <f t="shared" ca="1" si="0"/>
        <v>0</v>
      </c>
    </row>
    <row r="57" spans="2:4">
      <c r="B57">
        <v>56</v>
      </c>
      <c r="C57" t="b">
        <f>B57&lt;=A1</f>
        <v>0</v>
      </c>
      <c r="D57">
        <f t="shared" ca="1" si="0"/>
        <v>0</v>
      </c>
    </row>
    <row r="58" spans="2:4">
      <c r="B58">
        <v>57</v>
      </c>
      <c r="C58" t="b">
        <f>B58&lt;=A1</f>
        <v>0</v>
      </c>
      <c r="D58">
        <f t="shared" ca="1" si="0"/>
        <v>0</v>
      </c>
    </row>
    <row r="59" spans="2:4">
      <c r="B59">
        <v>58</v>
      </c>
      <c r="C59" t="b">
        <f>B59&lt;=A1</f>
        <v>0</v>
      </c>
      <c r="D59">
        <f t="shared" ca="1" si="0"/>
        <v>0</v>
      </c>
    </row>
    <row r="60" spans="2:4">
      <c r="B60">
        <v>59</v>
      </c>
      <c r="C60" t="b">
        <f>B60&lt;=A1</f>
        <v>0</v>
      </c>
      <c r="D60">
        <f t="shared" ca="1" si="0"/>
        <v>0</v>
      </c>
    </row>
    <row r="61" spans="2:4">
      <c r="B61">
        <v>60</v>
      </c>
      <c r="C61" t="b">
        <f>B61&lt;=A1</f>
        <v>0</v>
      </c>
      <c r="D61">
        <f t="shared" ca="1" si="0"/>
        <v>0</v>
      </c>
    </row>
    <row r="62" spans="2:4">
      <c r="B62">
        <v>61</v>
      </c>
      <c r="C62" t="b">
        <f>B62&lt;=A1</f>
        <v>0</v>
      </c>
      <c r="D62">
        <f t="shared" ca="1" si="0"/>
        <v>0</v>
      </c>
    </row>
    <row r="63" spans="2:4">
      <c r="B63">
        <v>62</v>
      </c>
      <c r="C63" t="b">
        <f>B63&lt;=A1</f>
        <v>0</v>
      </c>
      <c r="D63">
        <f t="shared" ca="1" si="0"/>
        <v>0</v>
      </c>
    </row>
    <row r="64" spans="2:4">
      <c r="B64">
        <v>63</v>
      </c>
      <c r="C64" t="b">
        <f>B64&lt;=A1</f>
        <v>0</v>
      </c>
      <c r="D64">
        <f t="shared" ca="1" si="0"/>
        <v>0</v>
      </c>
    </row>
    <row r="65" spans="2:4">
      <c r="B65">
        <v>64</v>
      </c>
      <c r="C65" t="b">
        <f>B65&lt;=A1</f>
        <v>0</v>
      </c>
      <c r="D65">
        <f t="shared" ca="1" si="0"/>
        <v>0</v>
      </c>
    </row>
    <row r="66" spans="2:4">
      <c r="B66">
        <v>65</v>
      </c>
      <c r="C66" t="b">
        <f>B66&lt;=A1</f>
        <v>0</v>
      </c>
      <c r="D66">
        <f t="shared" ref="D66:D129" ca="1" si="1">IF(C66,INDIRECT("person_db!B"&amp;(B66+1)),INDIRECT("person!B"&amp;(B66-$A$1+1)))</f>
        <v>0</v>
      </c>
    </row>
    <row r="67" spans="2:4">
      <c r="B67">
        <v>66</v>
      </c>
      <c r="C67" t="b">
        <f>B67&lt;=A1</f>
        <v>0</v>
      </c>
      <c r="D67">
        <f t="shared" ca="1" si="1"/>
        <v>0</v>
      </c>
    </row>
    <row r="68" spans="2:4">
      <c r="B68">
        <v>67</v>
      </c>
      <c r="C68" t="b">
        <f>B68&lt;=A1</f>
        <v>0</v>
      </c>
      <c r="D68">
        <f t="shared" ca="1" si="1"/>
        <v>0</v>
      </c>
    </row>
    <row r="69" spans="2:4">
      <c r="B69">
        <v>68</v>
      </c>
      <c r="C69" t="b">
        <f>B69&lt;=A1</f>
        <v>0</v>
      </c>
      <c r="D69">
        <f t="shared" ca="1" si="1"/>
        <v>0</v>
      </c>
    </row>
    <row r="70" spans="2:4">
      <c r="B70">
        <v>69</v>
      </c>
      <c r="C70" t="b">
        <f>B70&lt;=A1</f>
        <v>0</v>
      </c>
      <c r="D70">
        <f t="shared" ca="1" si="1"/>
        <v>0</v>
      </c>
    </row>
    <row r="71" spans="2:4">
      <c r="B71">
        <v>70</v>
      </c>
      <c r="C71" t="b">
        <f>B71&lt;=A1</f>
        <v>0</v>
      </c>
      <c r="D71">
        <f t="shared" ca="1" si="1"/>
        <v>0</v>
      </c>
    </row>
    <row r="72" spans="2:4">
      <c r="B72">
        <v>71</v>
      </c>
      <c r="C72" t="b">
        <f>B72&lt;=A1</f>
        <v>0</v>
      </c>
      <c r="D72">
        <f t="shared" ca="1" si="1"/>
        <v>0</v>
      </c>
    </row>
    <row r="73" spans="2:4">
      <c r="B73">
        <v>72</v>
      </c>
      <c r="C73" t="b">
        <f>B73&lt;=A1</f>
        <v>0</v>
      </c>
      <c r="D73">
        <f t="shared" ca="1" si="1"/>
        <v>0</v>
      </c>
    </row>
    <row r="74" spans="2:4">
      <c r="B74">
        <v>73</v>
      </c>
      <c r="C74" t="b">
        <f>B74&lt;=A1</f>
        <v>0</v>
      </c>
      <c r="D74">
        <f t="shared" ca="1" si="1"/>
        <v>0</v>
      </c>
    </row>
    <row r="75" spans="2:4">
      <c r="B75">
        <v>74</v>
      </c>
      <c r="C75" t="b">
        <f>B75&lt;=A1</f>
        <v>0</v>
      </c>
      <c r="D75">
        <f t="shared" ca="1" si="1"/>
        <v>0</v>
      </c>
    </row>
    <row r="76" spans="2:4">
      <c r="B76">
        <v>75</v>
      </c>
      <c r="C76" t="b">
        <f>B76&lt;=A1</f>
        <v>0</v>
      </c>
      <c r="D76">
        <f t="shared" ca="1" si="1"/>
        <v>0</v>
      </c>
    </row>
    <row r="77" spans="2:4">
      <c r="B77">
        <v>76</v>
      </c>
      <c r="C77" t="b">
        <f>B77&lt;=A1</f>
        <v>0</v>
      </c>
      <c r="D77">
        <f t="shared" ca="1" si="1"/>
        <v>0</v>
      </c>
    </row>
    <row r="78" spans="2:4">
      <c r="B78">
        <v>77</v>
      </c>
      <c r="C78" t="b">
        <f>B78&lt;=A1</f>
        <v>0</v>
      </c>
      <c r="D78">
        <f t="shared" ca="1" si="1"/>
        <v>0</v>
      </c>
    </row>
    <row r="79" spans="2:4">
      <c r="B79">
        <v>78</v>
      </c>
      <c r="C79" t="b">
        <f>B79&lt;=A1</f>
        <v>0</v>
      </c>
      <c r="D79">
        <f t="shared" ca="1" si="1"/>
        <v>0</v>
      </c>
    </row>
    <row r="80" spans="2:4">
      <c r="B80">
        <v>79</v>
      </c>
      <c r="C80" t="b">
        <f>B80&lt;=A1</f>
        <v>0</v>
      </c>
      <c r="D80">
        <f t="shared" ca="1" si="1"/>
        <v>0</v>
      </c>
    </row>
    <row r="81" spans="2:4">
      <c r="B81">
        <v>80</v>
      </c>
      <c r="C81" t="b">
        <f>B81&lt;=A1</f>
        <v>0</v>
      </c>
      <c r="D81">
        <f t="shared" ca="1" si="1"/>
        <v>0</v>
      </c>
    </row>
    <row r="82" spans="2:4">
      <c r="B82">
        <v>81</v>
      </c>
      <c r="C82" t="b">
        <f>B82&lt;=A1</f>
        <v>0</v>
      </c>
      <c r="D82">
        <f t="shared" ca="1" si="1"/>
        <v>0</v>
      </c>
    </row>
    <row r="83" spans="2:4">
      <c r="B83">
        <v>82</v>
      </c>
      <c r="C83" t="b">
        <f>B83&lt;=A1</f>
        <v>0</v>
      </c>
      <c r="D83">
        <f t="shared" ca="1" si="1"/>
        <v>0</v>
      </c>
    </row>
    <row r="84" spans="2:4">
      <c r="B84">
        <v>83</v>
      </c>
      <c r="C84" t="b">
        <f>B84&lt;=A1</f>
        <v>0</v>
      </c>
      <c r="D84">
        <f t="shared" ca="1" si="1"/>
        <v>0</v>
      </c>
    </row>
    <row r="85" spans="2:4">
      <c r="B85">
        <v>84</v>
      </c>
      <c r="C85" t="b">
        <f>B85&lt;=A1</f>
        <v>0</v>
      </c>
      <c r="D85">
        <f t="shared" ca="1" si="1"/>
        <v>0</v>
      </c>
    </row>
    <row r="86" spans="2:4">
      <c r="B86">
        <v>85</v>
      </c>
      <c r="C86" t="b">
        <f>B86&lt;=A1</f>
        <v>0</v>
      </c>
      <c r="D86">
        <f t="shared" ca="1" si="1"/>
        <v>0</v>
      </c>
    </row>
    <row r="87" spans="2:4">
      <c r="B87">
        <v>86</v>
      </c>
      <c r="C87" t="b">
        <f>B87&lt;=A1</f>
        <v>0</v>
      </c>
      <c r="D87">
        <f t="shared" ca="1" si="1"/>
        <v>0</v>
      </c>
    </row>
    <row r="88" spans="2:4">
      <c r="B88">
        <v>87</v>
      </c>
      <c r="C88" t="b">
        <f>B88&lt;=A1</f>
        <v>0</v>
      </c>
      <c r="D88">
        <f t="shared" ca="1" si="1"/>
        <v>0</v>
      </c>
    </row>
    <row r="89" spans="2:4">
      <c r="B89">
        <v>88</v>
      </c>
      <c r="C89" t="b">
        <f>B89&lt;=A1</f>
        <v>0</v>
      </c>
      <c r="D89">
        <f t="shared" ca="1" si="1"/>
        <v>0</v>
      </c>
    </row>
    <row r="90" spans="2:4">
      <c r="B90">
        <v>89</v>
      </c>
      <c r="C90" t="b">
        <f>B90&lt;=A1</f>
        <v>0</v>
      </c>
      <c r="D90">
        <f t="shared" ca="1" si="1"/>
        <v>0</v>
      </c>
    </row>
    <row r="91" spans="2:4">
      <c r="B91">
        <v>90</v>
      </c>
      <c r="C91" t="b">
        <f>B91&lt;=A1</f>
        <v>0</v>
      </c>
      <c r="D91">
        <f t="shared" ca="1" si="1"/>
        <v>0</v>
      </c>
    </row>
    <row r="92" spans="2:4">
      <c r="B92">
        <v>91</v>
      </c>
      <c r="C92" t="b">
        <f>B92&lt;=A1</f>
        <v>0</v>
      </c>
      <c r="D92">
        <f t="shared" ca="1" si="1"/>
        <v>0</v>
      </c>
    </row>
    <row r="93" spans="2:4">
      <c r="B93">
        <v>92</v>
      </c>
      <c r="C93" t="b">
        <f>B93&lt;=A1</f>
        <v>0</v>
      </c>
      <c r="D93">
        <f t="shared" ca="1" si="1"/>
        <v>0</v>
      </c>
    </row>
    <row r="94" spans="2:4">
      <c r="B94">
        <v>93</v>
      </c>
      <c r="C94" t="b">
        <f>B94&lt;=A1</f>
        <v>0</v>
      </c>
      <c r="D94">
        <f t="shared" ca="1" si="1"/>
        <v>0</v>
      </c>
    </row>
    <row r="95" spans="2:4">
      <c r="B95">
        <v>94</v>
      </c>
      <c r="C95" t="b">
        <f>B95&lt;=A1</f>
        <v>0</v>
      </c>
      <c r="D95">
        <f t="shared" ca="1" si="1"/>
        <v>0</v>
      </c>
    </row>
    <row r="96" spans="2:4">
      <c r="B96">
        <v>95</v>
      </c>
      <c r="C96" t="b">
        <f>B96&lt;=A1</f>
        <v>0</v>
      </c>
      <c r="D96">
        <f t="shared" ca="1" si="1"/>
        <v>0</v>
      </c>
    </row>
    <row r="97" spans="2:4">
      <c r="B97">
        <v>96</v>
      </c>
      <c r="C97" t="b">
        <f>B97&lt;=A1</f>
        <v>0</v>
      </c>
      <c r="D97">
        <f t="shared" ca="1" si="1"/>
        <v>0</v>
      </c>
    </row>
    <row r="98" spans="2:4">
      <c r="B98">
        <v>97</v>
      </c>
      <c r="C98" t="b">
        <f>B98&lt;=A1</f>
        <v>0</v>
      </c>
      <c r="D98">
        <f t="shared" ca="1" si="1"/>
        <v>0</v>
      </c>
    </row>
    <row r="99" spans="2:4">
      <c r="B99">
        <v>98</v>
      </c>
      <c r="C99" t="b">
        <f>B99&lt;=A1</f>
        <v>0</v>
      </c>
      <c r="D99">
        <f t="shared" ca="1" si="1"/>
        <v>0</v>
      </c>
    </row>
    <row r="100" spans="2:4">
      <c r="B100">
        <v>99</v>
      </c>
      <c r="C100" t="b">
        <f>B100&lt;=A1</f>
        <v>0</v>
      </c>
      <c r="D100">
        <f t="shared" ca="1" si="1"/>
        <v>0</v>
      </c>
    </row>
    <row r="101" spans="2:4">
      <c r="B101">
        <v>100</v>
      </c>
      <c r="C101" t="b">
        <f>B101&lt;=A1</f>
        <v>0</v>
      </c>
      <c r="D101">
        <f t="shared" ca="1" si="1"/>
        <v>0</v>
      </c>
    </row>
    <row r="102" spans="2:4">
      <c r="B102">
        <v>101</v>
      </c>
      <c r="C102" t="b">
        <f>B102&lt;=A1</f>
        <v>0</v>
      </c>
      <c r="D102">
        <f t="shared" ca="1" si="1"/>
        <v>0</v>
      </c>
    </row>
    <row r="103" spans="2:4">
      <c r="B103">
        <v>102</v>
      </c>
      <c r="C103" t="b">
        <f>B103&lt;=A1</f>
        <v>0</v>
      </c>
      <c r="D103">
        <f t="shared" ca="1" si="1"/>
        <v>0</v>
      </c>
    </row>
    <row r="104" spans="2:4">
      <c r="B104">
        <v>103</v>
      </c>
      <c r="C104" t="b">
        <f>B104&lt;=A1</f>
        <v>0</v>
      </c>
      <c r="D104">
        <f t="shared" ca="1" si="1"/>
        <v>0</v>
      </c>
    </row>
    <row r="105" spans="2:4">
      <c r="B105">
        <v>104</v>
      </c>
      <c r="C105" t="b">
        <f>B105&lt;=A1</f>
        <v>0</v>
      </c>
      <c r="D105">
        <f t="shared" ca="1" si="1"/>
        <v>0</v>
      </c>
    </row>
    <row r="106" spans="2:4">
      <c r="B106">
        <v>105</v>
      </c>
      <c r="C106" t="b">
        <f>B106&lt;=A1</f>
        <v>0</v>
      </c>
      <c r="D106">
        <f t="shared" ca="1" si="1"/>
        <v>0</v>
      </c>
    </row>
    <row r="107" spans="2:4">
      <c r="B107">
        <v>106</v>
      </c>
      <c r="C107" t="b">
        <f>B107&lt;=A1</f>
        <v>0</v>
      </c>
      <c r="D107">
        <f t="shared" ca="1" si="1"/>
        <v>0</v>
      </c>
    </row>
    <row r="108" spans="2:4">
      <c r="B108">
        <v>107</v>
      </c>
      <c r="C108" t="b">
        <f>B108&lt;=A1</f>
        <v>0</v>
      </c>
      <c r="D108">
        <f t="shared" ca="1" si="1"/>
        <v>0</v>
      </c>
    </row>
    <row r="109" spans="2:4">
      <c r="B109">
        <v>108</v>
      </c>
      <c r="C109" t="b">
        <f>B109&lt;=A1</f>
        <v>0</v>
      </c>
      <c r="D109">
        <f t="shared" ca="1" si="1"/>
        <v>0</v>
      </c>
    </row>
    <row r="110" spans="2:4">
      <c r="B110">
        <v>109</v>
      </c>
      <c r="C110" t="b">
        <f>B110&lt;=A1</f>
        <v>0</v>
      </c>
      <c r="D110">
        <f t="shared" ca="1" si="1"/>
        <v>0</v>
      </c>
    </row>
    <row r="111" spans="2:4">
      <c r="B111">
        <v>110</v>
      </c>
      <c r="C111" t="b">
        <f>B111&lt;=A1</f>
        <v>0</v>
      </c>
      <c r="D111">
        <f t="shared" ca="1" si="1"/>
        <v>0</v>
      </c>
    </row>
    <row r="112" spans="2:4">
      <c r="B112">
        <v>111</v>
      </c>
      <c r="C112" t="b">
        <f>B112&lt;=A1</f>
        <v>0</v>
      </c>
      <c r="D112">
        <f t="shared" ca="1" si="1"/>
        <v>0</v>
      </c>
    </row>
    <row r="113" spans="2:4">
      <c r="B113">
        <v>112</v>
      </c>
      <c r="C113" t="b">
        <f>B113&lt;=A1</f>
        <v>0</v>
      </c>
      <c r="D113">
        <f t="shared" ca="1" si="1"/>
        <v>0</v>
      </c>
    </row>
    <row r="114" spans="2:4">
      <c r="B114">
        <v>113</v>
      </c>
      <c r="C114" t="b">
        <f>B114&lt;=A1</f>
        <v>0</v>
      </c>
      <c r="D114">
        <f t="shared" ca="1" si="1"/>
        <v>0</v>
      </c>
    </row>
    <row r="115" spans="2:4">
      <c r="B115">
        <v>114</v>
      </c>
      <c r="C115" t="b">
        <f>B115&lt;=A1</f>
        <v>0</v>
      </c>
      <c r="D115">
        <f t="shared" ca="1" si="1"/>
        <v>0</v>
      </c>
    </row>
    <row r="116" spans="2:4">
      <c r="B116">
        <v>115</v>
      </c>
      <c r="C116" t="b">
        <f>B116&lt;=A1</f>
        <v>0</v>
      </c>
      <c r="D116">
        <f t="shared" ca="1" si="1"/>
        <v>0</v>
      </c>
    </row>
    <row r="117" spans="2:4">
      <c r="B117">
        <v>116</v>
      </c>
      <c r="C117" t="b">
        <f>B117&lt;=A1</f>
        <v>0</v>
      </c>
      <c r="D117">
        <f t="shared" ca="1" si="1"/>
        <v>0</v>
      </c>
    </row>
    <row r="118" spans="2:4">
      <c r="B118">
        <v>117</v>
      </c>
      <c r="C118" t="b">
        <f>B118&lt;=A1</f>
        <v>0</v>
      </c>
      <c r="D118">
        <f t="shared" ca="1" si="1"/>
        <v>0</v>
      </c>
    </row>
    <row r="119" spans="2:4">
      <c r="B119">
        <v>118</v>
      </c>
      <c r="C119" t="b">
        <f>B119&lt;=A1</f>
        <v>0</v>
      </c>
      <c r="D119">
        <f t="shared" ca="1" si="1"/>
        <v>0</v>
      </c>
    </row>
    <row r="120" spans="2:4">
      <c r="B120">
        <v>119</v>
      </c>
      <c r="C120" t="b">
        <f>B120&lt;=A1</f>
        <v>0</v>
      </c>
      <c r="D120">
        <f t="shared" ca="1" si="1"/>
        <v>0</v>
      </c>
    </row>
    <row r="121" spans="2:4">
      <c r="B121">
        <v>120</v>
      </c>
      <c r="C121" t="b">
        <f>B121&lt;=A1</f>
        <v>0</v>
      </c>
      <c r="D121">
        <f t="shared" ca="1" si="1"/>
        <v>0</v>
      </c>
    </row>
    <row r="122" spans="2:4">
      <c r="B122">
        <v>121</v>
      </c>
      <c r="C122" t="b">
        <f>B122&lt;=A1</f>
        <v>0</v>
      </c>
      <c r="D122">
        <f t="shared" ca="1" si="1"/>
        <v>0</v>
      </c>
    </row>
    <row r="123" spans="2:4">
      <c r="B123">
        <v>122</v>
      </c>
      <c r="C123" t="b">
        <f>B123&lt;=A1</f>
        <v>0</v>
      </c>
      <c r="D123">
        <f t="shared" ca="1" si="1"/>
        <v>0</v>
      </c>
    </row>
    <row r="124" spans="2:4">
      <c r="B124">
        <v>123</v>
      </c>
      <c r="C124" t="b">
        <f>B124&lt;=A1</f>
        <v>0</v>
      </c>
      <c r="D124">
        <f t="shared" ca="1" si="1"/>
        <v>0</v>
      </c>
    </row>
    <row r="125" spans="2:4">
      <c r="B125">
        <v>124</v>
      </c>
      <c r="C125" t="b">
        <f>B125&lt;=A1</f>
        <v>0</v>
      </c>
      <c r="D125">
        <f t="shared" ca="1" si="1"/>
        <v>0</v>
      </c>
    </row>
    <row r="126" spans="2:4">
      <c r="B126">
        <v>125</v>
      </c>
      <c r="C126" t="b">
        <f>B126&lt;=A1</f>
        <v>0</v>
      </c>
      <c r="D126">
        <f t="shared" ca="1" si="1"/>
        <v>0</v>
      </c>
    </row>
    <row r="127" spans="2:4">
      <c r="B127">
        <v>126</v>
      </c>
      <c r="C127" t="b">
        <f>B127&lt;=A1</f>
        <v>0</v>
      </c>
      <c r="D127">
        <f t="shared" ca="1" si="1"/>
        <v>0</v>
      </c>
    </row>
    <row r="128" spans="2:4">
      <c r="B128">
        <v>127</v>
      </c>
      <c r="C128" t="b">
        <f>B128&lt;=A1</f>
        <v>0</v>
      </c>
      <c r="D128">
        <f t="shared" ca="1" si="1"/>
        <v>0</v>
      </c>
    </row>
    <row r="129" spans="2:4">
      <c r="B129">
        <v>128</v>
      </c>
      <c r="C129" t="b">
        <f>B129&lt;=A1</f>
        <v>0</v>
      </c>
      <c r="D129">
        <f t="shared" ca="1" si="1"/>
        <v>0</v>
      </c>
    </row>
    <row r="130" spans="2:4">
      <c r="B130">
        <v>129</v>
      </c>
      <c r="C130" t="b">
        <f>B130&lt;=A1</f>
        <v>0</v>
      </c>
      <c r="D130">
        <f t="shared" ref="D130:D193" ca="1" si="2">IF(C130,INDIRECT("person_db!B"&amp;(B130+1)),INDIRECT("person!B"&amp;(B130-$A$1+1)))</f>
        <v>0</v>
      </c>
    </row>
    <row r="131" spans="2:4">
      <c r="B131">
        <v>130</v>
      </c>
      <c r="C131" t="b">
        <f>B131&lt;=A1</f>
        <v>0</v>
      </c>
      <c r="D131">
        <f t="shared" ca="1" si="2"/>
        <v>0</v>
      </c>
    </row>
    <row r="132" spans="2:4">
      <c r="B132">
        <v>131</v>
      </c>
      <c r="C132" t="b">
        <f>B132&lt;=A1</f>
        <v>0</v>
      </c>
      <c r="D132">
        <f t="shared" ca="1" si="2"/>
        <v>0</v>
      </c>
    </row>
    <row r="133" spans="2:4">
      <c r="B133">
        <v>132</v>
      </c>
      <c r="C133" t="b">
        <f>B133&lt;=A1</f>
        <v>0</v>
      </c>
      <c r="D133">
        <f t="shared" ca="1" si="2"/>
        <v>0</v>
      </c>
    </row>
    <row r="134" spans="2:4">
      <c r="B134">
        <v>133</v>
      </c>
      <c r="C134" t="b">
        <f>B134&lt;=A1</f>
        <v>0</v>
      </c>
      <c r="D134">
        <f t="shared" ca="1" si="2"/>
        <v>0</v>
      </c>
    </row>
    <row r="135" spans="2:4">
      <c r="B135">
        <v>134</v>
      </c>
      <c r="C135" t="b">
        <f>B135&lt;=A1</f>
        <v>0</v>
      </c>
      <c r="D135">
        <f t="shared" ca="1" si="2"/>
        <v>0</v>
      </c>
    </row>
    <row r="136" spans="2:4">
      <c r="B136">
        <v>135</v>
      </c>
      <c r="C136" t="b">
        <f>B136&lt;=A1</f>
        <v>0</v>
      </c>
      <c r="D136">
        <f t="shared" ca="1" si="2"/>
        <v>0</v>
      </c>
    </row>
    <row r="137" spans="2:4">
      <c r="B137">
        <v>136</v>
      </c>
      <c r="C137" t="b">
        <f>B137&lt;=A1</f>
        <v>0</v>
      </c>
      <c r="D137">
        <f t="shared" ca="1" si="2"/>
        <v>0</v>
      </c>
    </row>
    <row r="138" spans="2:4">
      <c r="B138">
        <v>137</v>
      </c>
      <c r="C138" t="b">
        <f>B138&lt;=A1</f>
        <v>0</v>
      </c>
      <c r="D138">
        <f t="shared" ca="1" si="2"/>
        <v>0</v>
      </c>
    </row>
    <row r="139" spans="2:4">
      <c r="B139">
        <v>138</v>
      </c>
      <c r="C139" t="b">
        <f>B139&lt;=A1</f>
        <v>0</v>
      </c>
      <c r="D139">
        <f t="shared" ca="1" si="2"/>
        <v>0</v>
      </c>
    </row>
    <row r="140" spans="2:4">
      <c r="B140">
        <v>139</v>
      </c>
      <c r="C140" t="b">
        <f>B140&lt;=A1</f>
        <v>0</v>
      </c>
      <c r="D140">
        <f t="shared" ca="1" si="2"/>
        <v>0</v>
      </c>
    </row>
    <row r="141" spans="2:4">
      <c r="B141">
        <v>140</v>
      </c>
      <c r="C141" t="b">
        <f>B141&lt;=A1</f>
        <v>0</v>
      </c>
      <c r="D141">
        <f t="shared" ca="1" si="2"/>
        <v>0</v>
      </c>
    </row>
    <row r="142" spans="2:4">
      <c r="B142">
        <v>141</v>
      </c>
      <c r="C142" t="b">
        <f>B142&lt;=A1</f>
        <v>0</v>
      </c>
      <c r="D142">
        <f t="shared" ca="1" si="2"/>
        <v>0</v>
      </c>
    </row>
    <row r="143" spans="2:4">
      <c r="B143">
        <v>142</v>
      </c>
      <c r="C143" t="b">
        <f>B143&lt;=A1</f>
        <v>0</v>
      </c>
      <c r="D143">
        <f t="shared" ca="1" si="2"/>
        <v>0</v>
      </c>
    </row>
    <row r="144" spans="2:4">
      <c r="B144">
        <v>143</v>
      </c>
      <c r="C144" t="b">
        <f>B144&lt;=A1</f>
        <v>0</v>
      </c>
      <c r="D144">
        <f t="shared" ca="1" si="2"/>
        <v>0</v>
      </c>
    </row>
    <row r="145" spans="2:4">
      <c r="B145">
        <v>144</v>
      </c>
      <c r="C145" t="b">
        <f>B145&lt;=A1</f>
        <v>0</v>
      </c>
      <c r="D145">
        <f t="shared" ca="1" si="2"/>
        <v>0</v>
      </c>
    </row>
    <row r="146" spans="2:4">
      <c r="B146">
        <v>145</v>
      </c>
      <c r="C146" t="b">
        <f>B146&lt;=A1</f>
        <v>0</v>
      </c>
      <c r="D146">
        <f t="shared" ca="1" si="2"/>
        <v>0</v>
      </c>
    </row>
    <row r="147" spans="2:4">
      <c r="B147">
        <v>146</v>
      </c>
      <c r="C147" t="b">
        <f>B147&lt;=A1</f>
        <v>0</v>
      </c>
      <c r="D147">
        <f t="shared" ca="1" si="2"/>
        <v>0</v>
      </c>
    </row>
    <row r="148" spans="2:4">
      <c r="B148">
        <v>147</v>
      </c>
      <c r="C148" t="b">
        <f>B148&lt;=A1</f>
        <v>0</v>
      </c>
      <c r="D148">
        <f t="shared" ca="1" si="2"/>
        <v>0</v>
      </c>
    </row>
    <row r="149" spans="2:4">
      <c r="B149">
        <v>148</v>
      </c>
      <c r="C149" t="b">
        <f>B149&lt;=A1</f>
        <v>0</v>
      </c>
      <c r="D149">
        <f t="shared" ca="1" si="2"/>
        <v>0</v>
      </c>
    </row>
    <row r="150" spans="2:4">
      <c r="B150">
        <v>149</v>
      </c>
      <c r="C150" t="b">
        <f>B150&lt;=A1</f>
        <v>0</v>
      </c>
      <c r="D150">
        <f t="shared" ca="1" si="2"/>
        <v>0</v>
      </c>
    </row>
    <row r="151" spans="2:4">
      <c r="B151">
        <v>150</v>
      </c>
      <c r="C151" t="b">
        <f>B151&lt;=A1</f>
        <v>0</v>
      </c>
      <c r="D151">
        <f t="shared" ca="1" si="2"/>
        <v>0</v>
      </c>
    </row>
    <row r="152" spans="2:4">
      <c r="B152">
        <v>151</v>
      </c>
      <c r="C152" t="b">
        <f>B152&lt;=A1</f>
        <v>0</v>
      </c>
      <c r="D152">
        <f t="shared" ca="1" si="2"/>
        <v>0</v>
      </c>
    </row>
    <row r="153" spans="2:4">
      <c r="B153">
        <v>152</v>
      </c>
      <c r="C153" t="b">
        <f>B153&lt;=A1</f>
        <v>0</v>
      </c>
      <c r="D153">
        <f t="shared" ca="1" si="2"/>
        <v>0</v>
      </c>
    </row>
    <row r="154" spans="2:4">
      <c r="B154">
        <v>153</v>
      </c>
      <c r="C154" t="b">
        <f>B154&lt;=A1</f>
        <v>0</v>
      </c>
      <c r="D154">
        <f t="shared" ca="1" si="2"/>
        <v>0</v>
      </c>
    </row>
    <row r="155" spans="2:4">
      <c r="B155">
        <v>154</v>
      </c>
      <c r="C155" t="b">
        <f>B155&lt;=A1</f>
        <v>0</v>
      </c>
      <c r="D155">
        <f t="shared" ca="1" si="2"/>
        <v>0</v>
      </c>
    </row>
    <row r="156" spans="2:4">
      <c r="B156">
        <v>155</v>
      </c>
      <c r="C156" t="b">
        <f>B156&lt;=A1</f>
        <v>0</v>
      </c>
      <c r="D156">
        <f t="shared" ca="1" si="2"/>
        <v>0</v>
      </c>
    </row>
    <row r="157" spans="2:4">
      <c r="B157">
        <v>156</v>
      </c>
      <c r="C157" t="b">
        <f>B157&lt;=A1</f>
        <v>0</v>
      </c>
      <c r="D157">
        <f t="shared" ca="1" si="2"/>
        <v>0</v>
      </c>
    </row>
    <row r="158" spans="2:4">
      <c r="B158">
        <v>157</v>
      </c>
      <c r="C158" t="b">
        <f>B158&lt;=A1</f>
        <v>0</v>
      </c>
      <c r="D158">
        <f t="shared" ca="1" si="2"/>
        <v>0</v>
      </c>
    </row>
    <row r="159" spans="2:4">
      <c r="B159">
        <v>158</v>
      </c>
      <c r="C159" t="b">
        <f>B159&lt;=A1</f>
        <v>0</v>
      </c>
      <c r="D159">
        <f t="shared" ca="1" si="2"/>
        <v>0</v>
      </c>
    </row>
    <row r="160" spans="2:4">
      <c r="B160">
        <v>159</v>
      </c>
      <c r="C160" t="b">
        <f>B160&lt;=A1</f>
        <v>0</v>
      </c>
      <c r="D160">
        <f t="shared" ca="1" si="2"/>
        <v>0</v>
      </c>
    </row>
    <row r="161" spans="2:4">
      <c r="B161">
        <v>160</v>
      </c>
      <c r="C161" t="b">
        <f>B161&lt;=A1</f>
        <v>0</v>
      </c>
      <c r="D161">
        <f t="shared" ca="1" si="2"/>
        <v>0</v>
      </c>
    </row>
    <row r="162" spans="2:4">
      <c r="B162">
        <v>161</v>
      </c>
      <c r="C162" t="b">
        <f>B162&lt;=A1</f>
        <v>0</v>
      </c>
      <c r="D162">
        <f t="shared" ca="1" si="2"/>
        <v>0</v>
      </c>
    </row>
    <row r="163" spans="2:4">
      <c r="B163">
        <v>162</v>
      </c>
      <c r="C163" t="b">
        <f>B163&lt;=A1</f>
        <v>0</v>
      </c>
      <c r="D163">
        <f t="shared" ca="1" si="2"/>
        <v>0</v>
      </c>
    </row>
    <row r="164" spans="2:4">
      <c r="B164">
        <v>163</v>
      </c>
      <c r="C164" t="b">
        <f>B164&lt;=A1</f>
        <v>0</v>
      </c>
      <c r="D164">
        <f t="shared" ca="1" si="2"/>
        <v>0</v>
      </c>
    </row>
    <row r="165" spans="2:4">
      <c r="B165">
        <v>164</v>
      </c>
      <c r="C165" t="b">
        <f>B165&lt;=A1</f>
        <v>0</v>
      </c>
      <c r="D165">
        <f t="shared" ca="1" si="2"/>
        <v>0</v>
      </c>
    </row>
    <row r="166" spans="2:4">
      <c r="B166">
        <v>165</v>
      </c>
      <c r="C166" t="b">
        <f>B166&lt;=A1</f>
        <v>0</v>
      </c>
      <c r="D166">
        <f t="shared" ca="1" si="2"/>
        <v>0</v>
      </c>
    </row>
    <row r="167" spans="2:4">
      <c r="B167">
        <v>166</v>
      </c>
      <c r="C167" t="b">
        <f>B167&lt;=A1</f>
        <v>0</v>
      </c>
      <c r="D167">
        <f t="shared" ca="1" si="2"/>
        <v>0</v>
      </c>
    </row>
    <row r="168" spans="2:4">
      <c r="B168">
        <v>167</v>
      </c>
      <c r="C168" t="b">
        <f>B168&lt;=A1</f>
        <v>0</v>
      </c>
      <c r="D168">
        <f t="shared" ca="1" si="2"/>
        <v>0</v>
      </c>
    </row>
    <row r="169" spans="2:4">
      <c r="B169">
        <v>168</v>
      </c>
      <c r="C169" t="b">
        <f>B169&lt;=A1</f>
        <v>0</v>
      </c>
      <c r="D169">
        <f t="shared" ca="1" si="2"/>
        <v>0</v>
      </c>
    </row>
    <row r="170" spans="2:4">
      <c r="B170">
        <v>169</v>
      </c>
      <c r="C170" t="b">
        <f>B170&lt;=A1</f>
        <v>0</v>
      </c>
      <c r="D170">
        <f t="shared" ca="1" si="2"/>
        <v>0</v>
      </c>
    </row>
    <row r="171" spans="2:4">
      <c r="B171">
        <v>170</v>
      </c>
      <c r="C171" t="b">
        <f>B171&lt;=A1</f>
        <v>0</v>
      </c>
      <c r="D171">
        <f t="shared" ca="1" si="2"/>
        <v>0</v>
      </c>
    </row>
    <row r="172" spans="2:4">
      <c r="B172">
        <v>171</v>
      </c>
      <c r="C172" t="b">
        <f>B172&lt;=A1</f>
        <v>0</v>
      </c>
      <c r="D172">
        <f t="shared" ca="1" si="2"/>
        <v>0</v>
      </c>
    </row>
    <row r="173" spans="2:4">
      <c r="B173">
        <v>172</v>
      </c>
      <c r="C173" t="b">
        <f>B173&lt;=A1</f>
        <v>0</v>
      </c>
      <c r="D173">
        <f t="shared" ca="1" si="2"/>
        <v>0</v>
      </c>
    </row>
    <row r="174" spans="2:4">
      <c r="B174">
        <v>173</v>
      </c>
      <c r="C174" t="b">
        <f>B174&lt;=A1</f>
        <v>0</v>
      </c>
      <c r="D174">
        <f t="shared" ca="1" si="2"/>
        <v>0</v>
      </c>
    </row>
    <row r="175" spans="2:4">
      <c r="B175">
        <v>174</v>
      </c>
      <c r="C175" t="b">
        <f>B175&lt;=A1</f>
        <v>0</v>
      </c>
      <c r="D175">
        <f t="shared" ca="1" si="2"/>
        <v>0</v>
      </c>
    </row>
    <row r="176" spans="2:4">
      <c r="B176">
        <v>175</v>
      </c>
      <c r="C176" t="b">
        <f>B176&lt;=A1</f>
        <v>0</v>
      </c>
      <c r="D176">
        <f t="shared" ca="1" si="2"/>
        <v>0</v>
      </c>
    </row>
    <row r="177" spans="2:4">
      <c r="B177">
        <v>176</v>
      </c>
      <c r="C177" t="b">
        <f>B177&lt;=A1</f>
        <v>0</v>
      </c>
      <c r="D177">
        <f t="shared" ca="1" si="2"/>
        <v>0</v>
      </c>
    </row>
    <row r="178" spans="2:4">
      <c r="B178">
        <v>177</v>
      </c>
      <c r="C178" t="b">
        <f>B178&lt;=A1</f>
        <v>0</v>
      </c>
      <c r="D178">
        <f t="shared" ca="1" si="2"/>
        <v>0</v>
      </c>
    </row>
    <row r="179" spans="2:4">
      <c r="B179">
        <v>178</v>
      </c>
      <c r="C179" t="b">
        <f>B179&lt;=A1</f>
        <v>0</v>
      </c>
      <c r="D179">
        <f t="shared" ca="1" si="2"/>
        <v>0</v>
      </c>
    </row>
    <row r="180" spans="2:4">
      <c r="B180">
        <v>179</v>
      </c>
      <c r="C180" t="b">
        <f>B180&lt;=A1</f>
        <v>0</v>
      </c>
      <c r="D180">
        <f t="shared" ca="1" si="2"/>
        <v>0</v>
      </c>
    </row>
    <row r="181" spans="2:4">
      <c r="B181">
        <v>180</v>
      </c>
      <c r="C181" t="b">
        <f>B181&lt;=A1</f>
        <v>0</v>
      </c>
      <c r="D181">
        <f t="shared" ca="1" si="2"/>
        <v>0</v>
      </c>
    </row>
    <row r="182" spans="2:4">
      <c r="B182">
        <v>181</v>
      </c>
      <c r="C182" t="b">
        <f>B182&lt;=A1</f>
        <v>0</v>
      </c>
      <c r="D182">
        <f t="shared" ca="1" si="2"/>
        <v>0</v>
      </c>
    </row>
    <row r="183" spans="2:4">
      <c r="B183">
        <v>182</v>
      </c>
      <c r="C183" t="b">
        <f>B183&lt;=A1</f>
        <v>0</v>
      </c>
      <c r="D183">
        <f t="shared" ca="1" si="2"/>
        <v>0</v>
      </c>
    </row>
    <row r="184" spans="2:4">
      <c r="B184">
        <v>183</v>
      </c>
      <c r="C184" t="b">
        <f>B184&lt;=A1</f>
        <v>0</v>
      </c>
      <c r="D184">
        <f t="shared" ca="1" si="2"/>
        <v>0</v>
      </c>
    </row>
    <row r="185" spans="2:4">
      <c r="B185">
        <v>184</v>
      </c>
      <c r="C185" t="b">
        <f>B185&lt;=A1</f>
        <v>0</v>
      </c>
      <c r="D185">
        <f t="shared" ca="1" si="2"/>
        <v>0</v>
      </c>
    </row>
    <row r="186" spans="2:4">
      <c r="B186">
        <v>185</v>
      </c>
      <c r="C186" t="b">
        <f>B186&lt;=A1</f>
        <v>0</v>
      </c>
      <c r="D186">
        <f t="shared" ca="1" si="2"/>
        <v>0</v>
      </c>
    </row>
    <row r="187" spans="2:4">
      <c r="B187">
        <v>186</v>
      </c>
      <c r="C187" t="b">
        <f>B187&lt;=A1</f>
        <v>0</v>
      </c>
      <c r="D187">
        <f t="shared" ca="1" si="2"/>
        <v>0</v>
      </c>
    </row>
    <row r="188" spans="2:4">
      <c r="B188">
        <v>187</v>
      </c>
      <c r="C188" t="b">
        <f>B188&lt;=A1</f>
        <v>0</v>
      </c>
      <c r="D188">
        <f t="shared" ca="1" si="2"/>
        <v>0</v>
      </c>
    </row>
    <row r="189" spans="2:4">
      <c r="B189">
        <v>188</v>
      </c>
      <c r="C189" t="b">
        <f>B189&lt;=A1</f>
        <v>0</v>
      </c>
      <c r="D189">
        <f t="shared" ca="1" si="2"/>
        <v>0</v>
      </c>
    </row>
    <row r="190" spans="2:4">
      <c r="B190">
        <v>189</v>
      </c>
      <c r="C190" t="b">
        <f>B190&lt;=A1</f>
        <v>0</v>
      </c>
      <c r="D190">
        <f t="shared" ca="1" si="2"/>
        <v>0</v>
      </c>
    </row>
    <row r="191" spans="2:4">
      <c r="B191">
        <v>190</v>
      </c>
      <c r="C191" t="b">
        <f>B191&lt;=A1</f>
        <v>0</v>
      </c>
      <c r="D191">
        <f t="shared" ca="1" si="2"/>
        <v>0</v>
      </c>
    </row>
    <row r="192" spans="2:4">
      <c r="B192">
        <v>191</v>
      </c>
      <c r="C192" t="b">
        <f>B192&lt;=A1</f>
        <v>0</v>
      </c>
      <c r="D192">
        <f t="shared" ca="1" si="2"/>
        <v>0</v>
      </c>
    </row>
    <row r="193" spans="2:4">
      <c r="B193">
        <v>192</v>
      </c>
      <c r="C193" t="b">
        <f>B193&lt;=A1</f>
        <v>0</v>
      </c>
      <c r="D193">
        <f t="shared" ca="1" si="2"/>
        <v>0</v>
      </c>
    </row>
    <row r="194" spans="2:4">
      <c r="B194">
        <v>193</v>
      </c>
      <c r="C194" t="b">
        <f>B194&lt;=A1</f>
        <v>0</v>
      </c>
      <c r="D194">
        <f t="shared" ref="D194:D257" ca="1" si="3">IF(C194,INDIRECT("person_db!B"&amp;(B194+1)),INDIRECT("person!B"&amp;(B194-$A$1+1)))</f>
        <v>0</v>
      </c>
    </row>
    <row r="195" spans="2:4">
      <c r="B195">
        <v>194</v>
      </c>
      <c r="C195" t="b">
        <f>B195&lt;=A1</f>
        <v>0</v>
      </c>
      <c r="D195">
        <f t="shared" ca="1" si="3"/>
        <v>0</v>
      </c>
    </row>
    <row r="196" spans="2:4">
      <c r="B196">
        <v>195</v>
      </c>
      <c r="C196" t="b">
        <f>B196&lt;=A1</f>
        <v>0</v>
      </c>
      <c r="D196">
        <f t="shared" ca="1" si="3"/>
        <v>0</v>
      </c>
    </row>
    <row r="197" spans="2:4">
      <c r="B197">
        <v>196</v>
      </c>
      <c r="C197" t="b">
        <f>B197&lt;=A1</f>
        <v>0</v>
      </c>
      <c r="D197">
        <f t="shared" ca="1" si="3"/>
        <v>0</v>
      </c>
    </row>
    <row r="198" spans="2:4">
      <c r="B198">
        <v>197</v>
      </c>
      <c r="C198" t="b">
        <f>B198&lt;=A1</f>
        <v>0</v>
      </c>
      <c r="D198">
        <f t="shared" ca="1" si="3"/>
        <v>0</v>
      </c>
    </row>
    <row r="199" spans="2:4">
      <c r="B199">
        <v>198</v>
      </c>
      <c r="C199" t="b">
        <f>B199&lt;=A1</f>
        <v>0</v>
      </c>
      <c r="D199">
        <f t="shared" ca="1" si="3"/>
        <v>0</v>
      </c>
    </row>
    <row r="200" spans="2:4">
      <c r="B200">
        <v>199</v>
      </c>
      <c r="C200" t="b">
        <f>B200&lt;=A1</f>
        <v>0</v>
      </c>
      <c r="D200">
        <f t="shared" ca="1" si="3"/>
        <v>0</v>
      </c>
    </row>
    <row r="201" spans="2:4">
      <c r="B201">
        <v>200</v>
      </c>
      <c r="C201" t="b">
        <f>B201&lt;=A1</f>
        <v>0</v>
      </c>
      <c r="D201">
        <f t="shared" ca="1" si="3"/>
        <v>0</v>
      </c>
    </row>
    <row r="202" spans="2:4">
      <c r="B202">
        <v>201</v>
      </c>
      <c r="C202" t="b">
        <f>B202&lt;=A1</f>
        <v>0</v>
      </c>
      <c r="D202">
        <f t="shared" ca="1" si="3"/>
        <v>0</v>
      </c>
    </row>
    <row r="203" spans="2:4">
      <c r="B203">
        <v>202</v>
      </c>
      <c r="C203" t="b">
        <f>B203&lt;=A1</f>
        <v>0</v>
      </c>
      <c r="D203">
        <f t="shared" ca="1" si="3"/>
        <v>0</v>
      </c>
    </row>
    <row r="204" spans="2:4">
      <c r="B204">
        <v>203</v>
      </c>
      <c r="C204" t="b">
        <f>B204&lt;=A1</f>
        <v>0</v>
      </c>
      <c r="D204">
        <f t="shared" ca="1" si="3"/>
        <v>0</v>
      </c>
    </row>
    <row r="205" spans="2:4">
      <c r="B205">
        <v>204</v>
      </c>
      <c r="C205" t="b">
        <f>B205&lt;=A1</f>
        <v>0</v>
      </c>
      <c r="D205">
        <f t="shared" ca="1" si="3"/>
        <v>0</v>
      </c>
    </row>
    <row r="206" spans="2:4">
      <c r="B206">
        <v>205</v>
      </c>
      <c r="C206" t="b">
        <f>B206&lt;=A1</f>
        <v>0</v>
      </c>
      <c r="D206">
        <f t="shared" ca="1" si="3"/>
        <v>0</v>
      </c>
    </row>
    <row r="207" spans="2:4">
      <c r="B207">
        <v>206</v>
      </c>
      <c r="C207" t="b">
        <f>B207&lt;=A1</f>
        <v>0</v>
      </c>
      <c r="D207">
        <f t="shared" ca="1" si="3"/>
        <v>0</v>
      </c>
    </row>
    <row r="208" spans="2:4">
      <c r="B208">
        <v>207</v>
      </c>
      <c r="C208" t="b">
        <f>B208&lt;=A1</f>
        <v>0</v>
      </c>
      <c r="D208">
        <f t="shared" ca="1" si="3"/>
        <v>0</v>
      </c>
    </row>
    <row r="209" spans="2:4">
      <c r="B209">
        <v>208</v>
      </c>
      <c r="C209" t="b">
        <f>B209&lt;=A1</f>
        <v>0</v>
      </c>
      <c r="D209">
        <f t="shared" ca="1" si="3"/>
        <v>0</v>
      </c>
    </row>
    <row r="210" spans="2:4">
      <c r="B210">
        <v>209</v>
      </c>
      <c r="C210" t="b">
        <f>B210&lt;=A1</f>
        <v>0</v>
      </c>
      <c r="D210">
        <f t="shared" ca="1" si="3"/>
        <v>0</v>
      </c>
    </row>
    <row r="211" spans="2:4">
      <c r="B211">
        <v>210</v>
      </c>
      <c r="C211" t="b">
        <f>B211&lt;=A1</f>
        <v>0</v>
      </c>
      <c r="D211">
        <f t="shared" ca="1" si="3"/>
        <v>0</v>
      </c>
    </row>
    <row r="212" spans="2:4">
      <c r="B212">
        <v>211</v>
      </c>
      <c r="C212" t="b">
        <f>B212&lt;=A1</f>
        <v>0</v>
      </c>
      <c r="D212">
        <f t="shared" ca="1" si="3"/>
        <v>0</v>
      </c>
    </row>
    <row r="213" spans="2:4">
      <c r="B213">
        <v>212</v>
      </c>
      <c r="C213" t="b">
        <f>B213&lt;=A1</f>
        <v>0</v>
      </c>
      <c r="D213">
        <f t="shared" ca="1" si="3"/>
        <v>0</v>
      </c>
    </row>
    <row r="214" spans="2:4">
      <c r="B214">
        <v>213</v>
      </c>
      <c r="C214" t="b">
        <f>B214&lt;=A1</f>
        <v>0</v>
      </c>
      <c r="D214">
        <f t="shared" ca="1" si="3"/>
        <v>0</v>
      </c>
    </row>
    <row r="215" spans="2:4">
      <c r="B215">
        <v>214</v>
      </c>
      <c r="C215" t="b">
        <f>B215&lt;=A1</f>
        <v>0</v>
      </c>
      <c r="D215">
        <f t="shared" ca="1" si="3"/>
        <v>0</v>
      </c>
    </row>
    <row r="216" spans="2:4">
      <c r="B216">
        <v>215</v>
      </c>
      <c r="C216" t="b">
        <f>B216&lt;=A1</f>
        <v>0</v>
      </c>
      <c r="D216">
        <f t="shared" ca="1" si="3"/>
        <v>0</v>
      </c>
    </row>
    <row r="217" spans="2:4">
      <c r="B217">
        <v>216</v>
      </c>
      <c r="C217" t="b">
        <f>B217&lt;=A1</f>
        <v>0</v>
      </c>
      <c r="D217">
        <f t="shared" ca="1" si="3"/>
        <v>0</v>
      </c>
    </row>
    <row r="218" spans="2:4">
      <c r="B218">
        <v>217</v>
      </c>
      <c r="C218" t="b">
        <f>B218&lt;=A1</f>
        <v>0</v>
      </c>
      <c r="D218">
        <f t="shared" ca="1" si="3"/>
        <v>0</v>
      </c>
    </row>
    <row r="219" spans="2:4">
      <c r="B219">
        <v>218</v>
      </c>
      <c r="C219" t="b">
        <f>B219&lt;=A1</f>
        <v>0</v>
      </c>
      <c r="D219">
        <f t="shared" ca="1" si="3"/>
        <v>0</v>
      </c>
    </row>
    <row r="220" spans="2:4">
      <c r="B220">
        <v>219</v>
      </c>
      <c r="C220" t="b">
        <f>B220&lt;=A1</f>
        <v>0</v>
      </c>
      <c r="D220">
        <f t="shared" ca="1" si="3"/>
        <v>0</v>
      </c>
    </row>
    <row r="221" spans="2:4">
      <c r="B221">
        <v>220</v>
      </c>
      <c r="C221" t="b">
        <f>B221&lt;=A1</f>
        <v>0</v>
      </c>
      <c r="D221">
        <f t="shared" ca="1" si="3"/>
        <v>0</v>
      </c>
    </row>
    <row r="222" spans="2:4">
      <c r="B222">
        <v>221</v>
      </c>
      <c r="C222" t="b">
        <f>B222&lt;=A1</f>
        <v>0</v>
      </c>
      <c r="D222">
        <f t="shared" ca="1" si="3"/>
        <v>0</v>
      </c>
    </row>
    <row r="223" spans="2:4">
      <c r="B223">
        <v>222</v>
      </c>
      <c r="C223" t="b">
        <f>B223&lt;=A1</f>
        <v>0</v>
      </c>
      <c r="D223">
        <f t="shared" ca="1" si="3"/>
        <v>0</v>
      </c>
    </row>
    <row r="224" spans="2:4">
      <c r="B224">
        <v>223</v>
      </c>
      <c r="C224" t="b">
        <f>B224&lt;=A1</f>
        <v>0</v>
      </c>
      <c r="D224">
        <f t="shared" ca="1" si="3"/>
        <v>0</v>
      </c>
    </row>
    <row r="225" spans="2:4">
      <c r="B225">
        <v>224</v>
      </c>
      <c r="C225" t="b">
        <f>B225&lt;=A1</f>
        <v>0</v>
      </c>
      <c r="D225">
        <f t="shared" ca="1" si="3"/>
        <v>0</v>
      </c>
    </row>
    <row r="226" spans="2:4">
      <c r="B226">
        <v>225</v>
      </c>
      <c r="C226" t="b">
        <f>B226&lt;=A1</f>
        <v>0</v>
      </c>
      <c r="D226">
        <f t="shared" ca="1" si="3"/>
        <v>0</v>
      </c>
    </row>
    <row r="227" spans="2:4">
      <c r="B227">
        <v>226</v>
      </c>
      <c r="C227" t="b">
        <f>B227&lt;=A1</f>
        <v>0</v>
      </c>
      <c r="D227">
        <f t="shared" ca="1" si="3"/>
        <v>0</v>
      </c>
    </row>
    <row r="228" spans="2:4">
      <c r="B228">
        <v>227</v>
      </c>
      <c r="C228" t="b">
        <f>B228&lt;=A1</f>
        <v>0</v>
      </c>
      <c r="D228">
        <f t="shared" ca="1" si="3"/>
        <v>0</v>
      </c>
    </row>
    <row r="229" spans="2:4">
      <c r="B229">
        <v>228</v>
      </c>
      <c r="C229" t="b">
        <f>B229&lt;=A1</f>
        <v>0</v>
      </c>
      <c r="D229">
        <f t="shared" ca="1" si="3"/>
        <v>0</v>
      </c>
    </row>
    <row r="230" spans="2:4">
      <c r="B230">
        <v>229</v>
      </c>
      <c r="C230" t="b">
        <f>B230&lt;=A1</f>
        <v>0</v>
      </c>
      <c r="D230">
        <f t="shared" ca="1" si="3"/>
        <v>0</v>
      </c>
    </row>
    <row r="231" spans="2:4">
      <c r="B231">
        <v>230</v>
      </c>
      <c r="C231" t="b">
        <f>B231&lt;=A1</f>
        <v>0</v>
      </c>
      <c r="D231">
        <f t="shared" ca="1" si="3"/>
        <v>0</v>
      </c>
    </row>
    <row r="232" spans="2:4">
      <c r="B232">
        <v>231</v>
      </c>
      <c r="C232" t="b">
        <f>B232&lt;=A1</f>
        <v>0</v>
      </c>
      <c r="D232">
        <f t="shared" ca="1" si="3"/>
        <v>0</v>
      </c>
    </row>
    <row r="233" spans="2:4">
      <c r="B233">
        <v>232</v>
      </c>
      <c r="C233" t="b">
        <f>B233&lt;=A1</f>
        <v>0</v>
      </c>
      <c r="D233">
        <f t="shared" ca="1" si="3"/>
        <v>0</v>
      </c>
    </row>
    <row r="234" spans="2:4">
      <c r="B234">
        <v>233</v>
      </c>
      <c r="C234" t="b">
        <f>B234&lt;=A1</f>
        <v>0</v>
      </c>
      <c r="D234">
        <f t="shared" ca="1" si="3"/>
        <v>0</v>
      </c>
    </row>
    <row r="235" spans="2:4">
      <c r="B235">
        <v>234</v>
      </c>
      <c r="C235" t="b">
        <f>B235&lt;=A1</f>
        <v>0</v>
      </c>
      <c r="D235">
        <f t="shared" ca="1" si="3"/>
        <v>0</v>
      </c>
    </row>
    <row r="236" spans="2:4">
      <c r="B236">
        <v>235</v>
      </c>
      <c r="C236" t="b">
        <f>B236&lt;=A1</f>
        <v>0</v>
      </c>
      <c r="D236">
        <f t="shared" ca="1" si="3"/>
        <v>0</v>
      </c>
    </row>
    <row r="237" spans="2:4">
      <c r="B237">
        <v>236</v>
      </c>
      <c r="C237" t="b">
        <f>B237&lt;=A1</f>
        <v>0</v>
      </c>
      <c r="D237">
        <f t="shared" ca="1" si="3"/>
        <v>0</v>
      </c>
    </row>
    <row r="238" spans="2:4">
      <c r="B238">
        <v>237</v>
      </c>
      <c r="C238" t="b">
        <f>B238&lt;=A1</f>
        <v>0</v>
      </c>
      <c r="D238">
        <f t="shared" ca="1" si="3"/>
        <v>0</v>
      </c>
    </row>
    <row r="239" spans="2:4">
      <c r="B239">
        <v>238</v>
      </c>
      <c r="C239" t="b">
        <f>B239&lt;=A1</f>
        <v>0</v>
      </c>
      <c r="D239">
        <f t="shared" ca="1" si="3"/>
        <v>0</v>
      </c>
    </row>
    <row r="240" spans="2:4">
      <c r="B240">
        <v>239</v>
      </c>
      <c r="C240" t="b">
        <f>B240&lt;=A1</f>
        <v>0</v>
      </c>
      <c r="D240">
        <f t="shared" ca="1" si="3"/>
        <v>0</v>
      </c>
    </row>
    <row r="241" spans="2:4">
      <c r="B241">
        <v>240</v>
      </c>
      <c r="C241" t="b">
        <f>B241&lt;=A1</f>
        <v>0</v>
      </c>
      <c r="D241">
        <f t="shared" ca="1" si="3"/>
        <v>0</v>
      </c>
    </row>
    <row r="242" spans="2:4">
      <c r="B242">
        <v>241</v>
      </c>
      <c r="C242" t="b">
        <f>B242&lt;=A1</f>
        <v>0</v>
      </c>
      <c r="D242">
        <f t="shared" ca="1" si="3"/>
        <v>0</v>
      </c>
    </row>
    <row r="243" spans="2:4">
      <c r="B243">
        <v>242</v>
      </c>
      <c r="C243" t="b">
        <f>B243&lt;=A1</f>
        <v>0</v>
      </c>
      <c r="D243">
        <f t="shared" ca="1" si="3"/>
        <v>0</v>
      </c>
    </row>
    <row r="244" spans="2:4">
      <c r="B244">
        <v>243</v>
      </c>
      <c r="C244" t="b">
        <f>B244&lt;=A1</f>
        <v>0</v>
      </c>
      <c r="D244">
        <f t="shared" ca="1" si="3"/>
        <v>0</v>
      </c>
    </row>
    <row r="245" spans="2:4">
      <c r="B245">
        <v>244</v>
      </c>
      <c r="C245" t="b">
        <f>B245&lt;=A1</f>
        <v>0</v>
      </c>
      <c r="D245">
        <f t="shared" ca="1" si="3"/>
        <v>0</v>
      </c>
    </row>
    <row r="246" spans="2:4">
      <c r="B246">
        <v>245</v>
      </c>
      <c r="C246" t="b">
        <f>B246&lt;=A1</f>
        <v>0</v>
      </c>
      <c r="D246">
        <f t="shared" ca="1" si="3"/>
        <v>0</v>
      </c>
    </row>
    <row r="247" spans="2:4">
      <c r="B247">
        <v>246</v>
      </c>
      <c r="C247" t="b">
        <f>B247&lt;=A1</f>
        <v>0</v>
      </c>
      <c r="D247">
        <f t="shared" ca="1" si="3"/>
        <v>0</v>
      </c>
    </row>
    <row r="248" spans="2:4">
      <c r="B248">
        <v>247</v>
      </c>
      <c r="C248" t="b">
        <f>B248&lt;=A1</f>
        <v>0</v>
      </c>
      <c r="D248">
        <f t="shared" ca="1" si="3"/>
        <v>0</v>
      </c>
    </row>
    <row r="249" spans="2:4">
      <c r="B249">
        <v>248</v>
      </c>
      <c r="C249" t="b">
        <f>B249&lt;=A1</f>
        <v>0</v>
      </c>
      <c r="D249">
        <f t="shared" ca="1" si="3"/>
        <v>0</v>
      </c>
    </row>
    <row r="250" spans="2:4">
      <c r="B250">
        <v>249</v>
      </c>
      <c r="C250" t="b">
        <f>B250&lt;=A1</f>
        <v>0</v>
      </c>
      <c r="D250">
        <f t="shared" ca="1" si="3"/>
        <v>0</v>
      </c>
    </row>
    <row r="251" spans="2:4">
      <c r="B251">
        <v>250</v>
      </c>
      <c r="C251" t="b">
        <f>B251&lt;=A1</f>
        <v>0</v>
      </c>
      <c r="D251">
        <f t="shared" ca="1" si="3"/>
        <v>0</v>
      </c>
    </row>
    <row r="252" spans="2:4">
      <c r="B252">
        <v>251</v>
      </c>
      <c r="C252" t="b">
        <f>B252&lt;=A1</f>
        <v>0</v>
      </c>
      <c r="D252">
        <f t="shared" ca="1" si="3"/>
        <v>0</v>
      </c>
    </row>
    <row r="253" spans="2:4">
      <c r="B253">
        <v>252</v>
      </c>
      <c r="C253" t="b">
        <f>B253&lt;=A1</f>
        <v>0</v>
      </c>
      <c r="D253">
        <f t="shared" ca="1" si="3"/>
        <v>0</v>
      </c>
    </row>
    <row r="254" spans="2:4">
      <c r="B254">
        <v>253</v>
      </c>
      <c r="C254" t="b">
        <f>B254&lt;=A1</f>
        <v>0</v>
      </c>
      <c r="D254">
        <f t="shared" ca="1" si="3"/>
        <v>0</v>
      </c>
    </row>
    <row r="255" spans="2:4">
      <c r="B255">
        <v>254</v>
      </c>
      <c r="C255" t="b">
        <f>B255&lt;=A1</f>
        <v>0</v>
      </c>
      <c r="D255">
        <f t="shared" ca="1" si="3"/>
        <v>0</v>
      </c>
    </row>
    <row r="256" spans="2:4">
      <c r="B256">
        <v>255</v>
      </c>
      <c r="C256" t="b">
        <f>B256&lt;=A1</f>
        <v>0</v>
      </c>
      <c r="D256">
        <f t="shared" ca="1" si="3"/>
        <v>0</v>
      </c>
    </row>
    <row r="257" spans="2:4">
      <c r="B257">
        <v>256</v>
      </c>
      <c r="C257" t="b">
        <f>B257&lt;=A1</f>
        <v>0</v>
      </c>
      <c r="D257">
        <f t="shared" ca="1" si="3"/>
        <v>0</v>
      </c>
    </row>
    <row r="258" spans="2:4">
      <c r="B258">
        <v>257</v>
      </c>
      <c r="C258" t="b">
        <f>B258&lt;=A1</f>
        <v>0</v>
      </c>
      <c r="D258">
        <f t="shared" ref="D258:D321" ca="1" si="4">IF(C258,INDIRECT("person_db!B"&amp;(B258+1)),INDIRECT("person!B"&amp;(B258-$A$1+1)))</f>
        <v>0</v>
      </c>
    </row>
    <row r="259" spans="2:4">
      <c r="B259">
        <v>258</v>
      </c>
      <c r="C259" t="b">
        <f>B259&lt;=A1</f>
        <v>0</v>
      </c>
      <c r="D259">
        <f t="shared" ca="1" si="4"/>
        <v>0</v>
      </c>
    </row>
    <row r="260" spans="2:4">
      <c r="B260">
        <v>259</v>
      </c>
      <c r="C260" t="b">
        <f>B260&lt;=A1</f>
        <v>0</v>
      </c>
      <c r="D260">
        <f t="shared" ca="1" si="4"/>
        <v>0</v>
      </c>
    </row>
    <row r="261" spans="2:4">
      <c r="B261">
        <v>260</v>
      </c>
      <c r="C261" t="b">
        <f>B261&lt;=A1</f>
        <v>0</v>
      </c>
      <c r="D261">
        <f t="shared" ca="1" si="4"/>
        <v>0</v>
      </c>
    </row>
    <row r="262" spans="2:4">
      <c r="B262">
        <v>261</v>
      </c>
      <c r="C262" t="b">
        <f>B262&lt;=A1</f>
        <v>0</v>
      </c>
      <c r="D262">
        <f t="shared" ca="1" si="4"/>
        <v>0</v>
      </c>
    </row>
    <row r="263" spans="2:4">
      <c r="B263">
        <v>262</v>
      </c>
      <c r="C263" t="b">
        <f>B263&lt;=A1</f>
        <v>0</v>
      </c>
      <c r="D263">
        <f t="shared" ca="1" si="4"/>
        <v>0</v>
      </c>
    </row>
    <row r="264" spans="2:4">
      <c r="B264">
        <v>263</v>
      </c>
      <c r="C264" t="b">
        <f>B264&lt;=A1</f>
        <v>0</v>
      </c>
      <c r="D264">
        <f t="shared" ca="1" si="4"/>
        <v>0</v>
      </c>
    </row>
    <row r="265" spans="2:4">
      <c r="B265">
        <v>264</v>
      </c>
      <c r="C265" t="b">
        <f>B265&lt;=A1</f>
        <v>0</v>
      </c>
      <c r="D265">
        <f t="shared" ca="1" si="4"/>
        <v>0</v>
      </c>
    </row>
    <row r="266" spans="2:4">
      <c r="B266">
        <v>265</v>
      </c>
      <c r="C266" t="b">
        <f>B266&lt;=A1</f>
        <v>0</v>
      </c>
      <c r="D266">
        <f t="shared" ca="1" si="4"/>
        <v>0</v>
      </c>
    </row>
    <row r="267" spans="2:4">
      <c r="B267">
        <v>266</v>
      </c>
      <c r="C267" t="b">
        <f>B267&lt;=A1</f>
        <v>0</v>
      </c>
      <c r="D267">
        <f t="shared" ca="1" si="4"/>
        <v>0</v>
      </c>
    </row>
    <row r="268" spans="2:4">
      <c r="B268">
        <v>267</v>
      </c>
      <c r="C268" t="b">
        <f>B268&lt;=A1</f>
        <v>0</v>
      </c>
      <c r="D268">
        <f t="shared" ca="1" si="4"/>
        <v>0</v>
      </c>
    </row>
    <row r="269" spans="2:4">
      <c r="B269">
        <v>268</v>
      </c>
      <c r="C269" t="b">
        <f>B269&lt;=A1</f>
        <v>0</v>
      </c>
      <c r="D269">
        <f t="shared" ca="1" si="4"/>
        <v>0</v>
      </c>
    </row>
    <row r="270" spans="2:4">
      <c r="B270">
        <v>269</v>
      </c>
      <c r="C270" t="b">
        <f>B270&lt;=A1</f>
        <v>0</v>
      </c>
      <c r="D270">
        <f t="shared" ca="1" si="4"/>
        <v>0</v>
      </c>
    </row>
    <row r="271" spans="2:4">
      <c r="B271">
        <v>270</v>
      </c>
      <c r="C271" t="b">
        <f>B271&lt;=A1</f>
        <v>0</v>
      </c>
      <c r="D271">
        <f t="shared" ca="1" si="4"/>
        <v>0</v>
      </c>
    </row>
    <row r="272" spans="2:4">
      <c r="B272">
        <v>271</v>
      </c>
      <c r="C272" t="b">
        <f>B272&lt;=A1</f>
        <v>0</v>
      </c>
      <c r="D272">
        <f t="shared" ca="1" si="4"/>
        <v>0</v>
      </c>
    </row>
    <row r="273" spans="2:4">
      <c r="B273">
        <v>272</v>
      </c>
      <c r="C273" t="b">
        <f>B273&lt;=A1</f>
        <v>0</v>
      </c>
      <c r="D273">
        <f t="shared" ca="1" si="4"/>
        <v>0</v>
      </c>
    </row>
    <row r="274" spans="2:4">
      <c r="B274">
        <v>273</v>
      </c>
      <c r="C274" t="b">
        <f>B274&lt;=A1</f>
        <v>0</v>
      </c>
      <c r="D274">
        <f t="shared" ca="1" si="4"/>
        <v>0</v>
      </c>
    </row>
    <row r="275" spans="2:4">
      <c r="B275">
        <v>274</v>
      </c>
      <c r="C275" t="b">
        <f>B275&lt;=A1</f>
        <v>0</v>
      </c>
      <c r="D275">
        <f t="shared" ca="1" si="4"/>
        <v>0</v>
      </c>
    </row>
    <row r="276" spans="2:4">
      <c r="B276">
        <v>275</v>
      </c>
      <c r="C276" t="b">
        <f>B276&lt;=A1</f>
        <v>0</v>
      </c>
      <c r="D276">
        <f t="shared" ca="1" si="4"/>
        <v>0</v>
      </c>
    </row>
    <row r="277" spans="2:4">
      <c r="B277">
        <v>276</v>
      </c>
      <c r="C277" t="b">
        <f>B277&lt;=A1</f>
        <v>0</v>
      </c>
      <c r="D277">
        <f t="shared" ca="1" si="4"/>
        <v>0</v>
      </c>
    </row>
    <row r="278" spans="2:4">
      <c r="B278">
        <v>277</v>
      </c>
      <c r="C278" t="b">
        <f>B278&lt;=A1</f>
        <v>0</v>
      </c>
      <c r="D278">
        <f t="shared" ca="1" si="4"/>
        <v>0</v>
      </c>
    </row>
    <row r="279" spans="2:4">
      <c r="B279">
        <v>278</v>
      </c>
      <c r="C279" t="b">
        <f>B279&lt;=A1</f>
        <v>0</v>
      </c>
      <c r="D279">
        <f t="shared" ca="1" si="4"/>
        <v>0</v>
      </c>
    </row>
    <row r="280" spans="2:4">
      <c r="B280">
        <v>279</v>
      </c>
      <c r="C280" t="b">
        <f>B280&lt;=A1</f>
        <v>0</v>
      </c>
      <c r="D280">
        <f t="shared" ca="1" si="4"/>
        <v>0</v>
      </c>
    </row>
    <row r="281" spans="2:4">
      <c r="B281">
        <v>280</v>
      </c>
      <c r="C281" t="b">
        <f>B281&lt;=A1</f>
        <v>0</v>
      </c>
      <c r="D281">
        <f t="shared" ca="1" si="4"/>
        <v>0</v>
      </c>
    </row>
    <row r="282" spans="2:4">
      <c r="B282">
        <v>281</v>
      </c>
      <c r="C282" t="b">
        <f>B282&lt;=A1</f>
        <v>0</v>
      </c>
      <c r="D282">
        <f t="shared" ca="1" si="4"/>
        <v>0</v>
      </c>
    </row>
    <row r="283" spans="2:4">
      <c r="B283">
        <v>282</v>
      </c>
      <c r="C283" t="b">
        <f>B283&lt;=A1</f>
        <v>0</v>
      </c>
      <c r="D283">
        <f t="shared" ca="1" si="4"/>
        <v>0</v>
      </c>
    </row>
    <row r="284" spans="2:4">
      <c r="B284">
        <v>283</v>
      </c>
      <c r="C284" t="b">
        <f>B284&lt;=A1</f>
        <v>0</v>
      </c>
      <c r="D284">
        <f t="shared" ca="1" si="4"/>
        <v>0</v>
      </c>
    </row>
    <row r="285" spans="2:4">
      <c r="B285">
        <v>284</v>
      </c>
      <c r="C285" t="b">
        <f>B285&lt;=A1</f>
        <v>0</v>
      </c>
      <c r="D285">
        <f t="shared" ca="1" si="4"/>
        <v>0</v>
      </c>
    </row>
    <row r="286" spans="2:4">
      <c r="B286">
        <v>285</v>
      </c>
      <c r="C286" t="b">
        <f>B286&lt;=A1</f>
        <v>0</v>
      </c>
      <c r="D286">
        <f t="shared" ca="1" si="4"/>
        <v>0</v>
      </c>
    </row>
    <row r="287" spans="2:4">
      <c r="B287">
        <v>286</v>
      </c>
      <c r="C287" t="b">
        <f>B287&lt;=A1</f>
        <v>0</v>
      </c>
      <c r="D287">
        <f t="shared" ca="1" si="4"/>
        <v>0</v>
      </c>
    </row>
    <row r="288" spans="2:4">
      <c r="B288">
        <v>287</v>
      </c>
      <c r="C288" t="b">
        <f>B288&lt;=A1</f>
        <v>0</v>
      </c>
      <c r="D288">
        <f t="shared" ca="1" si="4"/>
        <v>0</v>
      </c>
    </row>
    <row r="289" spans="2:4">
      <c r="B289">
        <v>288</v>
      </c>
      <c r="C289" t="b">
        <f>B289&lt;=A1</f>
        <v>0</v>
      </c>
      <c r="D289">
        <f t="shared" ca="1" si="4"/>
        <v>0</v>
      </c>
    </row>
    <row r="290" spans="2:4">
      <c r="B290">
        <v>289</v>
      </c>
      <c r="C290" t="b">
        <f>B290&lt;=A1</f>
        <v>0</v>
      </c>
      <c r="D290">
        <f t="shared" ca="1" si="4"/>
        <v>0</v>
      </c>
    </row>
    <row r="291" spans="2:4">
      <c r="B291">
        <v>290</v>
      </c>
      <c r="C291" t="b">
        <f>B291&lt;=A1</f>
        <v>0</v>
      </c>
      <c r="D291">
        <f t="shared" ca="1" si="4"/>
        <v>0</v>
      </c>
    </row>
    <row r="292" spans="2:4">
      <c r="B292">
        <v>291</v>
      </c>
      <c r="C292" t="b">
        <f>B292&lt;=A1</f>
        <v>0</v>
      </c>
      <c r="D292">
        <f t="shared" ca="1" si="4"/>
        <v>0</v>
      </c>
    </row>
    <row r="293" spans="2:4">
      <c r="B293">
        <v>292</v>
      </c>
      <c r="C293" t="b">
        <f>B293&lt;=A1</f>
        <v>0</v>
      </c>
      <c r="D293">
        <f t="shared" ca="1" si="4"/>
        <v>0</v>
      </c>
    </row>
    <row r="294" spans="2:4">
      <c r="B294">
        <v>293</v>
      </c>
      <c r="C294" t="b">
        <f>B294&lt;=A1</f>
        <v>0</v>
      </c>
      <c r="D294">
        <f t="shared" ca="1" si="4"/>
        <v>0</v>
      </c>
    </row>
    <row r="295" spans="2:4">
      <c r="B295">
        <v>294</v>
      </c>
      <c r="C295" t="b">
        <f>B295&lt;=A1</f>
        <v>0</v>
      </c>
      <c r="D295">
        <f t="shared" ca="1" si="4"/>
        <v>0</v>
      </c>
    </row>
    <row r="296" spans="2:4">
      <c r="B296">
        <v>295</v>
      </c>
      <c r="C296" t="b">
        <f>B296&lt;=A1</f>
        <v>0</v>
      </c>
      <c r="D296">
        <f t="shared" ca="1" si="4"/>
        <v>0</v>
      </c>
    </row>
    <row r="297" spans="2:4">
      <c r="B297">
        <v>296</v>
      </c>
      <c r="C297" t="b">
        <f>B297&lt;=A1</f>
        <v>0</v>
      </c>
      <c r="D297">
        <f t="shared" ca="1" si="4"/>
        <v>0</v>
      </c>
    </row>
    <row r="298" spans="2:4">
      <c r="B298">
        <v>297</v>
      </c>
      <c r="C298" t="b">
        <f>B298&lt;=A1</f>
        <v>0</v>
      </c>
      <c r="D298">
        <f t="shared" ca="1" si="4"/>
        <v>0</v>
      </c>
    </row>
    <row r="299" spans="2:4">
      <c r="B299">
        <v>298</v>
      </c>
      <c r="C299" t="b">
        <f>B299&lt;=A1</f>
        <v>0</v>
      </c>
      <c r="D299">
        <f t="shared" ca="1" si="4"/>
        <v>0</v>
      </c>
    </row>
    <row r="300" spans="2:4">
      <c r="B300">
        <v>299</v>
      </c>
      <c r="C300" t="b">
        <f>B300&lt;=A1</f>
        <v>0</v>
      </c>
      <c r="D300">
        <f t="shared" ca="1" si="4"/>
        <v>0</v>
      </c>
    </row>
    <row r="301" spans="2:4">
      <c r="B301">
        <v>300</v>
      </c>
      <c r="C301" t="b">
        <f>B301&lt;=A1</f>
        <v>0</v>
      </c>
      <c r="D301">
        <f t="shared" ca="1" si="4"/>
        <v>0</v>
      </c>
    </row>
    <row r="302" spans="2:4">
      <c r="B302">
        <v>301</v>
      </c>
      <c r="C302" t="b">
        <f>B302&lt;=A1</f>
        <v>0</v>
      </c>
      <c r="D302">
        <f t="shared" ca="1" si="4"/>
        <v>0</v>
      </c>
    </row>
    <row r="303" spans="2:4">
      <c r="B303">
        <v>302</v>
      </c>
      <c r="C303" t="b">
        <f>B303&lt;=A1</f>
        <v>0</v>
      </c>
      <c r="D303">
        <f t="shared" ca="1" si="4"/>
        <v>0</v>
      </c>
    </row>
    <row r="304" spans="2:4">
      <c r="B304">
        <v>303</v>
      </c>
      <c r="C304" t="b">
        <f>B304&lt;=A1</f>
        <v>0</v>
      </c>
      <c r="D304">
        <f t="shared" ca="1" si="4"/>
        <v>0</v>
      </c>
    </row>
    <row r="305" spans="2:4">
      <c r="B305">
        <v>304</v>
      </c>
      <c r="C305" t="b">
        <f>B305&lt;=A1</f>
        <v>0</v>
      </c>
      <c r="D305">
        <f t="shared" ca="1" si="4"/>
        <v>0</v>
      </c>
    </row>
    <row r="306" spans="2:4">
      <c r="B306">
        <v>305</v>
      </c>
      <c r="C306" t="b">
        <f>B306&lt;=A1</f>
        <v>0</v>
      </c>
      <c r="D306">
        <f t="shared" ca="1" si="4"/>
        <v>0</v>
      </c>
    </row>
    <row r="307" spans="2:4">
      <c r="B307">
        <v>306</v>
      </c>
      <c r="C307" t="b">
        <f>B307&lt;=A1</f>
        <v>0</v>
      </c>
      <c r="D307">
        <f t="shared" ca="1" si="4"/>
        <v>0</v>
      </c>
    </row>
    <row r="308" spans="2:4">
      <c r="B308">
        <v>307</v>
      </c>
      <c r="C308" t="b">
        <f>B308&lt;=A1</f>
        <v>0</v>
      </c>
      <c r="D308">
        <f t="shared" ca="1" si="4"/>
        <v>0</v>
      </c>
    </row>
    <row r="309" spans="2:4">
      <c r="B309">
        <v>308</v>
      </c>
      <c r="C309" t="b">
        <f>B309&lt;=A1</f>
        <v>0</v>
      </c>
      <c r="D309">
        <f t="shared" ca="1" si="4"/>
        <v>0</v>
      </c>
    </row>
    <row r="310" spans="2:4">
      <c r="B310">
        <v>309</v>
      </c>
      <c r="C310" t="b">
        <f>B310&lt;=A1</f>
        <v>0</v>
      </c>
      <c r="D310">
        <f t="shared" ca="1" si="4"/>
        <v>0</v>
      </c>
    </row>
    <row r="311" spans="2:4">
      <c r="B311">
        <v>310</v>
      </c>
      <c r="C311" t="b">
        <f>B311&lt;=A1</f>
        <v>0</v>
      </c>
      <c r="D311">
        <f t="shared" ca="1" si="4"/>
        <v>0</v>
      </c>
    </row>
    <row r="312" spans="2:4">
      <c r="B312">
        <v>311</v>
      </c>
      <c r="C312" t="b">
        <f>B312&lt;=A1</f>
        <v>0</v>
      </c>
      <c r="D312">
        <f t="shared" ca="1" si="4"/>
        <v>0</v>
      </c>
    </row>
    <row r="313" spans="2:4">
      <c r="B313">
        <v>312</v>
      </c>
      <c r="C313" t="b">
        <f>B313&lt;=A1</f>
        <v>0</v>
      </c>
      <c r="D313">
        <f t="shared" ca="1" si="4"/>
        <v>0</v>
      </c>
    </row>
    <row r="314" spans="2:4">
      <c r="B314">
        <v>313</v>
      </c>
      <c r="C314" t="b">
        <f>B314&lt;=A1</f>
        <v>0</v>
      </c>
      <c r="D314">
        <f t="shared" ca="1" si="4"/>
        <v>0</v>
      </c>
    </row>
    <row r="315" spans="2:4">
      <c r="B315">
        <v>314</v>
      </c>
      <c r="C315" t="b">
        <f>B315&lt;=A1</f>
        <v>0</v>
      </c>
      <c r="D315">
        <f t="shared" ca="1" si="4"/>
        <v>0</v>
      </c>
    </row>
    <row r="316" spans="2:4">
      <c r="B316">
        <v>315</v>
      </c>
      <c r="C316" t="b">
        <f>B316&lt;=A1</f>
        <v>0</v>
      </c>
      <c r="D316">
        <f t="shared" ca="1" si="4"/>
        <v>0</v>
      </c>
    </row>
    <row r="317" spans="2:4">
      <c r="B317">
        <v>316</v>
      </c>
      <c r="C317" t="b">
        <f>B317&lt;=A1</f>
        <v>0</v>
      </c>
      <c r="D317">
        <f t="shared" ca="1" si="4"/>
        <v>0</v>
      </c>
    </row>
    <row r="318" spans="2:4">
      <c r="B318">
        <v>317</v>
      </c>
      <c r="C318" t="b">
        <f>B318&lt;=A1</f>
        <v>0</v>
      </c>
      <c r="D318">
        <f t="shared" ca="1" si="4"/>
        <v>0</v>
      </c>
    </row>
    <row r="319" spans="2:4">
      <c r="B319">
        <v>318</v>
      </c>
      <c r="C319" t="b">
        <f>B319&lt;=A1</f>
        <v>0</v>
      </c>
      <c r="D319">
        <f t="shared" ca="1" si="4"/>
        <v>0</v>
      </c>
    </row>
    <row r="320" spans="2:4">
      <c r="B320">
        <v>319</v>
      </c>
      <c r="C320" t="b">
        <f>B320&lt;=A1</f>
        <v>0</v>
      </c>
      <c r="D320">
        <f t="shared" ca="1" si="4"/>
        <v>0</v>
      </c>
    </row>
    <row r="321" spans="2:4">
      <c r="B321">
        <v>320</v>
      </c>
      <c r="C321" t="b">
        <f>B321&lt;=A1</f>
        <v>0</v>
      </c>
      <c r="D321">
        <f t="shared" ca="1" si="4"/>
        <v>0</v>
      </c>
    </row>
    <row r="322" spans="2:4">
      <c r="B322">
        <v>321</v>
      </c>
      <c r="C322" t="b">
        <f>B322&lt;=A1</f>
        <v>0</v>
      </c>
      <c r="D322">
        <f t="shared" ref="D322:D385" ca="1" si="5">IF(C322,INDIRECT("person_db!B"&amp;(B322+1)),INDIRECT("person!B"&amp;(B322-$A$1+1)))</f>
        <v>0</v>
      </c>
    </row>
    <row r="323" spans="2:4">
      <c r="B323">
        <v>322</v>
      </c>
      <c r="C323" t="b">
        <f>B323&lt;=A1</f>
        <v>0</v>
      </c>
      <c r="D323">
        <f t="shared" ca="1" si="5"/>
        <v>0</v>
      </c>
    </row>
    <row r="324" spans="2:4">
      <c r="B324">
        <v>323</v>
      </c>
      <c r="C324" t="b">
        <f>B324&lt;=A1</f>
        <v>0</v>
      </c>
      <c r="D324">
        <f t="shared" ca="1" si="5"/>
        <v>0</v>
      </c>
    </row>
    <row r="325" spans="2:4">
      <c r="B325">
        <v>324</v>
      </c>
      <c r="C325" t="b">
        <f>B325&lt;=A1</f>
        <v>0</v>
      </c>
      <c r="D325">
        <f t="shared" ca="1" si="5"/>
        <v>0</v>
      </c>
    </row>
    <row r="326" spans="2:4">
      <c r="B326">
        <v>325</v>
      </c>
      <c r="C326" t="b">
        <f>B326&lt;=A1</f>
        <v>0</v>
      </c>
      <c r="D326">
        <f t="shared" ca="1" si="5"/>
        <v>0</v>
      </c>
    </row>
    <row r="327" spans="2:4">
      <c r="B327">
        <v>326</v>
      </c>
      <c r="C327" t="b">
        <f>B327&lt;=A1</f>
        <v>0</v>
      </c>
      <c r="D327">
        <f t="shared" ca="1" si="5"/>
        <v>0</v>
      </c>
    </row>
    <row r="328" spans="2:4">
      <c r="B328">
        <v>327</v>
      </c>
      <c r="C328" t="b">
        <f>B328&lt;=A1</f>
        <v>0</v>
      </c>
      <c r="D328">
        <f t="shared" ca="1" si="5"/>
        <v>0</v>
      </c>
    </row>
    <row r="329" spans="2:4">
      <c r="B329">
        <v>328</v>
      </c>
      <c r="C329" t="b">
        <f>B329&lt;=A1</f>
        <v>0</v>
      </c>
      <c r="D329">
        <f t="shared" ca="1" si="5"/>
        <v>0</v>
      </c>
    </row>
    <row r="330" spans="2:4">
      <c r="B330">
        <v>329</v>
      </c>
      <c r="C330" t="b">
        <f>B330&lt;=A1</f>
        <v>0</v>
      </c>
      <c r="D330">
        <f t="shared" ca="1" si="5"/>
        <v>0</v>
      </c>
    </row>
    <row r="331" spans="2:4">
      <c r="B331">
        <v>330</v>
      </c>
      <c r="C331" t="b">
        <f>B331&lt;=A1</f>
        <v>0</v>
      </c>
      <c r="D331">
        <f t="shared" ca="1" si="5"/>
        <v>0</v>
      </c>
    </row>
    <row r="332" spans="2:4">
      <c r="B332">
        <v>331</v>
      </c>
      <c r="C332" t="b">
        <f>B332&lt;=A1</f>
        <v>0</v>
      </c>
      <c r="D332">
        <f t="shared" ca="1" si="5"/>
        <v>0</v>
      </c>
    </row>
    <row r="333" spans="2:4">
      <c r="B333">
        <v>332</v>
      </c>
      <c r="C333" t="b">
        <f>B333&lt;=A1</f>
        <v>0</v>
      </c>
      <c r="D333">
        <f t="shared" ca="1" si="5"/>
        <v>0</v>
      </c>
    </row>
    <row r="334" spans="2:4">
      <c r="B334">
        <v>333</v>
      </c>
      <c r="C334" t="b">
        <f>B334&lt;=A1</f>
        <v>0</v>
      </c>
      <c r="D334">
        <f t="shared" ca="1" si="5"/>
        <v>0</v>
      </c>
    </row>
    <row r="335" spans="2:4">
      <c r="B335">
        <v>334</v>
      </c>
      <c r="C335" t="b">
        <f>B335&lt;=A1</f>
        <v>0</v>
      </c>
      <c r="D335">
        <f t="shared" ca="1" si="5"/>
        <v>0</v>
      </c>
    </row>
    <row r="336" spans="2:4">
      <c r="B336">
        <v>335</v>
      </c>
      <c r="C336" t="b">
        <f>B336&lt;=A1</f>
        <v>0</v>
      </c>
      <c r="D336">
        <f t="shared" ca="1" si="5"/>
        <v>0</v>
      </c>
    </row>
    <row r="337" spans="2:4">
      <c r="B337">
        <v>336</v>
      </c>
      <c r="C337" t="b">
        <f>B337&lt;=A1</f>
        <v>0</v>
      </c>
      <c r="D337">
        <f t="shared" ca="1" si="5"/>
        <v>0</v>
      </c>
    </row>
    <row r="338" spans="2:4">
      <c r="B338">
        <v>337</v>
      </c>
      <c r="C338" t="b">
        <f>B338&lt;=A1</f>
        <v>0</v>
      </c>
      <c r="D338">
        <f t="shared" ca="1" si="5"/>
        <v>0</v>
      </c>
    </row>
    <row r="339" spans="2:4">
      <c r="B339">
        <v>338</v>
      </c>
      <c r="C339" t="b">
        <f>B339&lt;=A1</f>
        <v>0</v>
      </c>
      <c r="D339">
        <f t="shared" ca="1" si="5"/>
        <v>0</v>
      </c>
    </row>
    <row r="340" spans="2:4">
      <c r="B340">
        <v>339</v>
      </c>
      <c r="C340" t="b">
        <f>B340&lt;=A1</f>
        <v>0</v>
      </c>
      <c r="D340">
        <f t="shared" ca="1" si="5"/>
        <v>0</v>
      </c>
    </row>
    <row r="341" spans="2:4">
      <c r="B341">
        <v>340</v>
      </c>
      <c r="C341" t="b">
        <f>B341&lt;=A1</f>
        <v>0</v>
      </c>
      <c r="D341">
        <f t="shared" ca="1" si="5"/>
        <v>0</v>
      </c>
    </row>
    <row r="342" spans="2:4">
      <c r="B342">
        <v>341</v>
      </c>
      <c r="C342" t="b">
        <f>B342&lt;=A1</f>
        <v>0</v>
      </c>
      <c r="D342">
        <f t="shared" ca="1" si="5"/>
        <v>0</v>
      </c>
    </row>
    <row r="343" spans="2:4">
      <c r="B343">
        <v>342</v>
      </c>
      <c r="C343" t="b">
        <f>B343&lt;=A1</f>
        <v>0</v>
      </c>
      <c r="D343">
        <f t="shared" ca="1" si="5"/>
        <v>0</v>
      </c>
    </row>
    <row r="344" spans="2:4">
      <c r="B344">
        <v>343</v>
      </c>
      <c r="C344" t="b">
        <f>B344&lt;=A1</f>
        <v>0</v>
      </c>
      <c r="D344">
        <f t="shared" ca="1" si="5"/>
        <v>0</v>
      </c>
    </row>
    <row r="345" spans="2:4">
      <c r="B345">
        <v>344</v>
      </c>
      <c r="C345" t="b">
        <f>B345&lt;=A1</f>
        <v>0</v>
      </c>
      <c r="D345">
        <f t="shared" ca="1" si="5"/>
        <v>0</v>
      </c>
    </row>
    <row r="346" spans="2:4">
      <c r="B346">
        <v>345</v>
      </c>
      <c r="C346" t="b">
        <f>B346&lt;=A1</f>
        <v>0</v>
      </c>
      <c r="D346">
        <f t="shared" ca="1" si="5"/>
        <v>0</v>
      </c>
    </row>
    <row r="347" spans="2:4">
      <c r="B347">
        <v>346</v>
      </c>
      <c r="C347" t="b">
        <f>B347&lt;=A1</f>
        <v>0</v>
      </c>
      <c r="D347">
        <f t="shared" ca="1" si="5"/>
        <v>0</v>
      </c>
    </row>
    <row r="348" spans="2:4">
      <c r="B348">
        <v>347</v>
      </c>
      <c r="C348" t="b">
        <f>B348&lt;=A1</f>
        <v>0</v>
      </c>
      <c r="D348">
        <f t="shared" ca="1" si="5"/>
        <v>0</v>
      </c>
    </row>
    <row r="349" spans="2:4">
      <c r="B349">
        <v>348</v>
      </c>
      <c r="C349" t="b">
        <f>B349&lt;=A1</f>
        <v>0</v>
      </c>
      <c r="D349">
        <f t="shared" ca="1" si="5"/>
        <v>0</v>
      </c>
    </row>
    <row r="350" spans="2:4">
      <c r="B350">
        <v>349</v>
      </c>
      <c r="C350" t="b">
        <f>B350&lt;=A1</f>
        <v>0</v>
      </c>
      <c r="D350">
        <f t="shared" ca="1" si="5"/>
        <v>0</v>
      </c>
    </row>
    <row r="351" spans="2:4">
      <c r="B351">
        <v>350</v>
      </c>
      <c r="C351" t="b">
        <f>B351&lt;=A1</f>
        <v>0</v>
      </c>
      <c r="D351">
        <f t="shared" ca="1" si="5"/>
        <v>0</v>
      </c>
    </row>
    <row r="352" spans="2:4">
      <c r="B352">
        <v>351</v>
      </c>
      <c r="C352" t="b">
        <f>B352&lt;=A1</f>
        <v>0</v>
      </c>
      <c r="D352">
        <f t="shared" ca="1" si="5"/>
        <v>0</v>
      </c>
    </row>
    <row r="353" spans="2:4">
      <c r="B353">
        <v>352</v>
      </c>
      <c r="C353" t="b">
        <f>B353&lt;=A1</f>
        <v>0</v>
      </c>
      <c r="D353">
        <f t="shared" ca="1" si="5"/>
        <v>0</v>
      </c>
    </row>
    <row r="354" spans="2:4">
      <c r="B354">
        <v>353</v>
      </c>
      <c r="C354" t="b">
        <f>B354&lt;=A1</f>
        <v>0</v>
      </c>
      <c r="D354">
        <f t="shared" ca="1" si="5"/>
        <v>0</v>
      </c>
    </row>
    <row r="355" spans="2:4">
      <c r="B355">
        <v>354</v>
      </c>
      <c r="C355" t="b">
        <f>B355&lt;=A1</f>
        <v>0</v>
      </c>
      <c r="D355">
        <f t="shared" ca="1" si="5"/>
        <v>0</v>
      </c>
    </row>
    <row r="356" spans="2:4">
      <c r="B356">
        <v>355</v>
      </c>
      <c r="C356" t="b">
        <f>B356&lt;=A1</f>
        <v>0</v>
      </c>
      <c r="D356">
        <f t="shared" ca="1" si="5"/>
        <v>0</v>
      </c>
    </row>
    <row r="357" spans="2:4">
      <c r="B357">
        <v>356</v>
      </c>
      <c r="C357" t="b">
        <f>B357&lt;=A1</f>
        <v>0</v>
      </c>
      <c r="D357">
        <f t="shared" ca="1" si="5"/>
        <v>0</v>
      </c>
    </row>
    <row r="358" spans="2:4">
      <c r="B358">
        <v>357</v>
      </c>
      <c r="C358" t="b">
        <f>B358&lt;=A1</f>
        <v>0</v>
      </c>
      <c r="D358">
        <f t="shared" ca="1" si="5"/>
        <v>0</v>
      </c>
    </row>
    <row r="359" spans="2:4">
      <c r="B359">
        <v>358</v>
      </c>
      <c r="C359" t="b">
        <f>B359&lt;=A1</f>
        <v>0</v>
      </c>
      <c r="D359">
        <f t="shared" ca="1" si="5"/>
        <v>0</v>
      </c>
    </row>
    <row r="360" spans="2:4">
      <c r="B360">
        <v>359</v>
      </c>
      <c r="C360" t="b">
        <f>B360&lt;=A1</f>
        <v>0</v>
      </c>
      <c r="D360">
        <f t="shared" ca="1" si="5"/>
        <v>0</v>
      </c>
    </row>
    <row r="361" spans="2:4">
      <c r="B361">
        <v>360</v>
      </c>
      <c r="C361" t="b">
        <f>B361&lt;=A1</f>
        <v>0</v>
      </c>
      <c r="D361">
        <f t="shared" ca="1" si="5"/>
        <v>0</v>
      </c>
    </row>
    <row r="362" spans="2:4">
      <c r="B362">
        <v>361</v>
      </c>
      <c r="C362" t="b">
        <f>B362&lt;=A1</f>
        <v>0</v>
      </c>
      <c r="D362">
        <f t="shared" ca="1" si="5"/>
        <v>0</v>
      </c>
    </row>
    <row r="363" spans="2:4">
      <c r="B363">
        <v>362</v>
      </c>
      <c r="C363" t="b">
        <f>B363&lt;=A1</f>
        <v>0</v>
      </c>
      <c r="D363">
        <f t="shared" ca="1" si="5"/>
        <v>0</v>
      </c>
    </row>
    <row r="364" spans="2:4">
      <c r="B364">
        <v>363</v>
      </c>
      <c r="C364" t="b">
        <f>B364&lt;=A1</f>
        <v>0</v>
      </c>
      <c r="D364">
        <f t="shared" ca="1" si="5"/>
        <v>0</v>
      </c>
    </row>
    <row r="365" spans="2:4">
      <c r="B365">
        <v>364</v>
      </c>
      <c r="C365" t="b">
        <f>B365&lt;=A1</f>
        <v>0</v>
      </c>
      <c r="D365">
        <f t="shared" ca="1" si="5"/>
        <v>0</v>
      </c>
    </row>
    <row r="366" spans="2:4">
      <c r="B366">
        <v>365</v>
      </c>
      <c r="C366" t="b">
        <f>B366&lt;=A1</f>
        <v>0</v>
      </c>
      <c r="D366">
        <f t="shared" ca="1" si="5"/>
        <v>0</v>
      </c>
    </row>
    <row r="367" spans="2:4">
      <c r="B367">
        <v>366</v>
      </c>
      <c r="C367" t="b">
        <f>B367&lt;=A1</f>
        <v>0</v>
      </c>
      <c r="D367">
        <f t="shared" ca="1" si="5"/>
        <v>0</v>
      </c>
    </row>
    <row r="368" spans="2:4">
      <c r="B368">
        <v>367</v>
      </c>
      <c r="C368" t="b">
        <f>B368&lt;=A1</f>
        <v>0</v>
      </c>
      <c r="D368">
        <f t="shared" ca="1" si="5"/>
        <v>0</v>
      </c>
    </row>
    <row r="369" spans="2:4">
      <c r="B369">
        <v>368</v>
      </c>
      <c r="C369" t="b">
        <f>B369&lt;=A1</f>
        <v>0</v>
      </c>
      <c r="D369">
        <f t="shared" ca="1" si="5"/>
        <v>0</v>
      </c>
    </row>
    <row r="370" spans="2:4">
      <c r="B370">
        <v>369</v>
      </c>
      <c r="C370" t="b">
        <f>B370&lt;=A1</f>
        <v>0</v>
      </c>
      <c r="D370">
        <f t="shared" ca="1" si="5"/>
        <v>0</v>
      </c>
    </row>
    <row r="371" spans="2:4">
      <c r="B371">
        <v>370</v>
      </c>
      <c r="C371" t="b">
        <f>B371&lt;=A1</f>
        <v>0</v>
      </c>
      <c r="D371">
        <f t="shared" ca="1" si="5"/>
        <v>0</v>
      </c>
    </row>
    <row r="372" spans="2:4">
      <c r="B372">
        <v>371</v>
      </c>
      <c r="C372" t="b">
        <f>B372&lt;=A1</f>
        <v>0</v>
      </c>
      <c r="D372">
        <f t="shared" ca="1" si="5"/>
        <v>0</v>
      </c>
    </row>
    <row r="373" spans="2:4">
      <c r="B373">
        <v>372</v>
      </c>
      <c r="C373" t="b">
        <f>B373&lt;=A1</f>
        <v>0</v>
      </c>
      <c r="D373">
        <f t="shared" ca="1" si="5"/>
        <v>0</v>
      </c>
    </row>
    <row r="374" spans="2:4">
      <c r="B374">
        <v>373</v>
      </c>
      <c r="C374" t="b">
        <f>B374&lt;=A1</f>
        <v>0</v>
      </c>
      <c r="D374">
        <f t="shared" ca="1" si="5"/>
        <v>0</v>
      </c>
    </row>
    <row r="375" spans="2:4">
      <c r="B375">
        <v>374</v>
      </c>
      <c r="C375" t="b">
        <f>B375&lt;=A1</f>
        <v>0</v>
      </c>
      <c r="D375">
        <f t="shared" ca="1" si="5"/>
        <v>0</v>
      </c>
    </row>
    <row r="376" spans="2:4">
      <c r="B376">
        <v>375</v>
      </c>
      <c r="C376" t="b">
        <f>B376&lt;=A1</f>
        <v>0</v>
      </c>
      <c r="D376">
        <f t="shared" ca="1" si="5"/>
        <v>0</v>
      </c>
    </row>
    <row r="377" spans="2:4">
      <c r="B377">
        <v>376</v>
      </c>
      <c r="C377" t="b">
        <f>B377&lt;=A1</f>
        <v>0</v>
      </c>
      <c r="D377">
        <f t="shared" ca="1" si="5"/>
        <v>0</v>
      </c>
    </row>
    <row r="378" spans="2:4">
      <c r="B378">
        <v>377</v>
      </c>
      <c r="C378" t="b">
        <f>B378&lt;=A1</f>
        <v>0</v>
      </c>
      <c r="D378">
        <f t="shared" ca="1" si="5"/>
        <v>0</v>
      </c>
    </row>
    <row r="379" spans="2:4">
      <c r="B379">
        <v>378</v>
      </c>
      <c r="C379" t="b">
        <f>B379&lt;=A1</f>
        <v>0</v>
      </c>
      <c r="D379">
        <f t="shared" ca="1" si="5"/>
        <v>0</v>
      </c>
    </row>
    <row r="380" spans="2:4">
      <c r="B380">
        <v>379</v>
      </c>
      <c r="C380" t="b">
        <f>B380&lt;=A1</f>
        <v>0</v>
      </c>
      <c r="D380">
        <f t="shared" ca="1" si="5"/>
        <v>0</v>
      </c>
    </row>
    <row r="381" spans="2:4">
      <c r="B381">
        <v>380</v>
      </c>
      <c r="C381" t="b">
        <f>B381&lt;=A1</f>
        <v>0</v>
      </c>
      <c r="D381">
        <f t="shared" ca="1" si="5"/>
        <v>0</v>
      </c>
    </row>
    <row r="382" spans="2:4">
      <c r="B382">
        <v>381</v>
      </c>
      <c r="C382" t="b">
        <f>B382&lt;=A1</f>
        <v>0</v>
      </c>
      <c r="D382">
        <f t="shared" ca="1" si="5"/>
        <v>0</v>
      </c>
    </row>
    <row r="383" spans="2:4">
      <c r="B383">
        <v>382</v>
      </c>
      <c r="C383" t="b">
        <f>B383&lt;=A1</f>
        <v>0</v>
      </c>
      <c r="D383">
        <f t="shared" ca="1" si="5"/>
        <v>0</v>
      </c>
    </row>
    <row r="384" spans="2:4">
      <c r="B384">
        <v>383</v>
      </c>
      <c r="C384" t="b">
        <f>B384&lt;=A1</f>
        <v>0</v>
      </c>
      <c r="D384">
        <f t="shared" ca="1" si="5"/>
        <v>0</v>
      </c>
    </row>
    <row r="385" spans="2:4">
      <c r="B385">
        <v>384</v>
      </c>
      <c r="C385" t="b">
        <f>B385&lt;=A1</f>
        <v>0</v>
      </c>
      <c r="D385">
        <f t="shared" ca="1" si="5"/>
        <v>0</v>
      </c>
    </row>
    <row r="386" spans="2:4">
      <c r="B386">
        <v>385</v>
      </c>
      <c r="C386" t="b">
        <f>B386&lt;=A1</f>
        <v>0</v>
      </c>
      <c r="D386">
        <f t="shared" ref="D386:D449" ca="1" si="6">IF(C386,INDIRECT("person_db!B"&amp;(B386+1)),INDIRECT("person!B"&amp;(B386-$A$1+1)))</f>
        <v>0</v>
      </c>
    </row>
    <row r="387" spans="2:4">
      <c r="B387">
        <v>386</v>
      </c>
      <c r="C387" t="b">
        <f>B387&lt;=A1</f>
        <v>0</v>
      </c>
      <c r="D387">
        <f t="shared" ca="1" si="6"/>
        <v>0</v>
      </c>
    </row>
    <row r="388" spans="2:4">
      <c r="B388">
        <v>387</v>
      </c>
      <c r="C388" t="b">
        <f>B388&lt;=A1</f>
        <v>0</v>
      </c>
      <c r="D388">
        <f t="shared" ca="1" si="6"/>
        <v>0</v>
      </c>
    </row>
    <row r="389" spans="2:4">
      <c r="B389">
        <v>388</v>
      </c>
      <c r="C389" t="b">
        <f>B389&lt;=A1</f>
        <v>0</v>
      </c>
      <c r="D389">
        <f t="shared" ca="1" si="6"/>
        <v>0</v>
      </c>
    </row>
    <row r="390" spans="2:4">
      <c r="B390">
        <v>389</v>
      </c>
      <c r="C390" t="b">
        <f>B390&lt;=A1</f>
        <v>0</v>
      </c>
      <c r="D390">
        <f t="shared" ca="1" si="6"/>
        <v>0</v>
      </c>
    </row>
    <row r="391" spans="2:4">
      <c r="B391">
        <v>390</v>
      </c>
      <c r="C391" t="b">
        <f>B391&lt;=A1</f>
        <v>0</v>
      </c>
      <c r="D391">
        <f t="shared" ca="1" si="6"/>
        <v>0</v>
      </c>
    </row>
    <row r="392" spans="2:4">
      <c r="B392">
        <v>391</v>
      </c>
      <c r="C392" t="b">
        <f>B392&lt;=A1</f>
        <v>0</v>
      </c>
      <c r="D392">
        <f t="shared" ca="1" si="6"/>
        <v>0</v>
      </c>
    </row>
    <row r="393" spans="2:4">
      <c r="B393">
        <v>392</v>
      </c>
      <c r="C393" t="b">
        <f>B393&lt;=A1</f>
        <v>0</v>
      </c>
      <c r="D393">
        <f t="shared" ca="1" si="6"/>
        <v>0</v>
      </c>
    </row>
    <row r="394" spans="2:4">
      <c r="B394">
        <v>393</v>
      </c>
      <c r="C394" t="b">
        <f>B394&lt;=A1</f>
        <v>0</v>
      </c>
      <c r="D394">
        <f t="shared" ca="1" si="6"/>
        <v>0</v>
      </c>
    </row>
    <row r="395" spans="2:4">
      <c r="B395">
        <v>394</v>
      </c>
      <c r="C395" t="b">
        <f>B395&lt;=A1</f>
        <v>0</v>
      </c>
      <c r="D395">
        <f t="shared" ca="1" si="6"/>
        <v>0</v>
      </c>
    </row>
    <row r="396" spans="2:4">
      <c r="B396">
        <v>395</v>
      </c>
      <c r="C396" t="b">
        <f>B396&lt;=A1</f>
        <v>0</v>
      </c>
      <c r="D396">
        <f t="shared" ca="1" si="6"/>
        <v>0</v>
      </c>
    </row>
    <row r="397" spans="2:4">
      <c r="B397">
        <v>396</v>
      </c>
      <c r="C397" t="b">
        <f>B397&lt;=A1</f>
        <v>0</v>
      </c>
      <c r="D397">
        <f t="shared" ca="1" si="6"/>
        <v>0</v>
      </c>
    </row>
    <row r="398" spans="2:4">
      <c r="B398">
        <v>397</v>
      </c>
      <c r="C398" t="b">
        <f>B398&lt;=A1</f>
        <v>0</v>
      </c>
      <c r="D398">
        <f t="shared" ca="1" si="6"/>
        <v>0</v>
      </c>
    </row>
    <row r="399" spans="2:4">
      <c r="B399">
        <v>398</v>
      </c>
      <c r="C399" t="b">
        <f>B399&lt;=A1</f>
        <v>0</v>
      </c>
      <c r="D399">
        <f t="shared" ca="1" si="6"/>
        <v>0</v>
      </c>
    </row>
    <row r="400" spans="2:4">
      <c r="B400">
        <v>399</v>
      </c>
      <c r="C400" t="b">
        <f>B400&lt;=A1</f>
        <v>0</v>
      </c>
      <c r="D400">
        <f t="shared" ca="1" si="6"/>
        <v>0</v>
      </c>
    </row>
    <row r="401" spans="2:4">
      <c r="B401">
        <v>400</v>
      </c>
      <c r="C401" t="b">
        <f>B401&lt;=A1</f>
        <v>0</v>
      </c>
      <c r="D401">
        <f t="shared" ca="1" si="6"/>
        <v>0</v>
      </c>
    </row>
    <row r="402" spans="2:4">
      <c r="B402">
        <v>401</v>
      </c>
      <c r="C402" t="b">
        <f>B402&lt;=A1</f>
        <v>0</v>
      </c>
      <c r="D402">
        <f t="shared" ca="1" si="6"/>
        <v>0</v>
      </c>
    </row>
    <row r="403" spans="2:4">
      <c r="B403">
        <v>402</v>
      </c>
      <c r="C403" t="b">
        <f>B403&lt;=A1</f>
        <v>0</v>
      </c>
      <c r="D403">
        <f t="shared" ca="1" si="6"/>
        <v>0</v>
      </c>
    </row>
    <row r="404" spans="2:4">
      <c r="B404">
        <v>403</v>
      </c>
      <c r="C404" t="b">
        <f>B404&lt;=A1</f>
        <v>0</v>
      </c>
      <c r="D404">
        <f t="shared" ca="1" si="6"/>
        <v>0</v>
      </c>
    </row>
    <row r="405" spans="2:4">
      <c r="B405">
        <v>404</v>
      </c>
      <c r="C405" t="b">
        <f>B405&lt;=A1</f>
        <v>0</v>
      </c>
      <c r="D405">
        <f t="shared" ca="1" si="6"/>
        <v>0</v>
      </c>
    </row>
    <row r="406" spans="2:4">
      <c r="B406">
        <v>405</v>
      </c>
      <c r="C406" t="b">
        <f>B406&lt;=A1</f>
        <v>0</v>
      </c>
      <c r="D406">
        <f t="shared" ca="1" si="6"/>
        <v>0</v>
      </c>
    </row>
    <row r="407" spans="2:4">
      <c r="B407">
        <v>406</v>
      </c>
      <c r="C407" t="b">
        <f>B407&lt;=A1</f>
        <v>0</v>
      </c>
      <c r="D407">
        <f t="shared" ca="1" si="6"/>
        <v>0</v>
      </c>
    </row>
    <row r="408" spans="2:4">
      <c r="B408">
        <v>407</v>
      </c>
      <c r="C408" t="b">
        <f>B408&lt;=A1</f>
        <v>0</v>
      </c>
      <c r="D408">
        <f t="shared" ca="1" si="6"/>
        <v>0</v>
      </c>
    </row>
    <row r="409" spans="2:4">
      <c r="B409">
        <v>408</v>
      </c>
      <c r="C409" t="b">
        <f>B409&lt;=A1</f>
        <v>0</v>
      </c>
      <c r="D409">
        <f t="shared" ca="1" si="6"/>
        <v>0</v>
      </c>
    </row>
    <row r="410" spans="2:4">
      <c r="B410">
        <v>409</v>
      </c>
      <c r="C410" t="b">
        <f>B410&lt;=A1</f>
        <v>0</v>
      </c>
      <c r="D410">
        <f t="shared" ca="1" si="6"/>
        <v>0</v>
      </c>
    </row>
    <row r="411" spans="2:4">
      <c r="B411">
        <v>410</v>
      </c>
      <c r="C411" t="b">
        <f>B411&lt;=A1</f>
        <v>0</v>
      </c>
      <c r="D411">
        <f t="shared" ca="1" si="6"/>
        <v>0</v>
      </c>
    </row>
    <row r="412" spans="2:4">
      <c r="B412">
        <v>411</v>
      </c>
      <c r="C412" t="b">
        <f>B412&lt;=A1</f>
        <v>0</v>
      </c>
      <c r="D412">
        <f t="shared" ca="1" si="6"/>
        <v>0</v>
      </c>
    </row>
    <row r="413" spans="2:4">
      <c r="B413">
        <v>412</v>
      </c>
      <c r="C413" t="b">
        <f>B413&lt;=A1</f>
        <v>0</v>
      </c>
      <c r="D413">
        <f t="shared" ca="1" si="6"/>
        <v>0</v>
      </c>
    </row>
    <row r="414" spans="2:4">
      <c r="B414">
        <v>413</v>
      </c>
      <c r="C414" t="b">
        <f>B414&lt;=A1</f>
        <v>0</v>
      </c>
      <c r="D414">
        <f t="shared" ca="1" si="6"/>
        <v>0</v>
      </c>
    </row>
    <row r="415" spans="2:4">
      <c r="B415">
        <v>414</v>
      </c>
      <c r="C415" t="b">
        <f>B415&lt;=A1</f>
        <v>0</v>
      </c>
      <c r="D415">
        <f t="shared" ca="1" si="6"/>
        <v>0</v>
      </c>
    </row>
    <row r="416" spans="2:4">
      <c r="B416">
        <v>415</v>
      </c>
      <c r="C416" t="b">
        <f>B416&lt;=A1</f>
        <v>0</v>
      </c>
      <c r="D416">
        <f t="shared" ca="1" si="6"/>
        <v>0</v>
      </c>
    </row>
    <row r="417" spans="2:4">
      <c r="B417">
        <v>416</v>
      </c>
      <c r="C417" t="b">
        <f>B417&lt;=A1</f>
        <v>0</v>
      </c>
      <c r="D417">
        <f t="shared" ca="1" si="6"/>
        <v>0</v>
      </c>
    </row>
    <row r="418" spans="2:4">
      <c r="B418">
        <v>417</v>
      </c>
      <c r="C418" t="b">
        <f>B418&lt;=A1</f>
        <v>0</v>
      </c>
      <c r="D418">
        <f t="shared" ca="1" si="6"/>
        <v>0</v>
      </c>
    </row>
    <row r="419" spans="2:4">
      <c r="B419">
        <v>418</v>
      </c>
      <c r="C419" t="b">
        <f>B419&lt;=A1</f>
        <v>0</v>
      </c>
      <c r="D419">
        <f t="shared" ca="1" si="6"/>
        <v>0</v>
      </c>
    </row>
    <row r="420" spans="2:4">
      <c r="B420">
        <v>419</v>
      </c>
      <c r="C420" t="b">
        <f>B420&lt;=A1</f>
        <v>0</v>
      </c>
      <c r="D420">
        <f t="shared" ca="1" si="6"/>
        <v>0</v>
      </c>
    </row>
    <row r="421" spans="2:4">
      <c r="B421">
        <v>420</v>
      </c>
      <c r="C421" t="b">
        <f>B421&lt;=A1</f>
        <v>0</v>
      </c>
      <c r="D421">
        <f t="shared" ca="1" si="6"/>
        <v>0</v>
      </c>
    </row>
    <row r="422" spans="2:4">
      <c r="B422">
        <v>421</v>
      </c>
      <c r="C422" t="b">
        <f>B422&lt;=A1</f>
        <v>0</v>
      </c>
      <c r="D422">
        <f t="shared" ca="1" si="6"/>
        <v>0</v>
      </c>
    </row>
    <row r="423" spans="2:4">
      <c r="B423">
        <v>422</v>
      </c>
      <c r="C423" t="b">
        <f>B423&lt;=A1</f>
        <v>0</v>
      </c>
      <c r="D423">
        <f t="shared" ca="1" si="6"/>
        <v>0</v>
      </c>
    </row>
    <row r="424" spans="2:4">
      <c r="B424">
        <v>423</v>
      </c>
      <c r="C424" t="b">
        <f>B424&lt;=A1</f>
        <v>0</v>
      </c>
      <c r="D424">
        <f t="shared" ca="1" si="6"/>
        <v>0</v>
      </c>
    </row>
    <row r="425" spans="2:4">
      <c r="B425">
        <v>424</v>
      </c>
      <c r="C425" t="b">
        <f>B425&lt;=A1</f>
        <v>0</v>
      </c>
      <c r="D425">
        <f t="shared" ca="1" si="6"/>
        <v>0</v>
      </c>
    </row>
    <row r="426" spans="2:4">
      <c r="B426">
        <v>425</v>
      </c>
      <c r="C426" t="b">
        <f>B426&lt;=A1</f>
        <v>0</v>
      </c>
      <c r="D426">
        <f t="shared" ca="1" si="6"/>
        <v>0</v>
      </c>
    </row>
    <row r="427" spans="2:4">
      <c r="B427">
        <v>426</v>
      </c>
      <c r="C427" t="b">
        <f>B427&lt;=A1</f>
        <v>0</v>
      </c>
      <c r="D427">
        <f t="shared" ca="1" si="6"/>
        <v>0</v>
      </c>
    </row>
    <row r="428" spans="2:4">
      <c r="B428">
        <v>427</v>
      </c>
      <c r="C428" t="b">
        <f>B428&lt;=A1</f>
        <v>0</v>
      </c>
      <c r="D428">
        <f t="shared" ca="1" si="6"/>
        <v>0</v>
      </c>
    </row>
    <row r="429" spans="2:4">
      <c r="B429">
        <v>428</v>
      </c>
      <c r="C429" t="b">
        <f>B429&lt;=A1</f>
        <v>0</v>
      </c>
      <c r="D429">
        <f t="shared" ca="1" si="6"/>
        <v>0</v>
      </c>
    </row>
    <row r="430" spans="2:4">
      <c r="B430">
        <v>429</v>
      </c>
      <c r="C430" t="b">
        <f>B430&lt;=A1</f>
        <v>0</v>
      </c>
      <c r="D430">
        <f t="shared" ca="1" si="6"/>
        <v>0</v>
      </c>
    </row>
    <row r="431" spans="2:4">
      <c r="B431">
        <v>430</v>
      </c>
      <c r="C431" t="b">
        <f>B431&lt;=A1</f>
        <v>0</v>
      </c>
      <c r="D431">
        <f t="shared" ca="1" si="6"/>
        <v>0</v>
      </c>
    </row>
    <row r="432" spans="2:4">
      <c r="B432">
        <v>431</v>
      </c>
      <c r="C432" t="b">
        <f>B432&lt;=A1</f>
        <v>0</v>
      </c>
      <c r="D432">
        <f t="shared" ca="1" si="6"/>
        <v>0</v>
      </c>
    </row>
    <row r="433" spans="2:4">
      <c r="B433">
        <v>432</v>
      </c>
      <c r="C433" t="b">
        <f>B433&lt;=A1</f>
        <v>0</v>
      </c>
      <c r="D433">
        <f t="shared" ca="1" si="6"/>
        <v>0</v>
      </c>
    </row>
    <row r="434" spans="2:4">
      <c r="B434">
        <v>433</v>
      </c>
      <c r="C434" t="b">
        <f>B434&lt;=A1</f>
        <v>0</v>
      </c>
      <c r="D434">
        <f t="shared" ca="1" si="6"/>
        <v>0</v>
      </c>
    </row>
    <row r="435" spans="2:4">
      <c r="B435">
        <v>434</v>
      </c>
      <c r="C435" t="b">
        <f>B435&lt;=A1</f>
        <v>0</v>
      </c>
      <c r="D435">
        <f t="shared" ca="1" si="6"/>
        <v>0</v>
      </c>
    </row>
    <row r="436" spans="2:4">
      <c r="B436">
        <v>435</v>
      </c>
      <c r="C436" t="b">
        <f>B436&lt;=A1</f>
        <v>0</v>
      </c>
      <c r="D436">
        <f t="shared" ca="1" si="6"/>
        <v>0</v>
      </c>
    </row>
    <row r="437" spans="2:4">
      <c r="B437">
        <v>436</v>
      </c>
      <c r="C437" t="b">
        <f>B437&lt;=A1</f>
        <v>0</v>
      </c>
      <c r="D437">
        <f t="shared" ca="1" si="6"/>
        <v>0</v>
      </c>
    </row>
    <row r="438" spans="2:4">
      <c r="B438">
        <v>437</v>
      </c>
      <c r="C438" t="b">
        <f>B438&lt;=A1</f>
        <v>0</v>
      </c>
      <c r="D438">
        <f t="shared" ca="1" si="6"/>
        <v>0</v>
      </c>
    </row>
    <row r="439" spans="2:4">
      <c r="B439">
        <v>438</v>
      </c>
      <c r="C439" t="b">
        <f>B439&lt;=A1</f>
        <v>0</v>
      </c>
      <c r="D439">
        <f t="shared" ca="1" si="6"/>
        <v>0</v>
      </c>
    </row>
    <row r="440" spans="2:4">
      <c r="B440">
        <v>439</v>
      </c>
      <c r="C440" t="b">
        <f>B440&lt;=A1</f>
        <v>0</v>
      </c>
      <c r="D440">
        <f t="shared" ca="1" si="6"/>
        <v>0</v>
      </c>
    </row>
    <row r="441" spans="2:4">
      <c r="B441">
        <v>440</v>
      </c>
      <c r="C441" t="b">
        <f>B441&lt;=A1</f>
        <v>0</v>
      </c>
      <c r="D441">
        <f t="shared" ca="1" si="6"/>
        <v>0</v>
      </c>
    </row>
    <row r="442" spans="2:4">
      <c r="B442">
        <v>441</v>
      </c>
      <c r="C442" t="b">
        <f>B442&lt;=A1</f>
        <v>0</v>
      </c>
      <c r="D442">
        <f t="shared" ca="1" si="6"/>
        <v>0</v>
      </c>
    </row>
    <row r="443" spans="2:4">
      <c r="B443">
        <v>442</v>
      </c>
      <c r="C443" t="b">
        <f>B443&lt;=A1</f>
        <v>0</v>
      </c>
      <c r="D443">
        <f t="shared" ca="1" si="6"/>
        <v>0</v>
      </c>
    </row>
    <row r="444" spans="2:4">
      <c r="B444">
        <v>443</v>
      </c>
      <c r="C444" t="b">
        <f>B444&lt;=A1</f>
        <v>0</v>
      </c>
      <c r="D444">
        <f t="shared" ca="1" si="6"/>
        <v>0</v>
      </c>
    </row>
    <row r="445" spans="2:4">
      <c r="B445">
        <v>444</v>
      </c>
      <c r="C445" t="b">
        <f>B445&lt;=A1</f>
        <v>0</v>
      </c>
      <c r="D445">
        <f t="shared" ca="1" si="6"/>
        <v>0</v>
      </c>
    </row>
    <row r="446" spans="2:4">
      <c r="B446">
        <v>445</v>
      </c>
      <c r="C446" t="b">
        <f>B446&lt;=A1</f>
        <v>0</v>
      </c>
      <c r="D446">
        <f t="shared" ca="1" si="6"/>
        <v>0</v>
      </c>
    </row>
    <row r="447" spans="2:4">
      <c r="B447">
        <v>446</v>
      </c>
      <c r="C447" t="b">
        <f>B447&lt;=A1</f>
        <v>0</v>
      </c>
      <c r="D447">
        <f t="shared" ca="1" si="6"/>
        <v>0</v>
      </c>
    </row>
    <row r="448" spans="2:4">
      <c r="B448">
        <v>447</v>
      </c>
      <c r="C448" t="b">
        <f>B448&lt;=A1</f>
        <v>0</v>
      </c>
      <c r="D448">
        <f t="shared" ca="1" si="6"/>
        <v>0</v>
      </c>
    </row>
    <row r="449" spans="2:4">
      <c r="B449">
        <v>448</v>
      </c>
      <c r="C449" t="b">
        <f>B449&lt;=A1</f>
        <v>0</v>
      </c>
      <c r="D449">
        <f t="shared" ca="1" si="6"/>
        <v>0</v>
      </c>
    </row>
    <row r="450" spans="2:4">
      <c r="B450">
        <v>449</v>
      </c>
      <c r="C450" t="b">
        <f>B450&lt;=A1</f>
        <v>0</v>
      </c>
      <c r="D450">
        <f t="shared" ref="D450:D513" ca="1" si="7">IF(C450,INDIRECT("person_db!B"&amp;(B450+1)),INDIRECT("person!B"&amp;(B450-$A$1+1)))</f>
        <v>0</v>
      </c>
    </row>
    <row r="451" spans="2:4">
      <c r="B451">
        <v>450</v>
      </c>
      <c r="C451" t="b">
        <f>B451&lt;=A1</f>
        <v>0</v>
      </c>
      <c r="D451">
        <f t="shared" ca="1" si="7"/>
        <v>0</v>
      </c>
    </row>
    <row r="452" spans="2:4">
      <c r="B452">
        <v>451</v>
      </c>
      <c r="C452" t="b">
        <f>B452&lt;=A1</f>
        <v>0</v>
      </c>
      <c r="D452">
        <f t="shared" ca="1" si="7"/>
        <v>0</v>
      </c>
    </row>
    <row r="453" spans="2:4">
      <c r="B453">
        <v>452</v>
      </c>
      <c r="C453" t="b">
        <f>B453&lt;=A1</f>
        <v>0</v>
      </c>
      <c r="D453">
        <f t="shared" ca="1" si="7"/>
        <v>0</v>
      </c>
    </row>
    <row r="454" spans="2:4">
      <c r="B454">
        <v>453</v>
      </c>
      <c r="C454" t="b">
        <f>B454&lt;=A1</f>
        <v>0</v>
      </c>
      <c r="D454">
        <f t="shared" ca="1" si="7"/>
        <v>0</v>
      </c>
    </row>
    <row r="455" spans="2:4">
      <c r="B455">
        <v>454</v>
      </c>
      <c r="C455" t="b">
        <f>B455&lt;=A1</f>
        <v>0</v>
      </c>
      <c r="D455">
        <f t="shared" ca="1" si="7"/>
        <v>0</v>
      </c>
    </row>
    <row r="456" spans="2:4">
      <c r="B456">
        <v>455</v>
      </c>
      <c r="C456" t="b">
        <f>B456&lt;=A1</f>
        <v>0</v>
      </c>
      <c r="D456">
        <f t="shared" ca="1" si="7"/>
        <v>0</v>
      </c>
    </row>
    <row r="457" spans="2:4">
      <c r="B457">
        <v>456</v>
      </c>
      <c r="C457" t="b">
        <f>B457&lt;=A1</f>
        <v>0</v>
      </c>
      <c r="D457">
        <f t="shared" ca="1" si="7"/>
        <v>0</v>
      </c>
    </row>
    <row r="458" spans="2:4">
      <c r="B458">
        <v>457</v>
      </c>
      <c r="C458" t="b">
        <f>B458&lt;=A1</f>
        <v>0</v>
      </c>
      <c r="D458">
        <f t="shared" ca="1" si="7"/>
        <v>0</v>
      </c>
    </row>
    <row r="459" spans="2:4">
      <c r="B459">
        <v>458</v>
      </c>
      <c r="C459" t="b">
        <f>B459&lt;=A1</f>
        <v>0</v>
      </c>
      <c r="D459">
        <f t="shared" ca="1" si="7"/>
        <v>0</v>
      </c>
    </row>
    <row r="460" spans="2:4">
      <c r="B460">
        <v>459</v>
      </c>
      <c r="C460" t="b">
        <f>B460&lt;=A1</f>
        <v>0</v>
      </c>
      <c r="D460">
        <f t="shared" ca="1" si="7"/>
        <v>0</v>
      </c>
    </row>
    <row r="461" spans="2:4">
      <c r="B461">
        <v>460</v>
      </c>
      <c r="C461" t="b">
        <f>B461&lt;=A1</f>
        <v>0</v>
      </c>
      <c r="D461">
        <f t="shared" ca="1" si="7"/>
        <v>0</v>
      </c>
    </row>
    <row r="462" spans="2:4">
      <c r="B462">
        <v>461</v>
      </c>
      <c r="C462" t="b">
        <f>B462&lt;=A1</f>
        <v>0</v>
      </c>
      <c r="D462">
        <f t="shared" ca="1" si="7"/>
        <v>0</v>
      </c>
    </row>
    <row r="463" spans="2:4">
      <c r="B463">
        <v>462</v>
      </c>
      <c r="C463" t="b">
        <f>B463&lt;=A1</f>
        <v>0</v>
      </c>
      <c r="D463">
        <f t="shared" ca="1" si="7"/>
        <v>0</v>
      </c>
    </row>
    <row r="464" spans="2:4">
      <c r="B464">
        <v>463</v>
      </c>
      <c r="C464" t="b">
        <f>B464&lt;=A1</f>
        <v>0</v>
      </c>
      <c r="D464">
        <f t="shared" ca="1" si="7"/>
        <v>0</v>
      </c>
    </row>
    <row r="465" spans="2:4">
      <c r="B465">
        <v>464</v>
      </c>
      <c r="C465" t="b">
        <f>B465&lt;=A1</f>
        <v>0</v>
      </c>
      <c r="D465">
        <f t="shared" ca="1" si="7"/>
        <v>0</v>
      </c>
    </row>
    <row r="466" spans="2:4">
      <c r="B466">
        <v>465</v>
      </c>
      <c r="C466" t="b">
        <f>B466&lt;=A1</f>
        <v>0</v>
      </c>
      <c r="D466">
        <f t="shared" ca="1" si="7"/>
        <v>0</v>
      </c>
    </row>
    <row r="467" spans="2:4">
      <c r="B467">
        <v>466</v>
      </c>
      <c r="C467" t="b">
        <f>B467&lt;=A1</f>
        <v>0</v>
      </c>
      <c r="D467">
        <f t="shared" ca="1" si="7"/>
        <v>0</v>
      </c>
    </row>
    <row r="468" spans="2:4">
      <c r="B468">
        <v>467</v>
      </c>
      <c r="C468" t="b">
        <f>B468&lt;=A1</f>
        <v>0</v>
      </c>
      <c r="D468">
        <f t="shared" ca="1" si="7"/>
        <v>0</v>
      </c>
    </row>
    <row r="469" spans="2:4">
      <c r="B469">
        <v>468</v>
      </c>
      <c r="C469" t="b">
        <f>B469&lt;=A1</f>
        <v>0</v>
      </c>
      <c r="D469">
        <f t="shared" ca="1" si="7"/>
        <v>0</v>
      </c>
    </row>
    <row r="470" spans="2:4">
      <c r="B470">
        <v>469</v>
      </c>
      <c r="C470" t="b">
        <f>B470&lt;=A1</f>
        <v>0</v>
      </c>
      <c r="D470">
        <f t="shared" ca="1" si="7"/>
        <v>0</v>
      </c>
    </row>
    <row r="471" spans="2:4">
      <c r="B471">
        <v>470</v>
      </c>
      <c r="C471" t="b">
        <f>B471&lt;=A1</f>
        <v>0</v>
      </c>
      <c r="D471">
        <f t="shared" ca="1" si="7"/>
        <v>0</v>
      </c>
    </row>
    <row r="472" spans="2:4">
      <c r="B472">
        <v>471</v>
      </c>
      <c r="C472" t="b">
        <f>B472&lt;=A1</f>
        <v>0</v>
      </c>
      <c r="D472">
        <f t="shared" ca="1" si="7"/>
        <v>0</v>
      </c>
    </row>
    <row r="473" spans="2:4">
      <c r="B473">
        <v>472</v>
      </c>
      <c r="C473" t="b">
        <f>B473&lt;=A1</f>
        <v>0</v>
      </c>
      <c r="D473">
        <f t="shared" ca="1" si="7"/>
        <v>0</v>
      </c>
    </row>
    <row r="474" spans="2:4">
      <c r="B474">
        <v>473</v>
      </c>
      <c r="C474" t="b">
        <f>B474&lt;=A1</f>
        <v>0</v>
      </c>
      <c r="D474">
        <f t="shared" ca="1" si="7"/>
        <v>0</v>
      </c>
    </row>
    <row r="475" spans="2:4">
      <c r="B475">
        <v>474</v>
      </c>
      <c r="C475" t="b">
        <f>B475&lt;=A1</f>
        <v>0</v>
      </c>
      <c r="D475">
        <f t="shared" ca="1" si="7"/>
        <v>0</v>
      </c>
    </row>
    <row r="476" spans="2:4">
      <c r="B476">
        <v>475</v>
      </c>
      <c r="C476" t="b">
        <f>B476&lt;=A1</f>
        <v>0</v>
      </c>
      <c r="D476">
        <f t="shared" ca="1" si="7"/>
        <v>0</v>
      </c>
    </row>
    <row r="477" spans="2:4">
      <c r="B477">
        <v>476</v>
      </c>
      <c r="C477" t="b">
        <f>B477&lt;=A1</f>
        <v>0</v>
      </c>
      <c r="D477">
        <f t="shared" ca="1" si="7"/>
        <v>0</v>
      </c>
    </row>
    <row r="478" spans="2:4">
      <c r="B478">
        <v>477</v>
      </c>
      <c r="C478" t="b">
        <f>B478&lt;=A1</f>
        <v>0</v>
      </c>
      <c r="D478">
        <f t="shared" ca="1" si="7"/>
        <v>0</v>
      </c>
    </row>
    <row r="479" spans="2:4">
      <c r="B479">
        <v>478</v>
      </c>
      <c r="C479" t="b">
        <f>B479&lt;=A1</f>
        <v>0</v>
      </c>
      <c r="D479">
        <f t="shared" ca="1" si="7"/>
        <v>0</v>
      </c>
    </row>
    <row r="480" spans="2:4">
      <c r="B480">
        <v>479</v>
      </c>
      <c r="C480" t="b">
        <f>B480&lt;=A1</f>
        <v>0</v>
      </c>
      <c r="D480">
        <f t="shared" ca="1" si="7"/>
        <v>0</v>
      </c>
    </row>
    <row r="481" spans="2:4">
      <c r="B481">
        <v>480</v>
      </c>
      <c r="C481" t="b">
        <f>B481&lt;=A1</f>
        <v>0</v>
      </c>
      <c r="D481">
        <f t="shared" ca="1" si="7"/>
        <v>0</v>
      </c>
    </row>
    <row r="482" spans="2:4">
      <c r="B482">
        <v>481</v>
      </c>
      <c r="C482" t="b">
        <f>B482&lt;=A1</f>
        <v>0</v>
      </c>
      <c r="D482">
        <f t="shared" ca="1" si="7"/>
        <v>0</v>
      </c>
    </row>
    <row r="483" spans="2:4">
      <c r="B483">
        <v>482</v>
      </c>
      <c r="C483" t="b">
        <f>B483&lt;=A1</f>
        <v>0</v>
      </c>
      <c r="D483">
        <f t="shared" ca="1" si="7"/>
        <v>0</v>
      </c>
    </row>
    <row r="484" spans="2:4">
      <c r="B484">
        <v>483</v>
      </c>
      <c r="C484" t="b">
        <f>B484&lt;=A1</f>
        <v>0</v>
      </c>
      <c r="D484">
        <f t="shared" ca="1" si="7"/>
        <v>0</v>
      </c>
    </row>
    <row r="485" spans="2:4">
      <c r="B485">
        <v>484</v>
      </c>
      <c r="C485" t="b">
        <f>B485&lt;=A1</f>
        <v>0</v>
      </c>
      <c r="D485">
        <f t="shared" ca="1" si="7"/>
        <v>0</v>
      </c>
    </row>
    <row r="486" spans="2:4">
      <c r="B486">
        <v>485</v>
      </c>
      <c r="C486" t="b">
        <f>B486&lt;=A1</f>
        <v>0</v>
      </c>
      <c r="D486">
        <f t="shared" ca="1" si="7"/>
        <v>0</v>
      </c>
    </row>
    <row r="487" spans="2:4">
      <c r="B487">
        <v>486</v>
      </c>
      <c r="C487" t="b">
        <f>B487&lt;=A1</f>
        <v>0</v>
      </c>
      <c r="D487">
        <f t="shared" ca="1" si="7"/>
        <v>0</v>
      </c>
    </row>
    <row r="488" spans="2:4">
      <c r="B488">
        <v>487</v>
      </c>
      <c r="C488" t="b">
        <f>B488&lt;=A1</f>
        <v>0</v>
      </c>
      <c r="D488">
        <f t="shared" ca="1" si="7"/>
        <v>0</v>
      </c>
    </row>
    <row r="489" spans="2:4">
      <c r="B489">
        <v>488</v>
      </c>
      <c r="C489" t="b">
        <f>B489&lt;=A1</f>
        <v>0</v>
      </c>
      <c r="D489">
        <f t="shared" ca="1" si="7"/>
        <v>0</v>
      </c>
    </row>
    <row r="490" spans="2:4">
      <c r="B490">
        <v>489</v>
      </c>
      <c r="C490" t="b">
        <f>B490&lt;=A1</f>
        <v>0</v>
      </c>
      <c r="D490">
        <f t="shared" ca="1" si="7"/>
        <v>0</v>
      </c>
    </row>
    <row r="491" spans="2:4">
      <c r="B491">
        <v>490</v>
      </c>
      <c r="C491" t="b">
        <f>B491&lt;=A1</f>
        <v>0</v>
      </c>
      <c r="D491">
        <f t="shared" ca="1" si="7"/>
        <v>0</v>
      </c>
    </row>
    <row r="492" spans="2:4">
      <c r="B492">
        <v>491</v>
      </c>
      <c r="C492" t="b">
        <f>B492&lt;=A1</f>
        <v>0</v>
      </c>
      <c r="D492">
        <f t="shared" ca="1" si="7"/>
        <v>0</v>
      </c>
    </row>
    <row r="493" spans="2:4">
      <c r="B493">
        <v>492</v>
      </c>
      <c r="C493" t="b">
        <f>B493&lt;=A1</f>
        <v>0</v>
      </c>
      <c r="D493">
        <f t="shared" ca="1" si="7"/>
        <v>0</v>
      </c>
    </row>
    <row r="494" spans="2:4">
      <c r="B494">
        <v>493</v>
      </c>
      <c r="C494" t="b">
        <f>B494&lt;=A1</f>
        <v>0</v>
      </c>
      <c r="D494">
        <f t="shared" ca="1" si="7"/>
        <v>0</v>
      </c>
    </row>
    <row r="495" spans="2:4">
      <c r="B495">
        <v>494</v>
      </c>
      <c r="C495" t="b">
        <f>B495&lt;=A1</f>
        <v>0</v>
      </c>
      <c r="D495">
        <f t="shared" ca="1" si="7"/>
        <v>0</v>
      </c>
    </row>
    <row r="496" spans="2:4">
      <c r="B496">
        <v>495</v>
      </c>
      <c r="C496" t="b">
        <f>B496&lt;=A1</f>
        <v>0</v>
      </c>
      <c r="D496">
        <f t="shared" ca="1" si="7"/>
        <v>0</v>
      </c>
    </row>
    <row r="497" spans="2:4">
      <c r="B497">
        <v>496</v>
      </c>
      <c r="C497" t="b">
        <f>B497&lt;=A1</f>
        <v>0</v>
      </c>
      <c r="D497">
        <f t="shared" ca="1" si="7"/>
        <v>0</v>
      </c>
    </row>
    <row r="498" spans="2:4">
      <c r="B498">
        <v>497</v>
      </c>
      <c r="C498" t="b">
        <f>B498&lt;=A1</f>
        <v>0</v>
      </c>
      <c r="D498">
        <f t="shared" ca="1" si="7"/>
        <v>0</v>
      </c>
    </row>
    <row r="499" spans="2:4">
      <c r="B499">
        <v>498</v>
      </c>
      <c r="C499" t="b">
        <f>B499&lt;=A1</f>
        <v>0</v>
      </c>
      <c r="D499">
        <f t="shared" ca="1" si="7"/>
        <v>0</v>
      </c>
    </row>
    <row r="500" spans="2:4">
      <c r="B500">
        <v>499</v>
      </c>
      <c r="C500" t="b">
        <f>B500&lt;=A1</f>
        <v>0</v>
      </c>
      <c r="D500">
        <f t="shared" ca="1" si="7"/>
        <v>0</v>
      </c>
    </row>
    <row r="501" spans="2:4">
      <c r="B501">
        <v>500</v>
      </c>
      <c r="C501" t="b">
        <f>B501&lt;=A1</f>
        <v>0</v>
      </c>
      <c r="D501">
        <f t="shared" ca="1" si="7"/>
        <v>0</v>
      </c>
    </row>
    <row r="502" spans="2:4">
      <c r="B502">
        <v>501</v>
      </c>
      <c r="C502" t="b">
        <f>B502&lt;=A1</f>
        <v>0</v>
      </c>
      <c r="D502">
        <f t="shared" ca="1" si="7"/>
        <v>0</v>
      </c>
    </row>
    <row r="503" spans="2:4">
      <c r="B503">
        <v>502</v>
      </c>
      <c r="C503" t="b">
        <f>B503&lt;=A1</f>
        <v>0</v>
      </c>
      <c r="D503">
        <f t="shared" ca="1" si="7"/>
        <v>0</v>
      </c>
    </row>
    <row r="504" spans="2:4">
      <c r="B504">
        <v>503</v>
      </c>
      <c r="C504" t="b">
        <f>B504&lt;=A1</f>
        <v>0</v>
      </c>
      <c r="D504">
        <f t="shared" ca="1" si="7"/>
        <v>0</v>
      </c>
    </row>
    <row r="505" spans="2:4">
      <c r="B505">
        <v>504</v>
      </c>
      <c r="C505" t="b">
        <f>B505&lt;=A1</f>
        <v>0</v>
      </c>
      <c r="D505">
        <f t="shared" ca="1" si="7"/>
        <v>0</v>
      </c>
    </row>
    <row r="506" spans="2:4">
      <c r="B506">
        <v>505</v>
      </c>
      <c r="C506" t="b">
        <f>B506&lt;=A1</f>
        <v>0</v>
      </c>
      <c r="D506">
        <f t="shared" ca="1" si="7"/>
        <v>0</v>
      </c>
    </row>
    <row r="507" spans="2:4">
      <c r="B507">
        <v>506</v>
      </c>
      <c r="C507" t="b">
        <f>B507&lt;=A1</f>
        <v>0</v>
      </c>
      <c r="D507">
        <f t="shared" ca="1" si="7"/>
        <v>0</v>
      </c>
    </row>
    <row r="508" spans="2:4">
      <c r="B508">
        <v>507</v>
      </c>
      <c r="C508" t="b">
        <f>B508&lt;=A1</f>
        <v>0</v>
      </c>
      <c r="D508">
        <f t="shared" ca="1" si="7"/>
        <v>0</v>
      </c>
    </row>
    <row r="509" spans="2:4">
      <c r="B509">
        <v>508</v>
      </c>
      <c r="C509" t="b">
        <f>B509&lt;=A1</f>
        <v>0</v>
      </c>
      <c r="D509">
        <f t="shared" ca="1" si="7"/>
        <v>0</v>
      </c>
    </row>
    <row r="510" spans="2:4">
      <c r="B510">
        <v>509</v>
      </c>
      <c r="C510" t="b">
        <f>B510&lt;=A1</f>
        <v>0</v>
      </c>
      <c r="D510">
        <f t="shared" ca="1" si="7"/>
        <v>0</v>
      </c>
    </row>
    <row r="511" spans="2:4">
      <c r="B511">
        <v>510</v>
      </c>
      <c r="C511" t="b">
        <f>B511&lt;=A1</f>
        <v>0</v>
      </c>
      <c r="D511">
        <f t="shared" ca="1" si="7"/>
        <v>0</v>
      </c>
    </row>
    <row r="512" spans="2:4">
      <c r="B512">
        <v>511</v>
      </c>
      <c r="C512" t="b">
        <f>B512&lt;=A1</f>
        <v>0</v>
      </c>
      <c r="D512">
        <f t="shared" ca="1" si="7"/>
        <v>0</v>
      </c>
    </row>
    <row r="513" spans="2:4">
      <c r="B513">
        <v>512</v>
      </c>
      <c r="C513" t="b">
        <f>B513&lt;=A1</f>
        <v>0</v>
      </c>
      <c r="D513">
        <f t="shared" ca="1" si="7"/>
        <v>0</v>
      </c>
    </row>
    <row r="514" spans="2:4">
      <c r="B514">
        <v>513</v>
      </c>
      <c r="C514" t="b">
        <f>B514&lt;=A1</f>
        <v>0</v>
      </c>
      <c r="D514">
        <f t="shared" ref="D514:D577" ca="1" si="8">IF(C514,INDIRECT("person_db!B"&amp;(B514+1)),INDIRECT("person!B"&amp;(B514-$A$1+1)))</f>
        <v>0</v>
      </c>
    </row>
    <row r="515" spans="2:4">
      <c r="B515">
        <v>514</v>
      </c>
      <c r="C515" t="b">
        <f>B515&lt;=A1</f>
        <v>0</v>
      </c>
      <c r="D515">
        <f t="shared" ca="1" si="8"/>
        <v>0</v>
      </c>
    </row>
    <row r="516" spans="2:4">
      <c r="B516">
        <v>515</v>
      </c>
      <c r="C516" t="b">
        <f>B516&lt;=A1</f>
        <v>0</v>
      </c>
      <c r="D516">
        <f t="shared" ca="1" si="8"/>
        <v>0</v>
      </c>
    </row>
    <row r="517" spans="2:4">
      <c r="B517">
        <v>516</v>
      </c>
      <c r="C517" t="b">
        <f>B517&lt;=A1</f>
        <v>0</v>
      </c>
      <c r="D517">
        <f t="shared" ca="1" si="8"/>
        <v>0</v>
      </c>
    </row>
    <row r="518" spans="2:4">
      <c r="B518">
        <v>517</v>
      </c>
      <c r="C518" t="b">
        <f>B518&lt;=A1</f>
        <v>0</v>
      </c>
      <c r="D518">
        <f t="shared" ca="1" si="8"/>
        <v>0</v>
      </c>
    </row>
    <row r="519" spans="2:4">
      <c r="B519">
        <v>518</v>
      </c>
      <c r="C519" t="b">
        <f>B519&lt;=A1</f>
        <v>0</v>
      </c>
      <c r="D519">
        <f t="shared" ca="1" si="8"/>
        <v>0</v>
      </c>
    </row>
    <row r="520" spans="2:4">
      <c r="B520">
        <v>519</v>
      </c>
      <c r="C520" t="b">
        <f>B520&lt;=A1</f>
        <v>0</v>
      </c>
      <c r="D520">
        <f t="shared" ca="1" si="8"/>
        <v>0</v>
      </c>
    </row>
    <row r="521" spans="2:4">
      <c r="B521">
        <v>520</v>
      </c>
      <c r="C521" t="b">
        <f>B521&lt;=A1</f>
        <v>0</v>
      </c>
      <c r="D521">
        <f t="shared" ca="1" si="8"/>
        <v>0</v>
      </c>
    </row>
    <row r="522" spans="2:4">
      <c r="B522">
        <v>521</v>
      </c>
      <c r="C522" t="b">
        <f>B522&lt;=A1</f>
        <v>0</v>
      </c>
      <c r="D522">
        <f t="shared" ca="1" si="8"/>
        <v>0</v>
      </c>
    </row>
    <row r="523" spans="2:4">
      <c r="B523">
        <v>522</v>
      </c>
      <c r="C523" t="b">
        <f>B523&lt;=A1</f>
        <v>0</v>
      </c>
      <c r="D523">
        <f t="shared" ca="1" si="8"/>
        <v>0</v>
      </c>
    </row>
    <row r="524" spans="2:4">
      <c r="B524">
        <v>523</v>
      </c>
      <c r="C524" t="b">
        <f>B524&lt;=A1</f>
        <v>0</v>
      </c>
      <c r="D524">
        <f t="shared" ca="1" si="8"/>
        <v>0</v>
      </c>
    </row>
    <row r="525" spans="2:4">
      <c r="B525">
        <v>524</v>
      </c>
      <c r="C525" t="b">
        <f>B525&lt;=A1</f>
        <v>0</v>
      </c>
      <c r="D525">
        <f t="shared" ca="1" si="8"/>
        <v>0</v>
      </c>
    </row>
    <row r="526" spans="2:4">
      <c r="B526">
        <v>525</v>
      </c>
      <c r="C526" t="b">
        <f>B526&lt;=A1</f>
        <v>0</v>
      </c>
      <c r="D526">
        <f t="shared" ca="1" si="8"/>
        <v>0</v>
      </c>
    </row>
    <row r="527" spans="2:4">
      <c r="B527">
        <v>526</v>
      </c>
      <c r="C527" t="b">
        <f>B527&lt;=A1</f>
        <v>0</v>
      </c>
      <c r="D527">
        <f t="shared" ca="1" si="8"/>
        <v>0</v>
      </c>
    </row>
    <row r="528" spans="2:4">
      <c r="B528">
        <v>527</v>
      </c>
      <c r="C528" t="b">
        <f>B528&lt;=A1</f>
        <v>0</v>
      </c>
      <c r="D528">
        <f t="shared" ca="1" si="8"/>
        <v>0</v>
      </c>
    </row>
    <row r="529" spans="2:4">
      <c r="B529">
        <v>528</v>
      </c>
      <c r="C529" t="b">
        <f>B529&lt;=A1</f>
        <v>0</v>
      </c>
      <c r="D529">
        <f t="shared" ca="1" si="8"/>
        <v>0</v>
      </c>
    </row>
    <row r="530" spans="2:4">
      <c r="B530">
        <v>529</v>
      </c>
      <c r="C530" t="b">
        <f>B530&lt;=A1</f>
        <v>0</v>
      </c>
      <c r="D530">
        <f t="shared" ca="1" si="8"/>
        <v>0</v>
      </c>
    </row>
    <row r="531" spans="2:4">
      <c r="B531">
        <v>530</v>
      </c>
      <c r="C531" t="b">
        <f>B531&lt;=A1</f>
        <v>0</v>
      </c>
      <c r="D531">
        <f t="shared" ca="1" si="8"/>
        <v>0</v>
      </c>
    </row>
    <row r="532" spans="2:4">
      <c r="B532">
        <v>531</v>
      </c>
      <c r="C532" t="b">
        <f>B532&lt;=A1</f>
        <v>0</v>
      </c>
      <c r="D532">
        <f t="shared" ca="1" si="8"/>
        <v>0</v>
      </c>
    </row>
    <row r="533" spans="2:4">
      <c r="B533">
        <v>532</v>
      </c>
      <c r="C533" t="b">
        <f>B533&lt;=A1</f>
        <v>0</v>
      </c>
      <c r="D533">
        <f t="shared" ca="1" si="8"/>
        <v>0</v>
      </c>
    </row>
    <row r="534" spans="2:4">
      <c r="B534">
        <v>533</v>
      </c>
      <c r="C534" t="b">
        <f>B534&lt;=A1</f>
        <v>0</v>
      </c>
      <c r="D534">
        <f t="shared" ca="1" si="8"/>
        <v>0</v>
      </c>
    </row>
    <row r="535" spans="2:4">
      <c r="B535">
        <v>534</v>
      </c>
      <c r="C535" t="b">
        <f>B535&lt;=A1</f>
        <v>0</v>
      </c>
      <c r="D535">
        <f t="shared" ca="1" si="8"/>
        <v>0</v>
      </c>
    </row>
    <row r="536" spans="2:4">
      <c r="B536">
        <v>535</v>
      </c>
      <c r="C536" t="b">
        <f>B536&lt;=A1</f>
        <v>0</v>
      </c>
      <c r="D536">
        <f t="shared" ca="1" si="8"/>
        <v>0</v>
      </c>
    </row>
    <row r="537" spans="2:4">
      <c r="B537">
        <v>536</v>
      </c>
      <c r="C537" t="b">
        <f>B537&lt;=A1</f>
        <v>0</v>
      </c>
      <c r="D537">
        <f t="shared" ca="1" si="8"/>
        <v>0</v>
      </c>
    </row>
    <row r="538" spans="2:4">
      <c r="B538">
        <v>537</v>
      </c>
      <c r="C538" t="b">
        <f>B538&lt;=A1</f>
        <v>0</v>
      </c>
      <c r="D538">
        <f t="shared" ca="1" si="8"/>
        <v>0</v>
      </c>
    </row>
    <row r="539" spans="2:4">
      <c r="B539">
        <v>538</v>
      </c>
      <c r="C539" t="b">
        <f>B539&lt;=A1</f>
        <v>0</v>
      </c>
      <c r="D539">
        <f t="shared" ca="1" si="8"/>
        <v>0</v>
      </c>
    </row>
    <row r="540" spans="2:4">
      <c r="B540">
        <v>539</v>
      </c>
      <c r="C540" t="b">
        <f>B540&lt;=A1</f>
        <v>0</v>
      </c>
      <c r="D540">
        <f t="shared" ca="1" si="8"/>
        <v>0</v>
      </c>
    </row>
    <row r="541" spans="2:4">
      <c r="B541">
        <v>540</v>
      </c>
      <c r="C541" t="b">
        <f>B541&lt;=A1</f>
        <v>0</v>
      </c>
      <c r="D541">
        <f t="shared" ca="1" si="8"/>
        <v>0</v>
      </c>
    </row>
    <row r="542" spans="2:4">
      <c r="B542">
        <v>541</v>
      </c>
      <c r="C542" t="b">
        <f>B542&lt;=A1</f>
        <v>0</v>
      </c>
      <c r="D542">
        <f t="shared" ca="1" si="8"/>
        <v>0</v>
      </c>
    </row>
    <row r="543" spans="2:4">
      <c r="B543">
        <v>542</v>
      </c>
      <c r="C543" t="b">
        <f>B543&lt;=A1</f>
        <v>0</v>
      </c>
      <c r="D543">
        <f t="shared" ca="1" si="8"/>
        <v>0</v>
      </c>
    </row>
    <row r="544" spans="2:4">
      <c r="B544">
        <v>543</v>
      </c>
      <c r="C544" t="b">
        <f>B544&lt;=A1</f>
        <v>0</v>
      </c>
      <c r="D544">
        <f t="shared" ca="1" si="8"/>
        <v>0</v>
      </c>
    </row>
    <row r="545" spans="2:4">
      <c r="B545">
        <v>544</v>
      </c>
      <c r="C545" t="b">
        <f>B545&lt;=A1</f>
        <v>0</v>
      </c>
      <c r="D545">
        <f t="shared" ca="1" si="8"/>
        <v>0</v>
      </c>
    </row>
    <row r="546" spans="2:4">
      <c r="B546">
        <v>545</v>
      </c>
      <c r="C546" t="b">
        <f>B546&lt;=A1</f>
        <v>0</v>
      </c>
      <c r="D546">
        <f t="shared" ca="1" si="8"/>
        <v>0</v>
      </c>
    </row>
    <row r="547" spans="2:4">
      <c r="B547">
        <v>546</v>
      </c>
      <c r="C547" t="b">
        <f>B547&lt;=A1</f>
        <v>0</v>
      </c>
      <c r="D547">
        <f t="shared" ca="1" si="8"/>
        <v>0</v>
      </c>
    </row>
    <row r="548" spans="2:4">
      <c r="B548">
        <v>547</v>
      </c>
      <c r="C548" t="b">
        <f>B548&lt;=A1</f>
        <v>0</v>
      </c>
      <c r="D548">
        <f t="shared" ca="1" si="8"/>
        <v>0</v>
      </c>
    </row>
    <row r="549" spans="2:4">
      <c r="B549">
        <v>548</v>
      </c>
      <c r="C549" t="b">
        <f>B549&lt;=A1</f>
        <v>0</v>
      </c>
      <c r="D549">
        <f t="shared" ca="1" si="8"/>
        <v>0</v>
      </c>
    </row>
    <row r="550" spans="2:4">
      <c r="B550">
        <v>549</v>
      </c>
      <c r="C550" t="b">
        <f>B550&lt;=A1</f>
        <v>0</v>
      </c>
      <c r="D550">
        <f t="shared" ca="1" si="8"/>
        <v>0</v>
      </c>
    </row>
    <row r="551" spans="2:4">
      <c r="B551">
        <v>550</v>
      </c>
      <c r="C551" t="b">
        <f>B551&lt;=A1</f>
        <v>0</v>
      </c>
      <c r="D551">
        <f t="shared" ca="1" si="8"/>
        <v>0</v>
      </c>
    </row>
    <row r="552" spans="2:4">
      <c r="B552">
        <v>551</v>
      </c>
      <c r="C552" t="b">
        <f>B552&lt;=A1</f>
        <v>0</v>
      </c>
      <c r="D552">
        <f t="shared" ca="1" si="8"/>
        <v>0</v>
      </c>
    </row>
    <row r="553" spans="2:4">
      <c r="B553">
        <v>552</v>
      </c>
      <c r="C553" t="b">
        <f>B553&lt;=A1</f>
        <v>0</v>
      </c>
      <c r="D553">
        <f t="shared" ca="1" si="8"/>
        <v>0</v>
      </c>
    </row>
    <row r="554" spans="2:4">
      <c r="B554">
        <v>553</v>
      </c>
      <c r="C554" t="b">
        <f>B554&lt;=A1</f>
        <v>0</v>
      </c>
      <c r="D554">
        <f t="shared" ca="1" si="8"/>
        <v>0</v>
      </c>
    </row>
    <row r="555" spans="2:4">
      <c r="B555">
        <v>554</v>
      </c>
      <c r="C555" t="b">
        <f>B555&lt;=A1</f>
        <v>0</v>
      </c>
      <c r="D555">
        <f t="shared" ca="1" si="8"/>
        <v>0</v>
      </c>
    </row>
    <row r="556" spans="2:4">
      <c r="B556">
        <v>555</v>
      </c>
      <c r="C556" t="b">
        <f>B556&lt;=A1</f>
        <v>0</v>
      </c>
      <c r="D556">
        <f t="shared" ca="1" si="8"/>
        <v>0</v>
      </c>
    </row>
    <row r="557" spans="2:4">
      <c r="B557">
        <v>556</v>
      </c>
      <c r="C557" t="b">
        <f>B557&lt;=A1</f>
        <v>0</v>
      </c>
      <c r="D557">
        <f t="shared" ca="1" si="8"/>
        <v>0</v>
      </c>
    </row>
    <row r="558" spans="2:4">
      <c r="B558">
        <v>557</v>
      </c>
      <c r="C558" t="b">
        <f>B558&lt;=A1</f>
        <v>0</v>
      </c>
      <c r="D558">
        <f t="shared" ca="1" si="8"/>
        <v>0</v>
      </c>
    </row>
    <row r="559" spans="2:4">
      <c r="B559">
        <v>558</v>
      </c>
      <c r="C559" t="b">
        <f>B559&lt;=A1</f>
        <v>0</v>
      </c>
      <c r="D559">
        <f t="shared" ca="1" si="8"/>
        <v>0</v>
      </c>
    </row>
    <row r="560" spans="2:4">
      <c r="B560">
        <v>559</v>
      </c>
      <c r="C560" t="b">
        <f>B560&lt;=A1</f>
        <v>0</v>
      </c>
      <c r="D560">
        <f t="shared" ca="1" si="8"/>
        <v>0</v>
      </c>
    </row>
    <row r="561" spans="2:4">
      <c r="B561">
        <v>560</v>
      </c>
      <c r="C561" t="b">
        <f>B561&lt;=A1</f>
        <v>0</v>
      </c>
      <c r="D561">
        <f t="shared" ca="1" si="8"/>
        <v>0</v>
      </c>
    </row>
    <row r="562" spans="2:4">
      <c r="B562">
        <v>561</v>
      </c>
      <c r="C562" t="b">
        <f>B562&lt;=A1</f>
        <v>0</v>
      </c>
      <c r="D562">
        <f t="shared" ca="1" si="8"/>
        <v>0</v>
      </c>
    </row>
    <row r="563" spans="2:4">
      <c r="B563">
        <v>562</v>
      </c>
      <c r="C563" t="b">
        <f>B563&lt;=A1</f>
        <v>0</v>
      </c>
      <c r="D563">
        <f t="shared" ca="1" si="8"/>
        <v>0</v>
      </c>
    </row>
    <row r="564" spans="2:4">
      <c r="B564">
        <v>563</v>
      </c>
      <c r="C564" t="b">
        <f>B564&lt;=A1</f>
        <v>0</v>
      </c>
      <c r="D564">
        <f t="shared" ca="1" si="8"/>
        <v>0</v>
      </c>
    </row>
    <row r="565" spans="2:4">
      <c r="B565">
        <v>564</v>
      </c>
      <c r="C565" t="b">
        <f>B565&lt;=A1</f>
        <v>0</v>
      </c>
      <c r="D565">
        <f t="shared" ca="1" si="8"/>
        <v>0</v>
      </c>
    </row>
    <row r="566" spans="2:4">
      <c r="B566">
        <v>565</v>
      </c>
      <c r="C566" t="b">
        <f>B566&lt;=A1</f>
        <v>0</v>
      </c>
      <c r="D566">
        <f t="shared" ca="1" si="8"/>
        <v>0</v>
      </c>
    </row>
    <row r="567" spans="2:4">
      <c r="B567">
        <v>566</v>
      </c>
      <c r="C567" t="b">
        <f>B567&lt;=A1</f>
        <v>0</v>
      </c>
      <c r="D567">
        <f t="shared" ca="1" si="8"/>
        <v>0</v>
      </c>
    </row>
    <row r="568" spans="2:4">
      <c r="B568">
        <v>567</v>
      </c>
      <c r="C568" t="b">
        <f>B568&lt;=A1</f>
        <v>0</v>
      </c>
      <c r="D568">
        <f t="shared" ca="1" si="8"/>
        <v>0</v>
      </c>
    </row>
    <row r="569" spans="2:4">
      <c r="B569">
        <v>568</v>
      </c>
      <c r="C569" t="b">
        <f>B569&lt;=A1</f>
        <v>0</v>
      </c>
      <c r="D569">
        <f t="shared" ca="1" si="8"/>
        <v>0</v>
      </c>
    </row>
    <row r="570" spans="2:4">
      <c r="B570">
        <v>569</v>
      </c>
      <c r="C570" t="b">
        <f>B570&lt;=A1</f>
        <v>0</v>
      </c>
      <c r="D570">
        <f t="shared" ca="1" si="8"/>
        <v>0</v>
      </c>
    </row>
    <row r="571" spans="2:4">
      <c r="B571">
        <v>570</v>
      </c>
      <c r="C571" t="b">
        <f>B571&lt;=A1</f>
        <v>0</v>
      </c>
      <c r="D571">
        <f t="shared" ca="1" si="8"/>
        <v>0</v>
      </c>
    </row>
    <row r="572" spans="2:4">
      <c r="B572">
        <v>571</v>
      </c>
      <c r="C572" t="b">
        <f>B572&lt;=A1</f>
        <v>0</v>
      </c>
      <c r="D572">
        <f t="shared" ca="1" si="8"/>
        <v>0</v>
      </c>
    </row>
    <row r="573" spans="2:4">
      <c r="B573">
        <v>572</v>
      </c>
      <c r="C573" t="b">
        <f>B573&lt;=A1</f>
        <v>0</v>
      </c>
      <c r="D573">
        <f t="shared" ca="1" si="8"/>
        <v>0</v>
      </c>
    </row>
    <row r="574" spans="2:4">
      <c r="B574">
        <v>573</v>
      </c>
      <c r="C574" t="b">
        <f>B574&lt;=A1</f>
        <v>0</v>
      </c>
      <c r="D574">
        <f t="shared" ca="1" si="8"/>
        <v>0</v>
      </c>
    </row>
    <row r="575" spans="2:4">
      <c r="B575">
        <v>574</v>
      </c>
      <c r="C575" t="b">
        <f>B575&lt;=A1</f>
        <v>0</v>
      </c>
      <c r="D575">
        <f t="shared" ca="1" si="8"/>
        <v>0</v>
      </c>
    </row>
    <row r="576" spans="2:4">
      <c r="B576">
        <v>575</v>
      </c>
      <c r="C576" t="b">
        <f>B576&lt;=A1</f>
        <v>0</v>
      </c>
      <c r="D576">
        <f t="shared" ca="1" si="8"/>
        <v>0</v>
      </c>
    </row>
    <row r="577" spans="2:4">
      <c r="B577">
        <v>576</v>
      </c>
      <c r="C577" t="b">
        <f>B577&lt;=A1</f>
        <v>0</v>
      </c>
      <c r="D577">
        <f t="shared" ca="1" si="8"/>
        <v>0</v>
      </c>
    </row>
    <row r="578" spans="2:4">
      <c r="B578">
        <v>577</v>
      </c>
      <c r="C578" t="b">
        <f>B578&lt;=A1</f>
        <v>0</v>
      </c>
      <c r="D578">
        <f t="shared" ref="D578:D641" ca="1" si="9">IF(C578,INDIRECT("person_db!B"&amp;(B578+1)),INDIRECT("person!B"&amp;(B578-$A$1+1)))</f>
        <v>0</v>
      </c>
    </row>
    <row r="579" spans="2:4">
      <c r="B579">
        <v>578</v>
      </c>
      <c r="C579" t="b">
        <f>B579&lt;=A1</f>
        <v>0</v>
      </c>
      <c r="D579">
        <f t="shared" ca="1" si="9"/>
        <v>0</v>
      </c>
    </row>
    <row r="580" spans="2:4">
      <c r="B580">
        <v>579</v>
      </c>
      <c r="C580" t="b">
        <f>B580&lt;=A1</f>
        <v>0</v>
      </c>
      <c r="D580">
        <f t="shared" ca="1" si="9"/>
        <v>0</v>
      </c>
    </row>
    <row r="581" spans="2:4">
      <c r="B581">
        <v>580</v>
      </c>
      <c r="C581" t="b">
        <f>B581&lt;=A1</f>
        <v>0</v>
      </c>
      <c r="D581">
        <f t="shared" ca="1" si="9"/>
        <v>0</v>
      </c>
    </row>
    <row r="582" spans="2:4">
      <c r="B582">
        <v>581</v>
      </c>
      <c r="C582" t="b">
        <f>B582&lt;=A1</f>
        <v>0</v>
      </c>
      <c r="D582">
        <f t="shared" ca="1" si="9"/>
        <v>0</v>
      </c>
    </row>
    <row r="583" spans="2:4">
      <c r="B583">
        <v>582</v>
      </c>
      <c r="C583" t="b">
        <f>B583&lt;=A1</f>
        <v>0</v>
      </c>
      <c r="D583">
        <f t="shared" ca="1" si="9"/>
        <v>0</v>
      </c>
    </row>
    <row r="584" spans="2:4">
      <c r="B584">
        <v>583</v>
      </c>
      <c r="C584" t="b">
        <f>B584&lt;=A1</f>
        <v>0</v>
      </c>
      <c r="D584">
        <f t="shared" ca="1" si="9"/>
        <v>0</v>
      </c>
    </row>
    <row r="585" spans="2:4">
      <c r="B585">
        <v>584</v>
      </c>
      <c r="C585" t="b">
        <f>B585&lt;=A1</f>
        <v>0</v>
      </c>
      <c r="D585">
        <f t="shared" ca="1" si="9"/>
        <v>0</v>
      </c>
    </row>
    <row r="586" spans="2:4">
      <c r="B586">
        <v>585</v>
      </c>
      <c r="C586" t="b">
        <f>B586&lt;=A1</f>
        <v>0</v>
      </c>
      <c r="D586">
        <f t="shared" ca="1" si="9"/>
        <v>0</v>
      </c>
    </row>
    <row r="587" spans="2:4">
      <c r="B587">
        <v>586</v>
      </c>
      <c r="C587" t="b">
        <f>B587&lt;=A1</f>
        <v>0</v>
      </c>
      <c r="D587">
        <f t="shared" ca="1" si="9"/>
        <v>0</v>
      </c>
    </row>
    <row r="588" spans="2:4">
      <c r="B588">
        <v>587</v>
      </c>
      <c r="C588" t="b">
        <f>B588&lt;=A1</f>
        <v>0</v>
      </c>
      <c r="D588">
        <f t="shared" ca="1" si="9"/>
        <v>0</v>
      </c>
    </row>
    <row r="589" spans="2:4">
      <c r="B589">
        <v>588</v>
      </c>
      <c r="C589" t="b">
        <f>B589&lt;=A1</f>
        <v>0</v>
      </c>
      <c r="D589">
        <f t="shared" ca="1" si="9"/>
        <v>0</v>
      </c>
    </row>
    <row r="590" spans="2:4">
      <c r="B590">
        <v>589</v>
      </c>
      <c r="C590" t="b">
        <f>B590&lt;=A1</f>
        <v>0</v>
      </c>
      <c r="D590">
        <f t="shared" ca="1" si="9"/>
        <v>0</v>
      </c>
    </row>
    <row r="591" spans="2:4">
      <c r="B591">
        <v>590</v>
      </c>
      <c r="C591" t="b">
        <f>B591&lt;=A1</f>
        <v>0</v>
      </c>
      <c r="D591">
        <f t="shared" ca="1" si="9"/>
        <v>0</v>
      </c>
    </row>
    <row r="592" spans="2:4">
      <c r="B592">
        <v>591</v>
      </c>
      <c r="C592" t="b">
        <f>B592&lt;=A1</f>
        <v>0</v>
      </c>
      <c r="D592">
        <f t="shared" ca="1" si="9"/>
        <v>0</v>
      </c>
    </row>
    <row r="593" spans="2:4">
      <c r="B593">
        <v>592</v>
      </c>
      <c r="C593" t="b">
        <f>B593&lt;=A1</f>
        <v>0</v>
      </c>
      <c r="D593">
        <f t="shared" ca="1" si="9"/>
        <v>0</v>
      </c>
    </row>
    <row r="594" spans="2:4">
      <c r="B594">
        <v>593</v>
      </c>
      <c r="C594" t="b">
        <f>B594&lt;=A1</f>
        <v>0</v>
      </c>
      <c r="D594">
        <f t="shared" ca="1" si="9"/>
        <v>0</v>
      </c>
    </row>
    <row r="595" spans="2:4">
      <c r="B595">
        <v>594</v>
      </c>
      <c r="C595" t="b">
        <f>B595&lt;=A1</f>
        <v>0</v>
      </c>
      <c r="D595">
        <f t="shared" ca="1" si="9"/>
        <v>0</v>
      </c>
    </row>
    <row r="596" spans="2:4">
      <c r="B596">
        <v>595</v>
      </c>
      <c r="C596" t="b">
        <f>B596&lt;=A1</f>
        <v>0</v>
      </c>
      <c r="D596">
        <f t="shared" ca="1" si="9"/>
        <v>0</v>
      </c>
    </row>
    <row r="597" spans="2:4">
      <c r="B597">
        <v>596</v>
      </c>
      <c r="C597" t="b">
        <f>B597&lt;=A1</f>
        <v>0</v>
      </c>
      <c r="D597">
        <f t="shared" ca="1" si="9"/>
        <v>0</v>
      </c>
    </row>
    <row r="598" spans="2:4">
      <c r="B598">
        <v>597</v>
      </c>
      <c r="C598" t="b">
        <f>B598&lt;=A1</f>
        <v>0</v>
      </c>
      <c r="D598">
        <f t="shared" ca="1" si="9"/>
        <v>0</v>
      </c>
    </row>
    <row r="599" spans="2:4">
      <c r="B599">
        <v>598</v>
      </c>
      <c r="C599" t="b">
        <f>B599&lt;=A1</f>
        <v>0</v>
      </c>
      <c r="D599">
        <f t="shared" ca="1" si="9"/>
        <v>0</v>
      </c>
    </row>
    <row r="600" spans="2:4">
      <c r="B600">
        <v>599</v>
      </c>
      <c r="C600" t="b">
        <f>B600&lt;=A1</f>
        <v>0</v>
      </c>
      <c r="D600">
        <f t="shared" ca="1" si="9"/>
        <v>0</v>
      </c>
    </row>
    <row r="601" spans="2:4">
      <c r="B601">
        <v>600</v>
      </c>
      <c r="C601" t="b">
        <f>B601&lt;=A1</f>
        <v>0</v>
      </c>
      <c r="D601">
        <f t="shared" ca="1" si="9"/>
        <v>0</v>
      </c>
    </row>
    <row r="602" spans="2:4">
      <c r="B602">
        <v>601</v>
      </c>
      <c r="C602" t="b">
        <f>B602&lt;=A1</f>
        <v>0</v>
      </c>
      <c r="D602">
        <f t="shared" ca="1" si="9"/>
        <v>0</v>
      </c>
    </row>
    <row r="603" spans="2:4">
      <c r="B603">
        <v>602</v>
      </c>
      <c r="C603" t="b">
        <f>B603&lt;=A1</f>
        <v>0</v>
      </c>
      <c r="D603">
        <f t="shared" ca="1" si="9"/>
        <v>0</v>
      </c>
    </row>
    <row r="604" spans="2:4">
      <c r="B604">
        <v>603</v>
      </c>
      <c r="C604" t="b">
        <f>B604&lt;=A1</f>
        <v>0</v>
      </c>
      <c r="D604">
        <f t="shared" ca="1" si="9"/>
        <v>0</v>
      </c>
    </row>
    <row r="605" spans="2:4">
      <c r="B605">
        <v>604</v>
      </c>
      <c r="C605" t="b">
        <f>B605&lt;=A1</f>
        <v>0</v>
      </c>
      <c r="D605">
        <f t="shared" ca="1" si="9"/>
        <v>0</v>
      </c>
    </row>
    <row r="606" spans="2:4">
      <c r="B606">
        <v>605</v>
      </c>
      <c r="C606" t="b">
        <f>B606&lt;=A1</f>
        <v>0</v>
      </c>
      <c r="D606">
        <f t="shared" ca="1" si="9"/>
        <v>0</v>
      </c>
    </row>
    <row r="607" spans="2:4">
      <c r="B607">
        <v>606</v>
      </c>
      <c r="C607" t="b">
        <f>B607&lt;=A1</f>
        <v>0</v>
      </c>
      <c r="D607">
        <f t="shared" ca="1" si="9"/>
        <v>0</v>
      </c>
    </row>
    <row r="608" spans="2:4">
      <c r="B608">
        <v>607</v>
      </c>
      <c r="C608" t="b">
        <f>B608&lt;=A1</f>
        <v>0</v>
      </c>
      <c r="D608">
        <f t="shared" ca="1" si="9"/>
        <v>0</v>
      </c>
    </row>
    <row r="609" spans="2:4">
      <c r="B609">
        <v>608</v>
      </c>
      <c r="C609" t="b">
        <f>B609&lt;=A1</f>
        <v>0</v>
      </c>
      <c r="D609">
        <f t="shared" ca="1" si="9"/>
        <v>0</v>
      </c>
    </row>
    <row r="610" spans="2:4">
      <c r="B610">
        <v>609</v>
      </c>
      <c r="C610" t="b">
        <f>B610&lt;=A1</f>
        <v>0</v>
      </c>
      <c r="D610">
        <f t="shared" ca="1" si="9"/>
        <v>0</v>
      </c>
    </row>
    <row r="611" spans="2:4">
      <c r="B611">
        <v>610</v>
      </c>
      <c r="C611" t="b">
        <f>B611&lt;=A1</f>
        <v>0</v>
      </c>
      <c r="D611">
        <f t="shared" ca="1" si="9"/>
        <v>0</v>
      </c>
    </row>
    <row r="612" spans="2:4">
      <c r="B612">
        <v>611</v>
      </c>
      <c r="C612" t="b">
        <f>B612&lt;=A1</f>
        <v>0</v>
      </c>
      <c r="D612">
        <f t="shared" ca="1" si="9"/>
        <v>0</v>
      </c>
    </row>
    <row r="613" spans="2:4">
      <c r="B613">
        <v>612</v>
      </c>
      <c r="C613" t="b">
        <f>B613&lt;=A1</f>
        <v>0</v>
      </c>
      <c r="D613">
        <f t="shared" ca="1" si="9"/>
        <v>0</v>
      </c>
    </row>
    <row r="614" spans="2:4">
      <c r="B614">
        <v>613</v>
      </c>
      <c r="C614" t="b">
        <f>B614&lt;=A1</f>
        <v>0</v>
      </c>
      <c r="D614">
        <f t="shared" ca="1" si="9"/>
        <v>0</v>
      </c>
    </row>
    <row r="615" spans="2:4">
      <c r="B615">
        <v>614</v>
      </c>
      <c r="C615" t="b">
        <f>B615&lt;=A1</f>
        <v>0</v>
      </c>
      <c r="D615">
        <f t="shared" ca="1" si="9"/>
        <v>0</v>
      </c>
    </row>
    <row r="616" spans="2:4">
      <c r="B616">
        <v>615</v>
      </c>
      <c r="C616" t="b">
        <f>B616&lt;=A1</f>
        <v>0</v>
      </c>
      <c r="D616">
        <f t="shared" ca="1" si="9"/>
        <v>0</v>
      </c>
    </row>
    <row r="617" spans="2:4">
      <c r="B617">
        <v>616</v>
      </c>
      <c r="C617" t="b">
        <f>B617&lt;=A1</f>
        <v>0</v>
      </c>
      <c r="D617">
        <f t="shared" ca="1" si="9"/>
        <v>0</v>
      </c>
    </row>
    <row r="618" spans="2:4">
      <c r="B618">
        <v>617</v>
      </c>
      <c r="C618" t="b">
        <f>B618&lt;=A1</f>
        <v>0</v>
      </c>
      <c r="D618">
        <f t="shared" ca="1" si="9"/>
        <v>0</v>
      </c>
    </row>
    <row r="619" spans="2:4">
      <c r="B619">
        <v>618</v>
      </c>
      <c r="C619" t="b">
        <f>B619&lt;=A1</f>
        <v>0</v>
      </c>
      <c r="D619">
        <f t="shared" ca="1" si="9"/>
        <v>0</v>
      </c>
    </row>
    <row r="620" spans="2:4">
      <c r="B620">
        <v>619</v>
      </c>
      <c r="C620" t="b">
        <f>B620&lt;=A1</f>
        <v>0</v>
      </c>
      <c r="D620">
        <f t="shared" ca="1" si="9"/>
        <v>0</v>
      </c>
    </row>
    <row r="621" spans="2:4">
      <c r="B621">
        <v>620</v>
      </c>
      <c r="C621" t="b">
        <f>B621&lt;=A1</f>
        <v>0</v>
      </c>
      <c r="D621">
        <f t="shared" ca="1" si="9"/>
        <v>0</v>
      </c>
    </row>
    <row r="622" spans="2:4">
      <c r="B622">
        <v>621</v>
      </c>
      <c r="C622" t="b">
        <f>B622&lt;=A1</f>
        <v>0</v>
      </c>
      <c r="D622">
        <f t="shared" ca="1" si="9"/>
        <v>0</v>
      </c>
    </row>
    <row r="623" spans="2:4">
      <c r="B623">
        <v>622</v>
      </c>
      <c r="C623" t="b">
        <f>B623&lt;=A1</f>
        <v>0</v>
      </c>
      <c r="D623">
        <f t="shared" ca="1" si="9"/>
        <v>0</v>
      </c>
    </row>
    <row r="624" spans="2:4">
      <c r="B624">
        <v>623</v>
      </c>
      <c r="C624" t="b">
        <f>B624&lt;=A1</f>
        <v>0</v>
      </c>
      <c r="D624">
        <f t="shared" ca="1" si="9"/>
        <v>0</v>
      </c>
    </row>
    <row r="625" spans="2:4">
      <c r="B625">
        <v>624</v>
      </c>
      <c r="C625" t="b">
        <f>B625&lt;=A1</f>
        <v>0</v>
      </c>
      <c r="D625">
        <f t="shared" ca="1" si="9"/>
        <v>0</v>
      </c>
    </row>
    <row r="626" spans="2:4">
      <c r="B626">
        <v>625</v>
      </c>
      <c r="C626" t="b">
        <f>B626&lt;=A1</f>
        <v>0</v>
      </c>
      <c r="D626">
        <f t="shared" ca="1" si="9"/>
        <v>0</v>
      </c>
    </row>
    <row r="627" spans="2:4">
      <c r="B627">
        <v>626</v>
      </c>
      <c r="C627" t="b">
        <f>B627&lt;=A1</f>
        <v>0</v>
      </c>
      <c r="D627">
        <f t="shared" ca="1" si="9"/>
        <v>0</v>
      </c>
    </row>
    <row r="628" spans="2:4">
      <c r="B628">
        <v>627</v>
      </c>
      <c r="C628" t="b">
        <f>B628&lt;=A1</f>
        <v>0</v>
      </c>
      <c r="D628">
        <f t="shared" ca="1" si="9"/>
        <v>0</v>
      </c>
    </row>
    <row r="629" spans="2:4">
      <c r="B629">
        <v>628</v>
      </c>
      <c r="C629" t="b">
        <f>B629&lt;=A1</f>
        <v>0</v>
      </c>
      <c r="D629">
        <f t="shared" ca="1" si="9"/>
        <v>0</v>
      </c>
    </row>
    <row r="630" spans="2:4">
      <c r="B630">
        <v>629</v>
      </c>
      <c r="C630" t="b">
        <f>B630&lt;=A1</f>
        <v>0</v>
      </c>
      <c r="D630">
        <f t="shared" ca="1" si="9"/>
        <v>0</v>
      </c>
    </row>
    <row r="631" spans="2:4">
      <c r="B631">
        <v>630</v>
      </c>
      <c r="C631" t="b">
        <f>B631&lt;=A1</f>
        <v>0</v>
      </c>
      <c r="D631">
        <f t="shared" ca="1" si="9"/>
        <v>0</v>
      </c>
    </row>
    <row r="632" spans="2:4">
      <c r="B632">
        <v>631</v>
      </c>
      <c r="C632" t="b">
        <f>B632&lt;=A1</f>
        <v>0</v>
      </c>
      <c r="D632">
        <f t="shared" ca="1" si="9"/>
        <v>0</v>
      </c>
    </row>
    <row r="633" spans="2:4">
      <c r="B633">
        <v>632</v>
      </c>
      <c r="C633" t="b">
        <f>B633&lt;=A1</f>
        <v>0</v>
      </c>
      <c r="D633">
        <f t="shared" ca="1" si="9"/>
        <v>0</v>
      </c>
    </row>
    <row r="634" spans="2:4">
      <c r="B634">
        <v>633</v>
      </c>
      <c r="C634" t="b">
        <f>B634&lt;=A1</f>
        <v>0</v>
      </c>
      <c r="D634">
        <f t="shared" ca="1" si="9"/>
        <v>0</v>
      </c>
    </row>
    <row r="635" spans="2:4">
      <c r="B635">
        <v>634</v>
      </c>
      <c r="C635" t="b">
        <f>B635&lt;=A1</f>
        <v>0</v>
      </c>
      <c r="D635">
        <f t="shared" ca="1" si="9"/>
        <v>0</v>
      </c>
    </row>
    <row r="636" spans="2:4">
      <c r="B636">
        <v>635</v>
      </c>
      <c r="C636" t="b">
        <f>B636&lt;=A1</f>
        <v>0</v>
      </c>
      <c r="D636">
        <f t="shared" ca="1" si="9"/>
        <v>0</v>
      </c>
    </row>
    <row r="637" spans="2:4">
      <c r="B637">
        <v>636</v>
      </c>
      <c r="C637" t="b">
        <f>B637&lt;=A1</f>
        <v>0</v>
      </c>
      <c r="D637">
        <f t="shared" ca="1" si="9"/>
        <v>0</v>
      </c>
    </row>
    <row r="638" spans="2:4">
      <c r="B638">
        <v>637</v>
      </c>
      <c r="C638" t="b">
        <f>B638&lt;=A1</f>
        <v>0</v>
      </c>
      <c r="D638">
        <f t="shared" ca="1" si="9"/>
        <v>0</v>
      </c>
    </row>
    <row r="639" spans="2:4">
      <c r="B639">
        <v>638</v>
      </c>
      <c r="C639" t="b">
        <f>B639&lt;=A1</f>
        <v>0</v>
      </c>
      <c r="D639">
        <f t="shared" ca="1" si="9"/>
        <v>0</v>
      </c>
    </row>
    <row r="640" spans="2:4">
      <c r="B640">
        <v>639</v>
      </c>
      <c r="C640" t="b">
        <f>B640&lt;=A1</f>
        <v>0</v>
      </c>
      <c r="D640">
        <f t="shared" ca="1" si="9"/>
        <v>0</v>
      </c>
    </row>
    <row r="641" spans="2:4">
      <c r="B641">
        <v>640</v>
      </c>
      <c r="C641" t="b">
        <f>B641&lt;=A1</f>
        <v>0</v>
      </c>
      <c r="D641">
        <f t="shared" ca="1" si="9"/>
        <v>0</v>
      </c>
    </row>
    <row r="642" spans="2:4">
      <c r="B642">
        <v>641</v>
      </c>
      <c r="C642" t="b">
        <f>B642&lt;=A1</f>
        <v>0</v>
      </c>
      <c r="D642">
        <f t="shared" ref="D642:D705" ca="1" si="10">IF(C642,INDIRECT("person_db!B"&amp;(B642+1)),INDIRECT("person!B"&amp;(B642-$A$1+1)))</f>
        <v>0</v>
      </c>
    </row>
    <row r="643" spans="2:4">
      <c r="B643">
        <v>642</v>
      </c>
      <c r="C643" t="b">
        <f>B643&lt;=A1</f>
        <v>0</v>
      </c>
      <c r="D643">
        <f t="shared" ca="1" si="10"/>
        <v>0</v>
      </c>
    </row>
    <row r="644" spans="2:4">
      <c r="B644">
        <v>643</v>
      </c>
      <c r="C644" t="b">
        <f>B644&lt;=A1</f>
        <v>0</v>
      </c>
      <c r="D644">
        <f t="shared" ca="1" si="10"/>
        <v>0</v>
      </c>
    </row>
    <row r="645" spans="2:4">
      <c r="B645">
        <v>644</v>
      </c>
      <c r="C645" t="b">
        <f>B645&lt;=A1</f>
        <v>0</v>
      </c>
      <c r="D645">
        <f t="shared" ca="1" si="10"/>
        <v>0</v>
      </c>
    </row>
    <row r="646" spans="2:4">
      <c r="B646">
        <v>645</v>
      </c>
      <c r="C646" t="b">
        <f>B646&lt;=A1</f>
        <v>0</v>
      </c>
      <c r="D646">
        <f t="shared" ca="1" si="10"/>
        <v>0</v>
      </c>
    </row>
    <row r="647" spans="2:4">
      <c r="B647">
        <v>646</v>
      </c>
      <c r="C647" t="b">
        <f>B647&lt;=A1</f>
        <v>0</v>
      </c>
      <c r="D647">
        <f t="shared" ca="1" si="10"/>
        <v>0</v>
      </c>
    </row>
    <row r="648" spans="2:4">
      <c r="B648">
        <v>647</v>
      </c>
      <c r="C648" t="b">
        <f>B648&lt;=A1</f>
        <v>0</v>
      </c>
      <c r="D648">
        <f t="shared" ca="1" si="10"/>
        <v>0</v>
      </c>
    </row>
    <row r="649" spans="2:4">
      <c r="B649">
        <v>648</v>
      </c>
      <c r="C649" t="b">
        <f>B649&lt;=A1</f>
        <v>0</v>
      </c>
      <c r="D649">
        <f t="shared" ca="1" si="10"/>
        <v>0</v>
      </c>
    </row>
    <row r="650" spans="2:4">
      <c r="B650">
        <v>649</v>
      </c>
      <c r="C650" t="b">
        <f>B650&lt;=A1</f>
        <v>0</v>
      </c>
      <c r="D650">
        <f t="shared" ca="1" si="10"/>
        <v>0</v>
      </c>
    </row>
    <row r="651" spans="2:4">
      <c r="B651">
        <v>650</v>
      </c>
      <c r="C651" t="b">
        <f>B651&lt;=A1</f>
        <v>0</v>
      </c>
      <c r="D651">
        <f t="shared" ca="1" si="10"/>
        <v>0</v>
      </c>
    </row>
    <row r="652" spans="2:4">
      <c r="B652">
        <v>651</v>
      </c>
      <c r="C652" t="b">
        <f>B652&lt;=A1</f>
        <v>0</v>
      </c>
      <c r="D652">
        <f t="shared" ca="1" si="10"/>
        <v>0</v>
      </c>
    </row>
    <row r="653" spans="2:4">
      <c r="B653">
        <v>652</v>
      </c>
      <c r="C653" t="b">
        <f>B653&lt;=A1</f>
        <v>0</v>
      </c>
      <c r="D653">
        <f t="shared" ca="1" si="10"/>
        <v>0</v>
      </c>
    </row>
    <row r="654" spans="2:4">
      <c r="B654">
        <v>653</v>
      </c>
      <c r="C654" t="b">
        <f>B654&lt;=A1</f>
        <v>0</v>
      </c>
      <c r="D654">
        <f t="shared" ca="1" si="10"/>
        <v>0</v>
      </c>
    </row>
    <row r="655" spans="2:4">
      <c r="B655">
        <v>654</v>
      </c>
      <c r="C655" t="b">
        <f>B655&lt;=A1</f>
        <v>0</v>
      </c>
      <c r="D655">
        <f t="shared" ca="1" si="10"/>
        <v>0</v>
      </c>
    </row>
    <row r="656" spans="2:4">
      <c r="B656">
        <v>655</v>
      </c>
      <c r="C656" t="b">
        <f>B656&lt;=A1</f>
        <v>0</v>
      </c>
      <c r="D656">
        <f t="shared" ca="1" si="10"/>
        <v>0</v>
      </c>
    </row>
    <row r="657" spans="2:4">
      <c r="B657">
        <v>656</v>
      </c>
      <c r="C657" t="b">
        <f>B657&lt;=A1</f>
        <v>0</v>
      </c>
      <c r="D657">
        <f t="shared" ca="1" si="10"/>
        <v>0</v>
      </c>
    </row>
    <row r="658" spans="2:4">
      <c r="B658">
        <v>657</v>
      </c>
      <c r="C658" t="b">
        <f>B658&lt;=A1</f>
        <v>0</v>
      </c>
      <c r="D658">
        <f t="shared" ca="1" si="10"/>
        <v>0</v>
      </c>
    </row>
    <row r="659" spans="2:4">
      <c r="B659">
        <v>658</v>
      </c>
      <c r="C659" t="b">
        <f>B659&lt;=A1</f>
        <v>0</v>
      </c>
      <c r="D659">
        <f t="shared" ca="1" si="10"/>
        <v>0</v>
      </c>
    </row>
    <row r="660" spans="2:4">
      <c r="B660">
        <v>659</v>
      </c>
      <c r="C660" t="b">
        <f>B660&lt;=A1</f>
        <v>0</v>
      </c>
      <c r="D660">
        <f t="shared" ca="1" si="10"/>
        <v>0</v>
      </c>
    </row>
    <row r="661" spans="2:4">
      <c r="B661">
        <v>660</v>
      </c>
      <c r="C661" t="b">
        <f>B661&lt;=A1</f>
        <v>0</v>
      </c>
      <c r="D661">
        <f t="shared" ca="1" si="10"/>
        <v>0</v>
      </c>
    </row>
    <row r="662" spans="2:4">
      <c r="B662">
        <v>661</v>
      </c>
      <c r="C662" t="b">
        <f>B662&lt;=A1</f>
        <v>0</v>
      </c>
      <c r="D662">
        <f t="shared" ca="1" si="10"/>
        <v>0</v>
      </c>
    </row>
    <row r="663" spans="2:4">
      <c r="B663">
        <v>662</v>
      </c>
      <c r="C663" t="b">
        <f>B663&lt;=A1</f>
        <v>0</v>
      </c>
      <c r="D663">
        <f t="shared" ca="1" si="10"/>
        <v>0</v>
      </c>
    </row>
    <row r="664" spans="2:4">
      <c r="B664">
        <v>663</v>
      </c>
      <c r="C664" t="b">
        <f>B664&lt;=A1</f>
        <v>0</v>
      </c>
      <c r="D664">
        <f t="shared" ca="1" si="10"/>
        <v>0</v>
      </c>
    </row>
    <row r="665" spans="2:4">
      <c r="B665">
        <v>664</v>
      </c>
      <c r="C665" t="b">
        <f>B665&lt;=A1</f>
        <v>0</v>
      </c>
      <c r="D665">
        <f t="shared" ca="1" si="10"/>
        <v>0</v>
      </c>
    </row>
    <row r="666" spans="2:4">
      <c r="B666">
        <v>665</v>
      </c>
      <c r="C666" t="b">
        <f>B666&lt;=A1</f>
        <v>0</v>
      </c>
      <c r="D666">
        <f t="shared" ca="1" si="10"/>
        <v>0</v>
      </c>
    </row>
    <row r="667" spans="2:4">
      <c r="B667">
        <v>666</v>
      </c>
      <c r="C667" t="b">
        <f>B667&lt;=A1</f>
        <v>0</v>
      </c>
      <c r="D667">
        <f t="shared" ca="1" si="10"/>
        <v>0</v>
      </c>
    </row>
    <row r="668" spans="2:4">
      <c r="B668">
        <v>667</v>
      </c>
      <c r="C668" t="b">
        <f>B668&lt;=A1</f>
        <v>0</v>
      </c>
      <c r="D668">
        <f t="shared" ca="1" si="10"/>
        <v>0</v>
      </c>
    </row>
    <row r="669" spans="2:4">
      <c r="B669">
        <v>668</v>
      </c>
      <c r="C669" t="b">
        <f>B669&lt;=A1</f>
        <v>0</v>
      </c>
      <c r="D669">
        <f t="shared" ca="1" si="10"/>
        <v>0</v>
      </c>
    </row>
    <row r="670" spans="2:4">
      <c r="B670">
        <v>669</v>
      </c>
      <c r="C670" t="b">
        <f>B670&lt;=A1</f>
        <v>0</v>
      </c>
      <c r="D670">
        <f t="shared" ca="1" si="10"/>
        <v>0</v>
      </c>
    </row>
    <row r="671" spans="2:4">
      <c r="B671">
        <v>670</v>
      </c>
      <c r="C671" t="b">
        <f>B671&lt;=A1</f>
        <v>0</v>
      </c>
      <c r="D671">
        <f t="shared" ca="1" si="10"/>
        <v>0</v>
      </c>
    </row>
    <row r="672" spans="2:4">
      <c r="B672">
        <v>671</v>
      </c>
      <c r="C672" t="b">
        <f>B672&lt;=A1</f>
        <v>0</v>
      </c>
      <c r="D672">
        <f t="shared" ca="1" si="10"/>
        <v>0</v>
      </c>
    </row>
    <row r="673" spans="2:4">
      <c r="B673">
        <v>672</v>
      </c>
      <c r="C673" t="b">
        <f>B673&lt;=A1</f>
        <v>0</v>
      </c>
      <c r="D673">
        <f t="shared" ca="1" si="10"/>
        <v>0</v>
      </c>
    </row>
    <row r="674" spans="2:4">
      <c r="B674">
        <v>673</v>
      </c>
      <c r="C674" t="b">
        <f>B674&lt;=A1</f>
        <v>0</v>
      </c>
      <c r="D674">
        <f t="shared" ca="1" si="10"/>
        <v>0</v>
      </c>
    </row>
    <row r="675" spans="2:4">
      <c r="B675">
        <v>674</v>
      </c>
      <c r="C675" t="b">
        <f>B675&lt;=A1</f>
        <v>0</v>
      </c>
      <c r="D675">
        <f t="shared" ca="1" si="10"/>
        <v>0</v>
      </c>
    </row>
    <row r="676" spans="2:4">
      <c r="B676">
        <v>675</v>
      </c>
      <c r="C676" t="b">
        <f>B676&lt;=A1</f>
        <v>0</v>
      </c>
      <c r="D676">
        <f t="shared" ca="1" si="10"/>
        <v>0</v>
      </c>
    </row>
    <row r="677" spans="2:4">
      <c r="B677">
        <v>676</v>
      </c>
      <c r="C677" t="b">
        <f>B677&lt;=A1</f>
        <v>0</v>
      </c>
      <c r="D677">
        <f t="shared" ca="1" si="10"/>
        <v>0</v>
      </c>
    </row>
    <row r="678" spans="2:4">
      <c r="B678">
        <v>677</v>
      </c>
      <c r="C678" t="b">
        <f>B678&lt;=A1</f>
        <v>0</v>
      </c>
      <c r="D678">
        <f t="shared" ca="1" si="10"/>
        <v>0</v>
      </c>
    </row>
    <row r="679" spans="2:4">
      <c r="B679">
        <v>678</v>
      </c>
      <c r="C679" t="b">
        <f>B679&lt;=A1</f>
        <v>0</v>
      </c>
      <c r="D679">
        <f t="shared" ca="1" si="10"/>
        <v>0</v>
      </c>
    </row>
    <row r="680" spans="2:4">
      <c r="B680">
        <v>679</v>
      </c>
      <c r="C680" t="b">
        <f>B680&lt;=A1</f>
        <v>0</v>
      </c>
      <c r="D680">
        <f t="shared" ca="1" si="10"/>
        <v>0</v>
      </c>
    </row>
    <row r="681" spans="2:4">
      <c r="B681">
        <v>680</v>
      </c>
      <c r="C681" t="b">
        <f>B681&lt;=A1</f>
        <v>0</v>
      </c>
      <c r="D681">
        <f t="shared" ca="1" si="10"/>
        <v>0</v>
      </c>
    </row>
    <row r="682" spans="2:4">
      <c r="B682">
        <v>681</v>
      </c>
      <c r="C682" t="b">
        <f>B682&lt;=A1</f>
        <v>0</v>
      </c>
      <c r="D682">
        <f t="shared" ca="1" si="10"/>
        <v>0</v>
      </c>
    </row>
    <row r="683" spans="2:4">
      <c r="B683">
        <v>682</v>
      </c>
      <c r="C683" t="b">
        <f>B683&lt;=A1</f>
        <v>0</v>
      </c>
      <c r="D683">
        <f t="shared" ca="1" si="10"/>
        <v>0</v>
      </c>
    </row>
    <row r="684" spans="2:4">
      <c r="B684">
        <v>683</v>
      </c>
      <c r="C684" t="b">
        <f>B684&lt;=A1</f>
        <v>0</v>
      </c>
      <c r="D684">
        <f t="shared" ca="1" si="10"/>
        <v>0</v>
      </c>
    </row>
    <row r="685" spans="2:4">
      <c r="B685">
        <v>684</v>
      </c>
      <c r="C685" t="b">
        <f>B685&lt;=A1</f>
        <v>0</v>
      </c>
      <c r="D685">
        <f t="shared" ca="1" si="10"/>
        <v>0</v>
      </c>
    </row>
    <row r="686" spans="2:4">
      <c r="B686">
        <v>685</v>
      </c>
      <c r="C686" t="b">
        <f>B686&lt;=A1</f>
        <v>0</v>
      </c>
      <c r="D686">
        <f t="shared" ca="1" si="10"/>
        <v>0</v>
      </c>
    </row>
    <row r="687" spans="2:4">
      <c r="B687">
        <v>686</v>
      </c>
      <c r="C687" t="b">
        <f>B687&lt;=A1</f>
        <v>0</v>
      </c>
      <c r="D687">
        <f t="shared" ca="1" si="10"/>
        <v>0</v>
      </c>
    </row>
    <row r="688" spans="2:4">
      <c r="B688">
        <v>687</v>
      </c>
      <c r="C688" t="b">
        <f>B688&lt;=A1</f>
        <v>0</v>
      </c>
      <c r="D688">
        <f t="shared" ca="1" si="10"/>
        <v>0</v>
      </c>
    </row>
    <row r="689" spans="2:4">
      <c r="B689">
        <v>688</v>
      </c>
      <c r="C689" t="b">
        <f>B689&lt;=A1</f>
        <v>0</v>
      </c>
      <c r="D689">
        <f t="shared" ca="1" si="10"/>
        <v>0</v>
      </c>
    </row>
    <row r="690" spans="2:4">
      <c r="B690">
        <v>689</v>
      </c>
      <c r="C690" t="b">
        <f>B690&lt;=A1</f>
        <v>0</v>
      </c>
      <c r="D690">
        <f t="shared" ca="1" si="10"/>
        <v>0</v>
      </c>
    </row>
    <row r="691" spans="2:4">
      <c r="B691">
        <v>690</v>
      </c>
      <c r="C691" t="b">
        <f>B691&lt;=A1</f>
        <v>0</v>
      </c>
      <c r="D691">
        <f t="shared" ca="1" si="10"/>
        <v>0</v>
      </c>
    </row>
    <row r="692" spans="2:4">
      <c r="B692">
        <v>691</v>
      </c>
      <c r="C692" t="b">
        <f>B692&lt;=A1</f>
        <v>0</v>
      </c>
      <c r="D692">
        <f t="shared" ca="1" si="10"/>
        <v>0</v>
      </c>
    </row>
    <row r="693" spans="2:4">
      <c r="B693">
        <v>692</v>
      </c>
      <c r="C693" t="b">
        <f>B693&lt;=A1</f>
        <v>0</v>
      </c>
      <c r="D693">
        <f t="shared" ca="1" si="10"/>
        <v>0</v>
      </c>
    </row>
    <row r="694" spans="2:4">
      <c r="B694">
        <v>693</v>
      </c>
      <c r="C694" t="b">
        <f>B694&lt;=A1</f>
        <v>0</v>
      </c>
      <c r="D694">
        <f t="shared" ca="1" si="10"/>
        <v>0</v>
      </c>
    </row>
    <row r="695" spans="2:4">
      <c r="B695">
        <v>694</v>
      </c>
      <c r="C695" t="b">
        <f>B695&lt;=A1</f>
        <v>0</v>
      </c>
      <c r="D695">
        <f t="shared" ca="1" si="10"/>
        <v>0</v>
      </c>
    </row>
    <row r="696" spans="2:4">
      <c r="B696">
        <v>695</v>
      </c>
      <c r="C696" t="b">
        <f>B696&lt;=A1</f>
        <v>0</v>
      </c>
      <c r="D696">
        <f t="shared" ca="1" si="10"/>
        <v>0</v>
      </c>
    </row>
    <row r="697" spans="2:4">
      <c r="B697">
        <v>696</v>
      </c>
      <c r="C697" t="b">
        <f>B697&lt;=A1</f>
        <v>0</v>
      </c>
      <c r="D697">
        <f t="shared" ca="1" si="10"/>
        <v>0</v>
      </c>
    </row>
    <row r="698" spans="2:4">
      <c r="B698">
        <v>697</v>
      </c>
      <c r="C698" t="b">
        <f>B698&lt;=A1</f>
        <v>0</v>
      </c>
      <c r="D698">
        <f t="shared" ca="1" si="10"/>
        <v>0</v>
      </c>
    </row>
    <row r="699" spans="2:4">
      <c r="B699">
        <v>698</v>
      </c>
      <c r="C699" t="b">
        <f>B699&lt;=A1</f>
        <v>0</v>
      </c>
      <c r="D699">
        <f t="shared" ca="1" si="10"/>
        <v>0</v>
      </c>
    </row>
    <row r="700" spans="2:4">
      <c r="B700">
        <v>699</v>
      </c>
      <c r="C700" t="b">
        <f>B700&lt;=A1</f>
        <v>0</v>
      </c>
      <c r="D700">
        <f t="shared" ca="1" si="10"/>
        <v>0</v>
      </c>
    </row>
    <row r="701" spans="2:4">
      <c r="B701">
        <v>700</v>
      </c>
      <c r="C701" t="b">
        <f>B701&lt;=A1</f>
        <v>0</v>
      </c>
      <c r="D701">
        <f t="shared" ca="1" si="10"/>
        <v>0</v>
      </c>
    </row>
    <row r="702" spans="2:4">
      <c r="B702">
        <v>701</v>
      </c>
      <c r="C702" t="b">
        <f>B702&lt;=A1</f>
        <v>0</v>
      </c>
      <c r="D702">
        <f t="shared" ca="1" si="10"/>
        <v>0</v>
      </c>
    </row>
    <row r="703" spans="2:4">
      <c r="B703">
        <v>702</v>
      </c>
      <c r="C703" t="b">
        <f>B703&lt;=A1</f>
        <v>0</v>
      </c>
      <c r="D703">
        <f t="shared" ca="1" si="10"/>
        <v>0</v>
      </c>
    </row>
    <row r="704" spans="2:4">
      <c r="B704">
        <v>703</v>
      </c>
      <c r="C704" t="b">
        <f>B704&lt;=A1</f>
        <v>0</v>
      </c>
      <c r="D704">
        <f t="shared" ca="1" si="10"/>
        <v>0</v>
      </c>
    </row>
    <row r="705" spans="2:4">
      <c r="B705">
        <v>704</v>
      </c>
      <c r="C705" t="b">
        <f>B705&lt;=A1</f>
        <v>0</v>
      </c>
      <c r="D705">
        <f t="shared" ca="1" si="10"/>
        <v>0</v>
      </c>
    </row>
    <row r="706" spans="2:4">
      <c r="B706">
        <v>705</v>
      </c>
      <c r="C706" t="b">
        <f>B706&lt;=A1</f>
        <v>0</v>
      </c>
      <c r="D706">
        <f t="shared" ref="D706:D769" ca="1" si="11">IF(C706,INDIRECT("person_db!B"&amp;(B706+1)),INDIRECT("person!B"&amp;(B706-$A$1+1)))</f>
        <v>0</v>
      </c>
    </row>
    <row r="707" spans="2:4">
      <c r="B707">
        <v>706</v>
      </c>
      <c r="C707" t="b">
        <f>B707&lt;=A1</f>
        <v>0</v>
      </c>
      <c r="D707">
        <f t="shared" ca="1" si="11"/>
        <v>0</v>
      </c>
    </row>
    <row r="708" spans="2:4">
      <c r="B708">
        <v>707</v>
      </c>
      <c r="C708" t="b">
        <f>B708&lt;=A1</f>
        <v>0</v>
      </c>
      <c r="D708">
        <f t="shared" ca="1" si="11"/>
        <v>0</v>
      </c>
    </row>
    <row r="709" spans="2:4">
      <c r="B709">
        <v>708</v>
      </c>
      <c r="C709" t="b">
        <f>B709&lt;=A1</f>
        <v>0</v>
      </c>
      <c r="D709">
        <f t="shared" ca="1" si="11"/>
        <v>0</v>
      </c>
    </row>
    <row r="710" spans="2:4">
      <c r="B710">
        <v>709</v>
      </c>
      <c r="C710" t="b">
        <f>B710&lt;=A1</f>
        <v>0</v>
      </c>
      <c r="D710">
        <f t="shared" ca="1" si="11"/>
        <v>0</v>
      </c>
    </row>
    <row r="711" spans="2:4">
      <c r="B711">
        <v>710</v>
      </c>
      <c r="C711" t="b">
        <f>B711&lt;=A1</f>
        <v>0</v>
      </c>
      <c r="D711">
        <f t="shared" ca="1" si="11"/>
        <v>0</v>
      </c>
    </row>
    <row r="712" spans="2:4">
      <c r="B712">
        <v>711</v>
      </c>
      <c r="C712" t="b">
        <f>B712&lt;=A1</f>
        <v>0</v>
      </c>
      <c r="D712">
        <f t="shared" ca="1" si="11"/>
        <v>0</v>
      </c>
    </row>
    <row r="713" spans="2:4">
      <c r="B713">
        <v>712</v>
      </c>
      <c r="C713" t="b">
        <f>B713&lt;=A1</f>
        <v>0</v>
      </c>
      <c r="D713">
        <f t="shared" ca="1" si="11"/>
        <v>0</v>
      </c>
    </row>
    <row r="714" spans="2:4">
      <c r="B714">
        <v>713</v>
      </c>
      <c r="C714" t="b">
        <f>B714&lt;=A1</f>
        <v>0</v>
      </c>
      <c r="D714">
        <f t="shared" ca="1" si="11"/>
        <v>0</v>
      </c>
    </row>
    <row r="715" spans="2:4">
      <c r="B715">
        <v>714</v>
      </c>
      <c r="C715" t="b">
        <f>B715&lt;=A1</f>
        <v>0</v>
      </c>
      <c r="D715">
        <f t="shared" ca="1" si="11"/>
        <v>0</v>
      </c>
    </row>
    <row r="716" spans="2:4">
      <c r="B716">
        <v>715</v>
      </c>
      <c r="C716" t="b">
        <f>B716&lt;=A1</f>
        <v>0</v>
      </c>
      <c r="D716">
        <f t="shared" ca="1" si="11"/>
        <v>0</v>
      </c>
    </row>
    <row r="717" spans="2:4">
      <c r="B717">
        <v>716</v>
      </c>
      <c r="C717" t="b">
        <f>B717&lt;=A1</f>
        <v>0</v>
      </c>
      <c r="D717">
        <f t="shared" ca="1" si="11"/>
        <v>0</v>
      </c>
    </row>
    <row r="718" spans="2:4">
      <c r="B718">
        <v>717</v>
      </c>
      <c r="C718" t="b">
        <f>B718&lt;=A1</f>
        <v>0</v>
      </c>
      <c r="D718">
        <f t="shared" ca="1" si="11"/>
        <v>0</v>
      </c>
    </row>
    <row r="719" spans="2:4">
      <c r="B719">
        <v>718</v>
      </c>
      <c r="C719" t="b">
        <f>B719&lt;=A1</f>
        <v>0</v>
      </c>
      <c r="D719">
        <f t="shared" ca="1" si="11"/>
        <v>0</v>
      </c>
    </row>
    <row r="720" spans="2:4">
      <c r="B720">
        <v>719</v>
      </c>
      <c r="C720" t="b">
        <f>B720&lt;=A1</f>
        <v>0</v>
      </c>
      <c r="D720">
        <f t="shared" ca="1" si="11"/>
        <v>0</v>
      </c>
    </row>
    <row r="721" spans="2:4">
      <c r="B721">
        <v>720</v>
      </c>
      <c r="C721" t="b">
        <f>B721&lt;=A1</f>
        <v>0</v>
      </c>
      <c r="D721">
        <f t="shared" ca="1" si="11"/>
        <v>0</v>
      </c>
    </row>
    <row r="722" spans="2:4">
      <c r="B722">
        <v>721</v>
      </c>
      <c r="C722" t="b">
        <f>B722&lt;=A1</f>
        <v>0</v>
      </c>
      <c r="D722">
        <f t="shared" ca="1" si="11"/>
        <v>0</v>
      </c>
    </row>
    <row r="723" spans="2:4">
      <c r="B723">
        <v>722</v>
      </c>
      <c r="C723" t="b">
        <f>B723&lt;=A1</f>
        <v>0</v>
      </c>
      <c r="D723">
        <f t="shared" ca="1" si="11"/>
        <v>0</v>
      </c>
    </row>
    <row r="724" spans="2:4">
      <c r="B724">
        <v>723</v>
      </c>
      <c r="C724" t="b">
        <f>B724&lt;=A1</f>
        <v>0</v>
      </c>
      <c r="D724">
        <f t="shared" ca="1" si="11"/>
        <v>0</v>
      </c>
    </row>
    <row r="725" spans="2:4">
      <c r="B725">
        <v>724</v>
      </c>
      <c r="C725" t="b">
        <f>B725&lt;=A1</f>
        <v>0</v>
      </c>
      <c r="D725">
        <f t="shared" ca="1" si="11"/>
        <v>0</v>
      </c>
    </row>
    <row r="726" spans="2:4">
      <c r="B726">
        <v>725</v>
      </c>
      <c r="C726" t="b">
        <f>B726&lt;=A1</f>
        <v>0</v>
      </c>
      <c r="D726">
        <f t="shared" ca="1" si="11"/>
        <v>0</v>
      </c>
    </row>
    <row r="727" spans="2:4">
      <c r="B727">
        <v>726</v>
      </c>
      <c r="C727" t="b">
        <f>B727&lt;=A1</f>
        <v>0</v>
      </c>
      <c r="D727">
        <f t="shared" ca="1" si="11"/>
        <v>0</v>
      </c>
    </row>
    <row r="728" spans="2:4">
      <c r="B728">
        <v>727</v>
      </c>
      <c r="C728" t="b">
        <f>B728&lt;=A1</f>
        <v>0</v>
      </c>
      <c r="D728">
        <f t="shared" ca="1" si="11"/>
        <v>0</v>
      </c>
    </row>
    <row r="729" spans="2:4">
      <c r="B729">
        <v>728</v>
      </c>
      <c r="C729" t="b">
        <f>B729&lt;=A1</f>
        <v>0</v>
      </c>
      <c r="D729">
        <f t="shared" ca="1" si="11"/>
        <v>0</v>
      </c>
    </row>
    <row r="730" spans="2:4">
      <c r="B730">
        <v>729</v>
      </c>
      <c r="C730" t="b">
        <f>B730&lt;=A1</f>
        <v>0</v>
      </c>
      <c r="D730">
        <f t="shared" ca="1" si="11"/>
        <v>0</v>
      </c>
    </row>
    <row r="731" spans="2:4">
      <c r="B731">
        <v>730</v>
      </c>
      <c r="C731" t="b">
        <f>B731&lt;=A1</f>
        <v>0</v>
      </c>
      <c r="D731">
        <f t="shared" ca="1" si="11"/>
        <v>0</v>
      </c>
    </row>
    <row r="732" spans="2:4">
      <c r="B732">
        <v>731</v>
      </c>
      <c r="C732" t="b">
        <f>B732&lt;=A1</f>
        <v>0</v>
      </c>
      <c r="D732">
        <f t="shared" ca="1" si="11"/>
        <v>0</v>
      </c>
    </row>
    <row r="733" spans="2:4">
      <c r="B733">
        <v>732</v>
      </c>
      <c r="C733" t="b">
        <f>B733&lt;=A1</f>
        <v>0</v>
      </c>
      <c r="D733">
        <f t="shared" ca="1" si="11"/>
        <v>0</v>
      </c>
    </row>
    <row r="734" spans="2:4">
      <c r="B734">
        <v>733</v>
      </c>
      <c r="C734" t="b">
        <f>B734&lt;=A1</f>
        <v>0</v>
      </c>
      <c r="D734">
        <f t="shared" ca="1" si="11"/>
        <v>0</v>
      </c>
    </row>
    <row r="735" spans="2:4">
      <c r="B735">
        <v>734</v>
      </c>
      <c r="C735" t="b">
        <f>B735&lt;=A1</f>
        <v>0</v>
      </c>
      <c r="D735">
        <f t="shared" ca="1" si="11"/>
        <v>0</v>
      </c>
    </row>
    <row r="736" spans="2:4">
      <c r="B736">
        <v>735</v>
      </c>
      <c r="C736" t="b">
        <f>B736&lt;=A1</f>
        <v>0</v>
      </c>
      <c r="D736">
        <f t="shared" ca="1" si="11"/>
        <v>0</v>
      </c>
    </row>
    <row r="737" spans="2:4">
      <c r="B737">
        <v>736</v>
      </c>
      <c r="C737" t="b">
        <f>B737&lt;=A1</f>
        <v>0</v>
      </c>
      <c r="D737">
        <f t="shared" ca="1" si="11"/>
        <v>0</v>
      </c>
    </row>
    <row r="738" spans="2:4">
      <c r="B738">
        <v>737</v>
      </c>
      <c r="C738" t="b">
        <f>B738&lt;=A1</f>
        <v>0</v>
      </c>
      <c r="D738">
        <f t="shared" ca="1" si="11"/>
        <v>0</v>
      </c>
    </row>
    <row r="739" spans="2:4">
      <c r="B739">
        <v>738</v>
      </c>
      <c r="C739" t="b">
        <f>B739&lt;=A1</f>
        <v>0</v>
      </c>
      <c r="D739">
        <f t="shared" ca="1" si="11"/>
        <v>0</v>
      </c>
    </row>
    <row r="740" spans="2:4">
      <c r="B740">
        <v>739</v>
      </c>
      <c r="C740" t="b">
        <f>B740&lt;=A1</f>
        <v>0</v>
      </c>
      <c r="D740">
        <f t="shared" ca="1" si="11"/>
        <v>0</v>
      </c>
    </row>
    <row r="741" spans="2:4">
      <c r="B741">
        <v>740</v>
      </c>
      <c r="C741" t="b">
        <f>B741&lt;=A1</f>
        <v>0</v>
      </c>
      <c r="D741">
        <f t="shared" ca="1" si="11"/>
        <v>0</v>
      </c>
    </row>
    <row r="742" spans="2:4">
      <c r="B742">
        <v>741</v>
      </c>
      <c r="C742" t="b">
        <f>B742&lt;=A1</f>
        <v>0</v>
      </c>
      <c r="D742">
        <f t="shared" ca="1" si="11"/>
        <v>0</v>
      </c>
    </row>
    <row r="743" spans="2:4">
      <c r="B743">
        <v>742</v>
      </c>
      <c r="C743" t="b">
        <f>B743&lt;=A1</f>
        <v>0</v>
      </c>
      <c r="D743">
        <f t="shared" ca="1" si="11"/>
        <v>0</v>
      </c>
    </row>
    <row r="744" spans="2:4">
      <c r="B744">
        <v>743</v>
      </c>
      <c r="C744" t="b">
        <f>B744&lt;=A1</f>
        <v>0</v>
      </c>
      <c r="D744">
        <f t="shared" ca="1" si="11"/>
        <v>0</v>
      </c>
    </row>
    <row r="745" spans="2:4">
      <c r="B745">
        <v>744</v>
      </c>
      <c r="C745" t="b">
        <f>B745&lt;=A1</f>
        <v>0</v>
      </c>
      <c r="D745">
        <f t="shared" ca="1" si="11"/>
        <v>0</v>
      </c>
    </row>
    <row r="746" spans="2:4">
      <c r="B746">
        <v>745</v>
      </c>
      <c r="C746" t="b">
        <f>B746&lt;=A1</f>
        <v>0</v>
      </c>
      <c r="D746">
        <f t="shared" ca="1" si="11"/>
        <v>0</v>
      </c>
    </row>
    <row r="747" spans="2:4">
      <c r="B747">
        <v>746</v>
      </c>
      <c r="C747" t="b">
        <f>B747&lt;=A1</f>
        <v>0</v>
      </c>
      <c r="D747">
        <f t="shared" ca="1" si="11"/>
        <v>0</v>
      </c>
    </row>
    <row r="748" spans="2:4">
      <c r="B748">
        <v>747</v>
      </c>
      <c r="C748" t="b">
        <f>B748&lt;=A1</f>
        <v>0</v>
      </c>
      <c r="D748">
        <f t="shared" ca="1" si="11"/>
        <v>0</v>
      </c>
    </row>
    <row r="749" spans="2:4">
      <c r="B749">
        <v>748</v>
      </c>
      <c r="C749" t="b">
        <f>B749&lt;=A1</f>
        <v>0</v>
      </c>
      <c r="D749">
        <f t="shared" ca="1" si="11"/>
        <v>0</v>
      </c>
    </row>
    <row r="750" spans="2:4">
      <c r="B750">
        <v>749</v>
      </c>
      <c r="C750" t="b">
        <f>B750&lt;=A1</f>
        <v>0</v>
      </c>
      <c r="D750">
        <f t="shared" ca="1" si="11"/>
        <v>0</v>
      </c>
    </row>
    <row r="751" spans="2:4">
      <c r="B751">
        <v>750</v>
      </c>
      <c r="C751" t="b">
        <f>B751&lt;=A1</f>
        <v>0</v>
      </c>
      <c r="D751">
        <f t="shared" ca="1" si="11"/>
        <v>0</v>
      </c>
    </row>
    <row r="752" spans="2:4">
      <c r="B752">
        <v>751</v>
      </c>
      <c r="C752" t="b">
        <f>B752&lt;=A1</f>
        <v>0</v>
      </c>
      <c r="D752">
        <f t="shared" ca="1" si="11"/>
        <v>0</v>
      </c>
    </row>
    <row r="753" spans="2:4">
      <c r="B753">
        <v>752</v>
      </c>
      <c r="C753" t="b">
        <f>B753&lt;=A1</f>
        <v>0</v>
      </c>
      <c r="D753">
        <f t="shared" ca="1" si="11"/>
        <v>0</v>
      </c>
    </row>
    <row r="754" spans="2:4">
      <c r="B754">
        <v>753</v>
      </c>
      <c r="C754" t="b">
        <f>B754&lt;=A1</f>
        <v>0</v>
      </c>
      <c r="D754">
        <f t="shared" ca="1" si="11"/>
        <v>0</v>
      </c>
    </row>
    <row r="755" spans="2:4">
      <c r="B755">
        <v>754</v>
      </c>
      <c r="C755" t="b">
        <f>B755&lt;=A1</f>
        <v>0</v>
      </c>
      <c r="D755">
        <f t="shared" ca="1" si="11"/>
        <v>0</v>
      </c>
    </row>
    <row r="756" spans="2:4">
      <c r="B756">
        <v>755</v>
      </c>
      <c r="C756" t="b">
        <f>B756&lt;=A1</f>
        <v>0</v>
      </c>
      <c r="D756">
        <f t="shared" ca="1" si="11"/>
        <v>0</v>
      </c>
    </row>
    <row r="757" spans="2:4">
      <c r="B757">
        <v>756</v>
      </c>
      <c r="C757" t="b">
        <f>B757&lt;=A1</f>
        <v>0</v>
      </c>
      <c r="D757">
        <f t="shared" ca="1" si="11"/>
        <v>0</v>
      </c>
    </row>
    <row r="758" spans="2:4">
      <c r="B758">
        <v>757</v>
      </c>
      <c r="C758" t="b">
        <f>B758&lt;=A1</f>
        <v>0</v>
      </c>
      <c r="D758">
        <f t="shared" ca="1" si="11"/>
        <v>0</v>
      </c>
    </row>
    <row r="759" spans="2:4">
      <c r="B759">
        <v>758</v>
      </c>
      <c r="C759" t="b">
        <f>B759&lt;=A1</f>
        <v>0</v>
      </c>
      <c r="D759">
        <f t="shared" ca="1" si="11"/>
        <v>0</v>
      </c>
    </row>
    <row r="760" spans="2:4">
      <c r="B760">
        <v>759</v>
      </c>
      <c r="C760" t="b">
        <f>B760&lt;=A1</f>
        <v>0</v>
      </c>
      <c r="D760">
        <f t="shared" ca="1" si="11"/>
        <v>0</v>
      </c>
    </row>
    <row r="761" spans="2:4">
      <c r="B761">
        <v>760</v>
      </c>
      <c r="C761" t="b">
        <f>B761&lt;=A1</f>
        <v>0</v>
      </c>
      <c r="D761">
        <f t="shared" ca="1" si="11"/>
        <v>0</v>
      </c>
    </row>
    <row r="762" spans="2:4">
      <c r="B762">
        <v>761</v>
      </c>
      <c r="C762" t="b">
        <f>B762&lt;=A1</f>
        <v>0</v>
      </c>
      <c r="D762">
        <f t="shared" ca="1" si="11"/>
        <v>0</v>
      </c>
    </row>
    <row r="763" spans="2:4">
      <c r="B763">
        <v>762</v>
      </c>
      <c r="C763" t="b">
        <f>B763&lt;=A1</f>
        <v>0</v>
      </c>
      <c r="D763">
        <f t="shared" ca="1" si="11"/>
        <v>0</v>
      </c>
    </row>
    <row r="764" spans="2:4">
      <c r="B764">
        <v>763</v>
      </c>
      <c r="C764" t="b">
        <f>B764&lt;=A1</f>
        <v>0</v>
      </c>
      <c r="D764">
        <f t="shared" ca="1" si="11"/>
        <v>0</v>
      </c>
    </row>
    <row r="765" spans="2:4">
      <c r="B765">
        <v>764</v>
      </c>
      <c r="C765" t="b">
        <f>B765&lt;=A1</f>
        <v>0</v>
      </c>
      <c r="D765">
        <f t="shared" ca="1" si="11"/>
        <v>0</v>
      </c>
    </row>
    <row r="766" spans="2:4">
      <c r="B766">
        <v>765</v>
      </c>
      <c r="C766" t="b">
        <f>B766&lt;=A1</f>
        <v>0</v>
      </c>
      <c r="D766">
        <f t="shared" ca="1" si="11"/>
        <v>0</v>
      </c>
    </row>
    <row r="767" spans="2:4">
      <c r="B767">
        <v>766</v>
      </c>
      <c r="C767" t="b">
        <f>B767&lt;=A1</f>
        <v>0</v>
      </c>
      <c r="D767">
        <f t="shared" ca="1" si="11"/>
        <v>0</v>
      </c>
    </row>
    <row r="768" spans="2:4">
      <c r="B768">
        <v>767</v>
      </c>
      <c r="C768" t="b">
        <f>B768&lt;=A1</f>
        <v>0</v>
      </c>
      <c r="D768">
        <f t="shared" ca="1" si="11"/>
        <v>0</v>
      </c>
    </row>
    <row r="769" spans="2:4">
      <c r="B769">
        <v>768</v>
      </c>
      <c r="C769" t="b">
        <f>B769&lt;=A1</f>
        <v>0</v>
      </c>
      <c r="D769">
        <f t="shared" ca="1" si="11"/>
        <v>0</v>
      </c>
    </row>
    <row r="770" spans="2:4">
      <c r="B770">
        <v>769</v>
      </c>
      <c r="C770" t="b">
        <f>B770&lt;=A1</f>
        <v>0</v>
      </c>
      <c r="D770">
        <f t="shared" ref="D770:D833" ca="1" si="12">IF(C770,INDIRECT("person_db!B"&amp;(B770+1)),INDIRECT("person!B"&amp;(B770-$A$1+1)))</f>
        <v>0</v>
      </c>
    </row>
    <row r="771" spans="2:4">
      <c r="B771">
        <v>770</v>
      </c>
      <c r="C771" t="b">
        <f>B771&lt;=A1</f>
        <v>0</v>
      </c>
      <c r="D771">
        <f t="shared" ca="1" si="12"/>
        <v>0</v>
      </c>
    </row>
    <row r="772" spans="2:4">
      <c r="B772">
        <v>771</v>
      </c>
      <c r="C772" t="b">
        <f>B772&lt;=A1</f>
        <v>0</v>
      </c>
      <c r="D772">
        <f t="shared" ca="1" si="12"/>
        <v>0</v>
      </c>
    </row>
    <row r="773" spans="2:4">
      <c r="B773">
        <v>772</v>
      </c>
      <c r="C773" t="b">
        <f>B773&lt;=A1</f>
        <v>0</v>
      </c>
      <c r="D773">
        <f t="shared" ca="1" si="12"/>
        <v>0</v>
      </c>
    </row>
    <row r="774" spans="2:4">
      <c r="B774">
        <v>773</v>
      </c>
      <c r="C774" t="b">
        <f>B774&lt;=A1</f>
        <v>0</v>
      </c>
      <c r="D774">
        <f t="shared" ca="1" si="12"/>
        <v>0</v>
      </c>
    </row>
    <row r="775" spans="2:4">
      <c r="B775">
        <v>774</v>
      </c>
      <c r="C775" t="b">
        <f>B775&lt;=A1</f>
        <v>0</v>
      </c>
      <c r="D775">
        <f t="shared" ca="1" si="12"/>
        <v>0</v>
      </c>
    </row>
    <row r="776" spans="2:4">
      <c r="B776">
        <v>775</v>
      </c>
      <c r="C776" t="b">
        <f>B776&lt;=A1</f>
        <v>0</v>
      </c>
      <c r="D776">
        <f t="shared" ca="1" si="12"/>
        <v>0</v>
      </c>
    </row>
    <row r="777" spans="2:4">
      <c r="B777">
        <v>776</v>
      </c>
      <c r="C777" t="b">
        <f>B777&lt;=A1</f>
        <v>0</v>
      </c>
      <c r="D777">
        <f t="shared" ca="1" si="12"/>
        <v>0</v>
      </c>
    </row>
    <row r="778" spans="2:4">
      <c r="B778">
        <v>777</v>
      </c>
      <c r="C778" t="b">
        <f>B778&lt;=A1</f>
        <v>0</v>
      </c>
      <c r="D778">
        <f t="shared" ca="1" si="12"/>
        <v>0</v>
      </c>
    </row>
    <row r="779" spans="2:4">
      <c r="B779">
        <v>778</v>
      </c>
      <c r="C779" t="b">
        <f>B779&lt;=A1</f>
        <v>0</v>
      </c>
      <c r="D779">
        <f t="shared" ca="1" si="12"/>
        <v>0</v>
      </c>
    </row>
    <row r="780" spans="2:4">
      <c r="B780">
        <v>779</v>
      </c>
      <c r="C780" t="b">
        <f>B780&lt;=A1</f>
        <v>0</v>
      </c>
      <c r="D780">
        <f t="shared" ca="1" si="12"/>
        <v>0</v>
      </c>
    </row>
    <row r="781" spans="2:4">
      <c r="B781">
        <v>780</v>
      </c>
      <c r="C781" t="b">
        <f>B781&lt;=A1</f>
        <v>0</v>
      </c>
      <c r="D781">
        <f t="shared" ca="1" si="12"/>
        <v>0</v>
      </c>
    </row>
    <row r="782" spans="2:4">
      <c r="B782">
        <v>781</v>
      </c>
      <c r="C782" t="b">
        <f>B782&lt;=A1</f>
        <v>0</v>
      </c>
      <c r="D782">
        <f t="shared" ca="1" si="12"/>
        <v>0</v>
      </c>
    </row>
    <row r="783" spans="2:4">
      <c r="B783">
        <v>782</v>
      </c>
      <c r="C783" t="b">
        <f>B783&lt;=A1</f>
        <v>0</v>
      </c>
      <c r="D783">
        <f t="shared" ca="1" si="12"/>
        <v>0</v>
      </c>
    </row>
    <row r="784" spans="2:4">
      <c r="B784">
        <v>783</v>
      </c>
      <c r="C784" t="b">
        <f>B784&lt;=A1</f>
        <v>0</v>
      </c>
      <c r="D784">
        <f t="shared" ca="1" si="12"/>
        <v>0</v>
      </c>
    </row>
    <row r="785" spans="2:4">
      <c r="B785">
        <v>784</v>
      </c>
      <c r="C785" t="b">
        <f>B785&lt;=A1</f>
        <v>0</v>
      </c>
      <c r="D785">
        <f t="shared" ca="1" si="12"/>
        <v>0</v>
      </c>
    </row>
    <row r="786" spans="2:4">
      <c r="B786">
        <v>785</v>
      </c>
      <c r="C786" t="b">
        <f>B786&lt;=A1</f>
        <v>0</v>
      </c>
      <c r="D786">
        <f t="shared" ca="1" si="12"/>
        <v>0</v>
      </c>
    </row>
    <row r="787" spans="2:4">
      <c r="B787">
        <v>786</v>
      </c>
      <c r="C787" t="b">
        <f>B787&lt;=A1</f>
        <v>0</v>
      </c>
      <c r="D787">
        <f t="shared" ca="1" si="12"/>
        <v>0</v>
      </c>
    </row>
    <row r="788" spans="2:4">
      <c r="B788">
        <v>787</v>
      </c>
      <c r="C788" t="b">
        <f>B788&lt;=A1</f>
        <v>0</v>
      </c>
      <c r="D788">
        <f t="shared" ca="1" si="12"/>
        <v>0</v>
      </c>
    </row>
    <row r="789" spans="2:4">
      <c r="B789">
        <v>788</v>
      </c>
      <c r="C789" t="b">
        <f>B789&lt;=A1</f>
        <v>0</v>
      </c>
      <c r="D789">
        <f t="shared" ca="1" si="12"/>
        <v>0</v>
      </c>
    </row>
    <row r="790" spans="2:4">
      <c r="B790">
        <v>789</v>
      </c>
      <c r="C790" t="b">
        <f>B790&lt;=A1</f>
        <v>0</v>
      </c>
      <c r="D790">
        <f t="shared" ca="1" si="12"/>
        <v>0</v>
      </c>
    </row>
    <row r="791" spans="2:4">
      <c r="B791">
        <v>790</v>
      </c>
      <c r="C791" t="b">
        <f>B791&lt;=A1</f>
        <v>0</v>
      </c>
      <c r="D791">
        <f t="shared" ca="1" si="12"/>
        <v>0</v>
      </c>
    </row>
    <row r="792" spans="2:4">
      <c r="B792">
        <v>791</v>
      </c>
      <c r="C792" t="b">
        <f>B792&lt;=A1</f>
        <v>0</v>
      </c>
      <c r="D792">
        <f t="shared" ca="1" si="12"/>
        <v>0</v>
      </c>
    </row>
    <row r="793" spans="2:4">
      <c r="B793">
        <v>792</v>
      </c>
      <c r="C793" t="b">
        <f>B793&lt;=A1</f>
        <v>0</v>
      </c>
      <c r="D793">
        <f t="shared" ca="1" si="12"/>
        <v>0</v>
      </c>
    </row>
    <row r="794" spans="2:4">
      <c r="B794">
        <v>793</v>
      </c>
      <c r="C794" t="b">
        <f>B794&lt;=A1</f>
        <v>0</v>
      </c>
      <c r="D794">
        <f t="shared" ca="1" si="12"/>
        <v>0</v>
      </c>
    </row>
    <row r="795" spans="2:4">
      <c r="B795">
        <v>794</v>
      </c>
      <c r="C795" t="b">
        <f>B795&lt;=A1</f>
        <v>0</v>
      </c>
      <c r="D795">
        <f t="shared" ca="1" si="12"/>
        <v>0</v>
      </c>
    </row>
    <row r="796" spans="2:4">
      <c r="B796">
        <v>795</v>
      </c>
      <c r="C796" t="b">
        <f>B796&lt;=A1</f>
        <v>0</v>
      </c>
      <c r="D796">
        <f t="shared" ca="1" si="12"/>
        <v>0</v>
      </c>
    </row>
    <row r="797" spans="2:4">
      <c r="B797">
        <v>796</v>
      </c>
      <c r="C797" t="b">
        <f>B797&lt;=A1</f>
        <v>0</v>
      </c>
      <c r="D797">
        <f t="shared" ca="1" si="12"/>
        <v>0</v>
      </c>
    </row>
    <row r="798" spans="2:4">
      <c r="B798">
        <v>797</v>
      </c>
      <c r="C798" t="b">
        <f>B798&lt;=A1</f>
        <v>0</v>
      </c>
      <c r="D798">
        <f t="shared" ca="1" si="12"/>
        <v>0</v>
      </c>
    </row>
    <row r="799" spans="2:4">
      <c r="B799">
        <v>798</v>
      </c>
      <c r="C799" t="b">
        <f>B799&lt;=A1</f>
        <v>0</v>
      </c>
      <c r="D799">
        <f t="shared" ca="1" si="12"/>
        <v>0</v>
      </c>
    </row>
    <row r="800" spans="2:4">
      <c r="B800">
        <v>799</v>
      </c>
      <c r="C800" t="b">
        <f>B800&lt;=A1</f>
        <v>0</v>
      </c>
      <c r="D800">
        <f t="shared" ca="1" si="12"/>
        <v>0</v>
      </c>
    </row>
    <row r="801" spans="2:4">
      <c r="B801">
        <v>800</v>
      </c>
      <c r="C801" t="b">
        <f>B801&lt;=A1</f>
        <v>0</v>
      </c>
      <c r="D801">
        <f t="shared" ca="1" si="12"/>
        <v>0</v>
      </c>
    </row>
    <row r="802" spans="2:4">
      <c r="B802">
        <v>801</v>
      </c>
      <c r="C802" t="b">
        <f>B802&lt;=A1</f>
        <v>0</v>
      </c>
      <c r="D802">
        <f t="shared" ca="1" si="12"/>
        <v>0</v>
      </c>
    </row>
    <row r="803" spans="2:4">
      <c r="B803">
        <v>802</v>
      </c>
      <c r="C803" t="b">
        <f>B803&lt;=A1</f>
        <v>0</v>
      </c>
      <c r="D803">
        <f t="shared" ca="1" si="12"/>
        <v>0</v>
      </c>
    </row>
    <row r="804" spans="2:4">
      <c r="B804">
        <v>803</v>
      </c>
      <c r="C804" t="b">
        <f>B804&lt;=A1</f>
        <v>0</v>
      </c>
      <c r="D804">
        <f t="shared" ca="1" si="12"/>
        <v>0</v>
      </c>
    </row>
    <row r="805" spans="2:4">
      <c r="B805">
        <v>804</v>
      </c>
      <c r="C805" t="b">
        <f>B805&lt;=A1</f>
        <v>0</v>
      </c>
      <c r="D805">
        <f t="shared" ca="1" si="12"/>
        <v>0</v>
      </c>
    </row>
    <row r="806" spans="2:4">
      <c r="B806">
        <v>805</v>
      </c>
      <c r="C806" t="b">
        <f>B806&lt;=A1</f>
        <v>0</v>
      </c>
      <c r="D806">
        <f t="shared" ca="1" si="12"/>
        <v>0</v>
      </c>
    </row>
    <row r="807" spans="2:4">
      <c r="B807">
        <v>806</v>
      </c>
      <c r="C807" t="b">
        <f>B807&lt;=A1</f>
        <v>0</v>
      </c>
      <c r="D807">
        <f t="shared" ca="1" si="12"/>
        <v>0</v>
      </c>
    </row>
    <row r="808" spans="2:4">
      <c r="B808">
        <v>807</v>
      </c>
      <c r="C808" t="b">
        <f>B808&lt;=A1</f>
        <v>0</v>
      </c>
      <c r="D808">
        <f t="shared" ca="1" si="12"/>
        <v>0</v>
      </c>
    </row>
    <row r="809" spans="2:4">
      <c r="B809">
        <v>808</v>
      </c>
      <c r="C809" t="b">
        <f>B809&lt;=A1</f>
        <v>0</v>
      </c>
      <c r="D809">
        <f t="shared" ca="1" si="12"/>
        <v>0</v>
      </c>
    </row>
    <row r="810" spans="2:4">
      <c r="B810">
        <v>809</v>
      </c>
      <c r="C810" t="b">
        <f>B810&lt;=A1</f>
        <v>0</v>
      </c>
      <c r="D810">
        <f t="shared" ca="1" si="12"/>
        <v>0</v>
      </c>
    </row>
    <row r="811" spans="2:4">
      <c r="B811">
        <v>810</v>
      </c>
      <c r="C811" t="b">
        <f>B811&lt;=A1</f>
        <v>0</v>
      </c>
      <c r="D811">
        <f t="shared" ca="1" si="12"/>
        <v>0</v>
      </c>
    </row>
    <row r="812" spans="2:4">
      <c r="B812">
        <v>811</v>
      </c>
      <c r="C812" t="b">
        <f>B812&lt;=A1</f>
        <v>0</v>
      </c>
      <c r="D812">
        <f t="shared" ca="1" si="12"/>
        <v>0</v>
      </c>
    </row>
    <row r="813" spans="2:4">
      <c r="B813">
        <v>812</v>
      </c>
      <c r="C813" t="b">
        <f>B813&lt;=A1</f>
        <v>0</v>
      </c>
      <c r="D813">
        <f t="shared" ca="1" si="12"/>
        <v>0</v>
      </c>
    </row>
    <row r="814" spans="2:4">
      <c r="B814">
        <v>813</v>
      </c>
      <c r="C814" t="b">
        <f>B814&lt;=A1</f>
        <v>0</v>
      </c>
      <c r="D814">
        <f t="shared" ca="1" si="12"/>
        <v>0</v>
      </c>
    </row>
    <row r="815" spans="2:4">
      <c r="B815">
        <v>814</v>
      </c>
      <c r="C815" t="b">
        <f>B815&lt;=A1</f>
        <v>0</v>
      </c>
      <c r="D815">
        <f t="shared" ca="1" si="12"/>
        <v>0</v>
      </c>
    </row>
    <row r="816" spans="2:4">
      <c r="B816">
        <v>815</v>
      </c>
      <c r="C816" t="b">
        <f>B816&lt;=A1</f>
        <v>0</v>
      </c>
      <c r="D816">
        <f t="shared" ca="1" si="12"/>
        <v>0</v>
      </c>
    </row>
    <row r="817" spans="2:4">
      <c r="B817">
        <v>816</v>
      </c>
      <c r="C817" t="b">
        <f>B817&lt;=A1</f>
        <v>0</v>
      </c>
      <c r="D817">
        <f t="shared" ca="1" si="12"/>
        <v>0</v>
      </c>
    </row>
    <row r="818" spans="2:4">
      <c r="B818">
        <v>817</v>
      </c>
      <c r="C818" t="b">
        <f>B818&lt;=A1</f>
        <v>0</v>
      </c>
      <c r="D818">
        <f t="shared" ca="1" si="12"/>
        <v>0</v>
      </c>
    </row>
    <row r="819" spans="2:4">
      <c r="B819">
        <v>818</v>
      </c>
      <c r="C819" t="b">
        <f>B819&lt;=A1</f>
        <v>0</v>
      </c>
      <c r="D819">
        <f t="shared" ca="1" si="12"/>
        <v>0</v>
      </c>
    </row>
    <row r="820" spans="2:4">
      <c r="B820">
        <v>819</v>
      </c>
      <c r="C820" t="b">
        <f>B820&lt;=A1</f>
        <v>0</v>
      </c>
      <c r="D820">
        <f t="shared" ca="1" si="12"/>
        <v>0</v>
      </c>
    </row>
    <row r="821" spans="2:4">
      <c r="B821">
        <v>820</v>
      </c>
      <c r="C821" t="b">
        <f>B821&lt;=A1</f>
        <v>0</v>
      </c>
      <c r="D821">
        <f t="shared" ca="1" si="12"/>
        <v>0</v>
      </c>
    </row>
    <row r="822" spans="2:4">
      <c r="B822">
        <v>821</v>
      </c>
      <c r="C822" t="b">
        <f>B822&lt;=A1</f>
        <v>0</v>
      </c>
      <c r="D822">
        <f t="shared" ca="1" si="12"/>
        <v>0</v>
      </c>
    </row>
    <row r="823" spans="2:4">
      <c r="B823">
        <v>822</v>
      </c>
      <c r="C823" t="b">
        <f>B823&lt;=A1</f>
        <v>0</v>
      </c>
      <c r="D823">
        <f t="shared" ca="1" si="12"/>
        <v>0</v>
      </c>
    </row>
    <row r="824" spans="2:4">
      <c r="B824">
        <v>823</v>
      </c>
      <c r="C824" t="b">
        <f>B824&lt;=A1</f>
        <v>0</v>
      </c>
      <c r="D824">
        <f t="shared" ca="1" si="12"/>
        <v>0</v>
      </c>
    </row>
    <row r="825" spans="2:4">
      <c r="B825">
        <v>824</v>
      </c>
      <c r="C825" t="b">
        <f>B825&lt;=A1</f>
        <v>0</v>
      </c>
      <c r="D825">
        <f t="shared" ca="1" si="12"/>
        <v>0</v>
      </c>
    </row>
    <row r="826" spans="2:4">
      <c r="B826">
        <v>825</v>
      </c>
      <c r="C826" t="b">
        <f>B826&lt;=A1</f>
        <v>0</v>
      </c>
      <c r="D826">
        <f t="shared" ca="1" si="12"/>
        <v>0</v>
      </c>
    </row>
    <row r="827" spans="2:4">
      <c r="B827">
        <v>826</v>
      </c>
      <c r="C827" t="b">
        <f>B827&lt;=A1</f>
        <v>0</v>
      </c>
      <c r="D827">
        <f t="shared" ca="1" si="12"/>
        <v>0</v>
      </c>
    </row>
    <row r="828" spans="2:4">
      <c r="B828">
        <v>827</v>
      </c>
      <c r="C828" t="b">
        <f>B828&lt;=A1</f>
        <v>0</v>
      </c>
      <c r="D828">
        <f t="shared" ca="1" si="12"/>
        <v>0</v>
      </c>
    </row>
    <row r="829" spans="2:4">
      <c r="B829">
        <v>828</v>
      </c>
      <c r="C829" t="b">
        <f>B829&lt;=A1</f>
        <v>0</v>
      </c>
      <c r="D829">
        <f t="shared" ca="1" si="12"/>
        <v>0</v>
      </c>
    </row>
    <row r="830" spans="2:4">
      <c r="B830">
        <v>829</v>
      </c>
      <c r="C830" t="b">
        <f>B830&lt;=A1</f>
        <v>0</v>
      </c>
      <c r="D830">
        <f t="shared" ca="1" si="12"/>
        <v>0</v>
      </c>
    </row>
    <row r="831" spans="2:4">
      <c r="B831">
        <v>830</v>
      </c>
      <c r="C831" t="b">
        <f>B831&lt;=A1</f>
        <v>0</v>
      </c>
      <c r="D831">
        <f t="shared" ca="1" si="12"/>
        <v>0</v>
      </c>
    </row>
    <row r="832" spans="2:4">
      <c r="B832">
        <v>831</v>
      </c>
      <c r="C832" t="b">
        <f>B832&lt;=A1</f>
        <v>0</v>
      </c>
      <c r="D832">
        <f t="shared" ca="1" si="12"/>
        <v>0</v>
      </c>
    </row>
    <row r="833" spans="2:4">
      <c r="B833">
        <v>832</v>
      </c>
      <c r="C833" t="b">
        <f>B833&lt;=A1</f>
        <v>0</v>
      </c>
      <c r="D833">
        <f t="shared" ca="1" si="12"/>
        <v>0</v>
      </c>
    </row>
    <row r="834" spans="2:4">
      <c r="B834">
        <v>833</v>
      </c>
      <c r="C834" t="b">
        <f>B834&lt;=A1</f>
        <v>0</v>
      </c>
      <c r="D834">
        <f t="shared" ref="D834:D897" ca="1" si="13">IF(C834,INDIRECT("person_db!B"&amp;(B834+1)),INDIRECT("person!B"&amp;(B834-$A$1+1)))</f>
        <v>0</v>
      </c>
    </row>
    <row r="835" spans="2:4">
      <c r="B835">
        <v>834</v>
      </c>
      <c r="C835" t="b">
        <f>B835&lt;=A1</f>
        <v>0</v>
      </c>
      <c r="D835">
        <f t="shared" ca="1" si="13"/>
        <v>0</v>
      </c>
    </row>
    <row r="836" spans="2:4">
      <c r="B836">
        <v>835</v>
      </c>
      <c r="C836" t="b">
        <f>B836&lt;=A1</f>
        <v>0</v>
      </c>
      <c r="D836">
        <f t="shared" ca="1" si="13"/>
        <v>0</v>
      </c>
    </row>
    <row r="837" spans="2:4">
      <c r="B837">
        <v>836</v>
      </c>
      <c r="C837" t="b">
        <f>B837&lt;=A1</f>
        <v>0</v>
      </c>
      <c r="D837">
        <f t="shared" ca="1" si="13"/>
        <v>0</v>
      </c>
    </row>
    <row r="838" spans="2:4">
      <c r="B838">
        <v>837</v>
      </c>
      <c r="C838" t="b">
        <f>B838&lt;=A1</f>
        <v>0</v>
      </c>
      <c r="D838">
        <f t="shared" ca="1" si="13"/>
        <v>0</v>
      </c>
    </row>
    <row r="839" spans="2:4">
      <c r="B839">
        <v>838</v>
      </c>
      <c r="C839" t="b">
        <f>B839&lt;=A1</f>
        <v>0</v>
      </c>
      <c r="D839">
        <f t="shared" ca="1" si="13"/>
        <v>0</v>
      </c>
    </row>
    <row r="840" spans="2:4">
      <c r="B840">
        <v>839</v>
      </c>
      <c r="C840" t="b">
        <f>B840&lt;=A1</f>
        <v>0</v>
      </c>
      <c r="D840">
        <f t="shared" ca="1" si="13"/>
        <v>0</v>
      </c>
    </row>
    <row r="841" spans="2:4">
      <c r="B841">
        <v>840</v>
      </c>
      <c r="C841" t="b">
        <f>B841&lt;=A1</f>
        <v>0</v>
      </c>
      <c r="D841">
        <f t="shared" ca="1" si="13"/>
        <v>0</v>
      </c>
    </row>
    <row r="842" spans="2:4">
      <c r="B842">
        <v>841</v>
      </c>
      <c r="C842" t="b">
        <f>B842&lt;=A1</f>
        <v>0</v>
      </c>
      <c r="D842">
        <f t="shared" ca="1" si="13"/>
        <v>0</v>
      </c>
    </row>
    <row r="843" spans="2:4">
      <c r="B843">
        <v>842</v>
      </c>
      <c r="C843" t="b">
        <f>B843&lt;=A1</f>
        <v>0</v>
      </c>
      <c r="D843">
        <f t="shared" ca="1" si="13"/>
        <v>0</v>
      </c>
    </row>
    <row r="844" spans="2:4">
      <c r="B844">
        <v>843</v>
      </c>
      <c r="C844" t="b">
        <f>B844&lt;=A1</f>
        <v>0</v>
      </c>
      <c r="D844">
        <f t="shared" ca="1" si="13"/>
        <v>0</v>
      </c>
    </row>
    <row r="845" spans="2:4">
      <c r="B845">
        <v>844</v>
      </c>
      <c r="C845" t="b">
        <f>B845&lt;=A1</f>
        <v>0</v>
      </c>
      <c r="D845">
        <f t="shared" ca="1" si="13"/>
        <v>0</v>
      </c>
    </row>
    <row r="846" spans="2:4">
      <c r="B846">
        <v>845</v>
      </c>
      <c r="C846" t="b">
        <f>B846&lt;=A1</f>
        <v>0</v>
      </c>
      <c r="D846">
        <f t="shared" ca="1" si="13"/>
        <v>0</v>
      </c>
    </row>
    <row r="847" spans="2:4">
      <c r="B847">
        <v>846</v>
      </c>
      <c r="C847" t="b">
        <f>B847&lt;=A1</f>
        <v>0</v>
      </c>
      <c r="D847">
        <f t="shared" ca="1" si="13"/>
        <v>0</v>
      </c>
    </row>
    <row r="848" spans="2:4">
      <c r="B848">
        <v>847</v>
      </c>
      <c r="C848" t="b">
        <f>B848&lt;=A1</f>
        <v>0</v>
      </c>
      <c r="D848">
        <f t="shared" ca="1" si="13"/>
        <v>0</v>
      </c>
    </row>
    <row r="849" spans="2:4">
      <c r="B849">
        <v>848</v>
      </c>
      <c r="C849" t="b">
        <f>B849&lt;=A1</f>
        <v>0</v>
      </c>
      <c r="D849">
        <f t="shared" ca="1" si="13"/>
        <v>0</v>
      </c>
    </row>
    <row r="850" spans="2:4">
      <c r="B850">
        <v>849</v>
      </c>
      <c r="C850" t="b">
        <f>B850&lt;=A1</f>
        <v>0</v>
      </c>
      <c r="D850">
        <f t="shared" ca="1" si="13"/>
        <v>0</v>
      </c>
    </row>
    <row r="851" spans="2:4">
      <c r="B851">
        <v>850</v>
      </c>
      <c r="C851" t="b">
        <f>B851&lt;=A1</f>
        <v>0</v>
      </c>
      <c r="D851">
        <f t="shared" ca="1" si="13"/>
        <v>0</v>
      </c>
    </row>
    <row r="852" spans="2:4">
      <c r="B852">
        <v>851</v>
      </c>
      <c r="C852" t="b">
        <f>B852&lt;=A1</f>
        <v>0</v>
      </c>
      <c r="D852">
        <f t="shared" ca="1" si="13"/>
        <v>0</v>
      </c>
    </row>
    <row r="853" spans="2:4">
      <c r="B853">
        <v>852</v>
      </c>
      <c r="C853" t="b">
        <f>B853&lt;=A1</f>
        <v>0</v>
      </c>
      <c r="D853">
        <f t="shared" ca="1" si="13"/>
        <v>0</v>
      </c>
    </row>
    <row r="854" spans="2:4">
      <c r="B854">
        <v>853</v>
      </c>
      <c r="C854" t="b">
        <f>B854&lt;=A1</f>
        <v>0</v>
      </c>
      <c r="D854">
        <f t="shared" ca="1" si="13"/>
        <v>0</v>
      </c>
    </row>
    <row r="855" spans="2:4">
      <c r="B855">
        <v>854</v>
      </c>
      <c r="C855" t="b">
        <f>B855&lt;=A1</f>
        <v>0</v>
      </c>
      <c r="D855">
        <f t="shared" ca="1" si="13"/>
        <v>0</v>
      </c>
    </row>
    <row r="856" spans="2:4">
      <c r="B856">
        <v>855</v>
      </c>
      <c r="C856" t="b">
        <f>B856&lt;=A1</f>
        <v>0</v>
      </c>
      <c r="D856">
        <f t="shared" ca="1" si="13"/>
        <v>0</v>
      </c>
    </row>
    <row r="857" spans="2:4">
      <c r="B857">
        <v>856</v>
      </c>
      <c r="C857" t="b">
        <f>B857&lt;=A1</f>
        <v>0</v>
      </c>
      <c r="D857">
        <f t="shared" ca="1" si="13"/>
        <v>0</v>
      </c>
    </row>
    <row r="858" spans="2:4">
      <c r="B858">
        <v>857</v>
      </c>
      <c r="C858" t="b">
        <f>B858&lt;=A1</f>
        <v>0</v>
      </c>
      <c r="D858">
        <f t="shared" ca="1" si="13"/>
        <v>0</v>
      </c>
    </row>
    <row r="859" spans="2:4">
      <c r="B859">
        <v>858</v>
      </c>
      <c r="C859" t="b">
        <f>B859&lt;=A1</f>
        <v>0</v>
      </c>
      <c r="D859">
        <f t="shared" ca="1" si="13"/>
        <v>0</v>
      </c>
    </row>
    <row r="860" spans="2:4">
      <c r="B860">
        <v>859</v>
      </c>
      <c r="C860" t="b">
        <f>B860&lt;=A1</f>
        <v>0</v>
      </c>
      <c r="D860">
        <f t="shared" ca="1" si="13"/>
        <v>0</v>
      </c>
    </row>
    <row r="861" spans="2:4">
      <c r="B861">
        <v>860</v>
      </c>
      <c r="C861" t="b">
        <f>B861&lt;=A1</f>
        <v>0</v>
      </c>
      <c r="D861">
        <f t="shared" ca="1" si="13"/>
        <v>0</v>
      </c>
    </row>
    <row r="862" spans="2:4">
      <c r="B862">
        <v>861</v>
      </c>
      <c r="C862" t="b">
        <f>B862&lt;=A1</f>
        <v>0</v>
      </c>
      <c r="D862">
        <f t="shared" ca="1" si="13"/>
        <v>0</v>
      </c>
    </row>
    <row r="863" spans="2:4">
      <c r="B863">
        <v>862</v>
      </c>
      <c r="C863" t="b">
        <f>B863&lt;=A1</f>
        <v>0</v>
      </c>
      <c r="D863">
        <f t="shared" ca="1" si="13"/>
        <v>0</v>
      </c>
    </row>
    <row r="864" spans="2:4">
      <c r="B864">
        <v>863</v>
      </c>
      <c r="C864" t="b">
        <f>B864&lt;=A1</f>
        <v>0</v>
      </c>
      <c r="D864">
        <f t="shared" ca="1" si="13"/>
        <v>0</v>
      </c>
    </row>
    <row r="865" spans="2:4">
      <c r="B865">
        <v>864</v>
      </c>
      <c r="C865" t="b">
        <f>B865&lt;=A1</f>
        <v>0</v>
      </c>
      <c r="D865">
        <f t="shared" ca="1" si="13"/>
        <v>0</v>
      </c>
    </row>
    <row r="866" spans="2:4">
      <c r="B866">
        <v>865</v>
      </c>
      <c r="C866" t="b">
        <f>B866&lt;=A1</f>
        <v>0</v>
      </c>
      <c r="D866">
        <f t="shared" ca="1" si="13"/>
        <v>0</v>
      </c>
    </row>
    <row r="867" spans="2:4">
      <c r="B867">
        <v>866</v>
      </c>
      <c r="C867" t="b">
        <f>B867&lt;=A1</f>
        <v>0</v>
      </c>
      <c r="D867">
        <f t="shared" ca="1" si="13"/>
        <v>0</v>
      </c>
    </row>
    <row r="868" spans="2:4">
      <c r="B868">
        <v>867</v>
      </c>
      <c r="C868" t="b">
        <f>B868&lt;=A1</f>
        <v>0</v>
      </c>
      <c r="D868">
        <f t="shared" ca="1" si="13"/>
        <v>0</v>
      </c>
    </row>
    <row r="869" spans="2:4">
      <c r="B869">
        <v>868</v>
      </c>
      <c r="C869" t="b">
        <f>B869&lt;=A1</f>
        <v>0</v>
      </c>
      <c r="D869">
        <f t="shared" ca="1" si="13"/>
        <v>0</v>
      </c>
    </row>
    <row r="870" spans="2:4">
      <c r="B870">
        <v>869</v>
      </c>
      <c r="C870" t="b">
        <f>B870&lt;=A1</f>
        <v>0</v>
      </c>
      <c r="D870">
        <f t="shared" ca="1" si="13"/>
        <v>0</v>
      </c>
    </row>
    <row r="871" spans="2:4">
      <c r="B871">
        <v>870</v>
      </c>
      <c r="C871" t="b">
        <f>B871&lt;=A1</f>
        <v>0</v>
      </c>
      <c r="D871">
        <f t="shared" ca="1" si="13"/>
        <v>0</v>
      </c>
    </row>
    <row r="872" spans="2:4">
      <c r="B872">
        <v>871</v>
      </c>
      <c r="C872" t="b">
        <f>B872&lt;=A1</f>
        <v>0</v>
      </c>
      <c r="D872">
        <f t="shared" ca="1" si="13"/>
        <v>0</v>
      </c>
    </row>
    <row r="873" spans="2:4">
      <c r="B873">
        <v>872</v>
      </c>
      <c r="C873" t="b">
        <f>B873&lt;=A1</f>
        <v>0</v>
      </c>
      <c r="D873">
        <f t="shared" ca="1" si="13"/>
        <v>0</v>
      </c>
    </row>
    <row r="874" spans="2:4">
      <c r="B874">
        <v>873</v>
      </c>
      <c r="C874" t="b">
        <f>B874&lt;=A1</f>
        <v>0</v>
      </c>
      <c r="D874">
        <f t="shared" ca="1" si="13"/>
        <v>0</v>
      </c>
    </row>
    <row r="875" spans="2:4">
      <c r="B875">
        <v>874</v>
      </c>
      <c r="C875" t="b">
        <f>B875&lt;=A1</f>
        <v>0</v>
      </c>
      <c r="D875">
        <f t="shared" ca="1" si="13"/>
        <v>0</v>
      </c>
    </row>
    <row r="876" spans="2:4">
      <c r="B876">
        <v>875</v>
      </c>
      <c r="C876" t="b">
        <f>B876&lt;=A1</f>
        <v>0</v>
      </c>
      <c r="D876">
        <f t="shared" ca="1" si="13"/>
        <v>0</v>
      </c>
    </row>
    <row r="877" spans="2:4">
      <c r="B877">
        <v>876</v>
      </c>
      <c r="C877" t="b">
        <f>B877&lt;=A1</f>
        <v>0</v>
      </c>
      <c r="D877">
        <f t="shared" ca="1" si="13"/>
        <v>0</v>
      </c>
    </row>
    <row r="878" spans="2:4">
      <c r="B878">
        <v>877</v>
      </c>
      <c r="C878" t="b">
        <f>B878&lt;=A1</f>
        <v>0</v>
      </c>
      <c r="D878">
        <f t="shared" ca="1" si="13"/>
        <v>0</v>
      </c>
    </row>
    <row r="879" spans="2:4">
      <c r="B879">
        <v>878</v>
      </c>
      <c r="C879" t="b">
        <f>B879&lt;=A1</f>
        <v>0</v>
      </c>
      <c r="D879">
        <f t="shared" ca="1" si="13"/>
        <v>0</v>
      </c>
    </row>
    <row r="880" spans="2:4">
      <c r="B880">
        <v>879</v>
      </c>
      <c r="C880" t="b">
        <f>B880&lt;=A1</f>
        <v>0</v>
      </c>
      <c r="D880">
        <f t="shared" ca="1" si="13"/>
        <v>0</v>
      </c>
    </row>
    <row r="881" spans="2:4">
      <c r="B881">
        <v>880</v>
      </c>
      <c r="C881" t="b">
        <f>B881&lt;=A1</f>
        <v>0</v>
      </c>
      <c r="D881">
        <f t="shared" ca="1" si="13"/>
        <v>0</v>
      </c>
    </row>
    <row r="882" spans="2:4">
      <c r="B882">
        <v>881</v>
      </c>
      <c r="C882" t="b">
        <f>B882&lt;=A1</f>
        <v>0</v>
      </c>
      <c r="D882">
        <f t="shared" ca="1" si="13"/>
        <v>0</v>
      </c>
    </row>
    <row r="883" spans="2:4">
      <c r="B883">
        <v>882</v>
      </c>
      <c r="C883" t="b">
        <f>B883&lt;=A1</f>
        <v>0</v>
      </c>
      <c r="D883">
        <f t="shared" ca="1" si="13"/>
        <v>0</v>
      </c>
    </row>
    <row r="884" spans="2:4">
      <c r="B884">
        <v>883</v>
      </c>
      <c r="C884" t="b">
        <f>B884&lt;=A1</f>
        <v>0</v>
      </c>
      <c r="D884">
        <f t="shared" ca="1" si="13"/>
        <v>0</v>
      </c>
    </row>
    <row r="885" spans="2:4">
      <c r="B885">
        <v>884</v>
      </c>
      <c r="C885" t="b">
        <f>B885&lt;=A1</f>
        <v>0</v>
      </c>
      <c r="D885">
        <f t="shared" ca="1" si="13"/>
        <v>0</v>
      </c>
    </row>
    <row r="886" spans="2:4">
      <c r="B886">
        <v>885</v>
      </c>
      <c r="C886" t="b">
        <f>B886&lt;=A1</f>
        <v>0</v>
      </c>
      <c r="D886">
        <f t="shared" ca="1" si="13"/>
        <v>0</v>
      </c>
    </row>
    <row r="887" spans="2:4">
      <c r="B887">
        <v>886</v>
      </c>
      <c r="C887" t="b">
        <f>B887&lt;=A1</f>
        <v>0</v>
      </c>
      <c r="D887">
        <f t="shared" ca="1" si="13"/>
        <v>0</v>
      </c>
    </row>
    <row r="888" spans="2:4">
      <c r="B888">
        <v>887</v>
      </c>
      <c r="C888" t="b">
        <f>B888&lt;=A1</f>
        <v>0</v>
      </c>
      <c r="D888">
        <f t="shared" ca="1" si="13"/>
        <v>0</v>
      </c>
    </row>
    <row r="889" spans="2:4">
      <c r="B889">
        <v>888</v>
      </c>
      <c r="C889" t="b">
        <f>B889&lt;=A1</f>
        <v>0</v>
      </c>
      <c r="D889">
        <f t="shared" ca="1" si="13"/>
        <v>0</v>
      </c>
    </row>
    <row r="890" spans="2:4">
      <c r="B890">
        <v>889</v>
      </c>
      <c r="C890" t="b">
        <f>B890&lt;=A1</f>
        <v>0</v>
      </c>
      <c r="D890">
        <f t="shared" ca="1" si="13"/>
        <v>0</v>
      </c>
    </row>
    <row r="891" spans="2:4">
      <c r="B891">
        <v>890</v>
      </c>
      <c r="C891" t="b">
        <f>B891&lt;=A1</f>
        <v>0</v>
      </c>
      <c r="D891">
        <f t="shared" ca="1" si="13"/>
        <v>0</v>
      </c>
    </row>
    <row r="892" spans="2:4">
      <c r="B892">
        <v>891</v>
      </c>
      <c r="C892" t="b">
        <f>B892&lt;=A1</f>
        <v>0</v>
      </c>
      <c r="D892">
        <f t="shared" ca="1" si="13"/>
        <v>0</v>
      </c>
    </row>
    <row r="893" spans="2:4">
      <c r="B893">
        <v>892</v>
      </c>
      <c r="C893" t="b">
        <f>B893&lt;=A1</f>
        <v>0</v>
      </c>
      <c r="D893">
        <f t="shared" ca="1" si="13"/>
        <v>0</v>
      </c>
    </row>
    <row r="894" spans="2:4">
      <c r="B894">
        <v>893</v>
      </c>
      <c r="C894" t="b">
        <f>B894&lt;=A1</f>
        <v>0</v>
      </c>
      <c r="D894">
        <f t="shared" ca="1" si="13"/>
        <v>0</v>
      </c>
    </row>
    <row r="895" spans="2:4">
      <c r="B895">
        <v>894</v>
      </c>
      <c r="C895" t="b">
        <f>B895&lt;=A1</f>
        <v>0</v>
      </c>
      <c r="D895">
        <f t="shared" ca="1" si="13"/>
        <v>0</v>
      </c>
    </row>
    <row r="896" spans="2:4">
      <c r="B896">
        <v>895</v>
      </c>
      <c r="C896" t="b">
        <f>B896&lt;=A1</f>
        <v>0</v>
      </c>
      <c r="D896">
        <f t="shared" ca="1" si="13"/>
        <v>0</v>
      </c>
    </row>
    <row r="897" spans="2:4">
      <c r="B897">
        <v>896</v>
      </c>
      <c r="C897" t="b">
        <f>B897&lt;=A1</f>
        <v>0</v>
      </c>
      <c r="D897">
        <f t="shared" ca="1" si="13"/>
        <v>0</v>
      </c>
    </row>
    <row r="898" spans="2:4">
      <c r="B898">
        <v>897</v>
      </c>
      <c r="C898" t="b">
        <f>B898&lt;=A1</f>
        <v>0</v>
      </c>
      <c r="D898">
        <f t="shared" ref="D898:D961" ca="1" si="14">IF(C898,INDIRECT("person_db!B"&amp;(B898+1)),INDIRECT("person!B"&amp;(B898-$A$1+1)))</f>
        <v>0</v>
      </c>
    </row>
    <row r="899" spans="2:4">
      <c r="B899">
        <v>898</v>
      </c>
      <c r="C899" t="b">
        <f>B899&lt;=A1</f>
        <v>0</v>
      </c>
      <c r="D899">
        <f t="shared" ca="1" si="14"/>
        <v>0</v>
      </c>
    </row>
    <row r="900" spans="2:4">
      <c r="B900">
        <v>899</v>
      </c>
      <c r="C900" t="b">
        <f>B900&lt;=A1</f>
        <v>0</v>
      </c>
      <c r="D900">
        <f t="shared" ca="1" si="14"/>
        <v>0</v>
      </c>
    </row>
    <row r="901" spans="2:4">
      <c r="B901">
        <v>900</v>
      </c>
      <c r="C901" t="b">
        <f>B901&lt;=A1</f>
        <v>0</v>
      </c>
      <c r="D901">
        <f t="shared" ca="1" si="14"/>
        <v>0</v>
      </c>
    </row>
    <row r="902" spans="2:4">
      <c r="B902">
        <v>901</v>
      </c>
      <c r="C902" t="b">
        <f>B902&lt;=A1</f>
        <v>0</v>
      </c>
      <c r="D902">
        <f t="shared" ca="1" si="14"/>
        <v>0</v>
      </c>
    </row>
    <row r="903" spans="2:4">
      <c r="B903">
        <v>902</v>
      </c>
      <c r="C903" t="b">
        <f>B903&lt;=A1</f>
        <v>0</v>
      </c>
      <c r="D903">
        <f t="shared" ca="1" si="14"/>
        <v>0</v>
      </c>
    </row>
    <row r="904" spans="2:4">
      <c r="B904">
        <v>903</v>
      </c>
      <c r="C904" t="b">
        <f>B904&lt;=A1</f>
        <v>0</v>
      </c>
      <c r="D904">
        <f t="shared" ca="1" si="14"/>
        <v>0</v>
      </c>
    </row>
    <row r="905" spans="2:4">
      <c r="B905">
        <v>904</v>
      </c>
      <c r="C905" t="b">
        <f>B905&lt;=A1</f>
        <v>0</v>
      </c>
      <c r="D905">
        <f t="shared" ca="1" si="14"/>
        <v>0</v>
      </c>
    </row>
    <row r="906" spans="2:4">
      <c r="B906">
        <v>905</v>
      </c>
      <c r="C906" t="b">
        <f>B906&lt;=A1</f>
        <v>0</v>
      </c>
      <c r="D906">
        <f t="shared" ca="1" si="14"/>
        <v>0</v>
      </c>
    </row>
    <row r="907" spans="2:4">
      <c r="B907">
        <v>906</v>
      </c>
      <c r="C907" t="b">
        <f>B907&lt;=A1</f>
        <v>0</v>
      </c>
      <c r="D907">
        <f t="shared" ca="1" si="14"/>
        <v>0</v>
      </c>
    </row>
    <row r="908" spans="2:4">
      <c r="B908">
        <v>907</v>
      </c>
      <c r="C908" t="b">
        <f>B908&lt;=A1</f>
        <v>0</v>
      </c>
      <c r="D908">
        <f t="shared" ca="1" si="14"/>
        <v>0</v>
      </c>
    </row>
    <row r="909" spans="2:4">
      <c r="B909">
        <v>908</v>
      </c>
      <c r="C909" t="b">
        <f>B909&lt;=A1</f>
        <v>0</v>
      </c>
      <c r="D909">
        <f t="shared" ca="1" si="14"/>
        <v>0</v>
      </c>
    </row>
    <row r="910" spans="2:4">
      <c r="B910">
        <v>909</v>
      </c>
      <c r="C910" t="b">
        <f>B910&lt;=A1</f>
        <v>0</v>
      </c>
      <c r="D910">
        <f t="shared" ca="1" si="14"/>
        <v>0</v>
      </c>
    </row>
    <row r="911" spans="2:4">
      <c r="B911">
        <v>910</v>
      </c>
      <c r="C911" t="b">
        <f>B911&lt;=A1</f>
        <v>0</v>
      </c>
      <c r="D911">
        <f t="shared" ca="1" si="14"/>
        <v>0</v>
      </c>
    </row>
    <row r="912" spans="2:4">
      <c r="B912">
        <v>911</v>
      </c>
      <c r="C912" t="b">
        <f>B912&lt;=A1</f>
        <v>0</v>
      </c>
      <c r="D912">
        <f t="shared" ca="1" si="14"/>
        <v>0</v>
      </c>
    </row>
    <row r="913" spans="2:4">
      <c r="B913">
        <v>912</v>
      </c>
      <c r="C913" t="b">
        <f>B913&lt;=A1</f>
        <v>0</v>
      </c>
      <c r="D913">
        <f t="shared" ca="1" si="14"/>
        <v>0</v>
      </c>
    </row>
    <row r="914" spans="2:4">
      <c r="B914">
        <v>913</v>
      </c>
      <c r="C914" t="b">
        <f>B914&lt;=A1</f>
        <v>0</v>
      </c>
      <c r="D914">
        <f t="shared" ca="1" si="14"/>
        <v>0</v>
      </c>
    </row>
    <row r="915" spans="2:4">
      <c r="B915">
        <v>914</v>
      </c>
      <c r="C915" t="b">
        <f>B915&lt;=A1</f>
        <v>0</v>
      </c>
      <c r="D915">
        <f t="shared" ca="1" si="14"/>
        <v>0</v>
      </c>
    </row>
    <row r="916" spans="2:4">
      <c r="B916">
        <v>915</v>
      </c>
      <c r="C916" t="b">
        <f>B916&lt;=A1</f>
        <v>0</v>
      </c>
      <c r="D916">
        <f t="shared" ca="1" si="14"/>
        <v>0</v>
      </c>
    </row>
    <row r="917" spans="2:4">
      <c r="B917">
        <v>916</v>
      </c>
      <c r="C917" t="b">
        <f>B917&lt;=A1</f>
        <v>0</v>
      </c>
      <c r="D917">
        <f t="shared" ca="1" si="14"/>
        <v>0</v>
      </c>
    </row>
    <row r="918" spans="2:4">
      <c r="B918">
        <v>917</v>
      </c>
      <c r="C918" t="b">
        <f>B918&lt;=A1</f>
        <v>0</v>
      </c>
      <c r="D918">
        <f t="shared" ca="1" si="14"/>
        <v>0</v>
      </c>
    </row>
    <row r="919" spans="2:4">
      <c r="B919">
        <v>918</v>
      </c>
      <c r="C919" t="b">
        <f>B919&lt;=A1</f>
        <v>0</v>
      </c>
      <c r="D919">
        <f t="shared" ca="1" si="14"/>
        <v>0</v>
      </c>
    </row>
    <row r="920" spans="2:4">
      <c r="B920">
        <v>919</v>
      </c>
      <c r="C920" t="b">
        <f>B920&lt;=A1</f>
        <v>0</v>
      </c>
      <c r="D920">
        <f t="shared" ca="1" si="14"/>
        <v>0</v>
      </c>
    </row>
    <row r="921" spans="2:4">
      <c r="B921">
        <v>920</v>
      </c>
      <c r="C921" t="b">
        <f>B921&lt;=A1</f>
        <v>0</v>
      </c>
      <c r="D921">
        <f t="shared" ca="1" si="14"/>
        <v>0</v>
      </c>
    </row>
    <row r="922" spans="2:4">
      <c r="B922">
        <v>921</v>
      </c>
      <c r="C922" t="b">
        <f>B922&lt;=A1</f>
        <v>0</v>
      </c>
      <c r="D922">
        <f t="shared" ca="1" si="14"/>
        <v>0</v>
      </c>
    </row>
    <row r="923" spans="2:4">
      <c r="B923">
        <v>922</v>
      </c>
      <c r="C923" t="b">
        <f>B923&lt;=A1</f>
        <v>0</v>
      </c>
      <c r="D923">
        <f t="shared" ca="1" si="14"/>
        <v>0</v>
      </c>
    </row>
    <row r="924" spans="2:4">
      <c r="B924">
        <v>923</v>
      </c>
      <c r="C924" t="b">
        <f>B924&lt;=A1</f>
        <v>0</v>
      </c>
      <c r="D924">
        <f t="shared" ca="1" si="14"/>
        <v>0</v>
      </c>
    </row>
    <row r="925" spans="2:4">
      <c r="B925">
        <v>924</v>
      </c>
      <c r="C925" t="b">
        <f>B925&lt;=A1</f>
        <v>0</v>
      </c>
      <c r="D925">
        <f t="shared" ca="1" si="14"/>
        <v>0</v>
      </c>
    </row>
    <row r="926" spans="2:4">
      <c r="B926">
        <v>925</v>
      </c>
      <c r="C926" t="b">
        <f>B926&lt;=A1</f>
        <v>0</v>
      </c>
      <c r="D926">
        <f t="shared" ca="1" si="14"/>
        <v>0</v>
      </c>
    </row>
    <row r="927" spans="2:4">
      <c r="B927">
        <v>926</v>
      </c>
      <c r="C927" t="b">
        <f>B927&lt;=A1</f>
        <v>0</v>
      </c>
      <c r="D927">
        <f t="shared" ca="1" si="14"/>
        <v>0</v>
      </c>
    </row>
    <row r="928" spans="2:4">
      <c r="B928">
        <v>927</v>
      </c>
      <c r="C928" t="b">
        <f>B928&lt;=A1</f>
        <v>0</v>
      </c>
      <c r="D928">
        <f t="shared" ca="1" si="14"/>
        <v>0</v>
      </c>
    </row>
    <row r="929" spans="2:4">
      <c r="B929">
        <v>928</v>
      </c>
      <c r="C929" t="b">
        <f>B929&lt;=A1</f>
        <v>0</v>
      </c>
      <c r="D929">
        <f t="shared" ca="1" si="14"/>
        <v>0</v>
      </c>
    </row>
    <row r="930" spans="2:4">
      <c r="B930">
        <v>929</v>
      </c>
      <c r="C930" t="b">
        <f>B930&lt;=A1</f>
        <v>0</v>
      </c>
      <c r="D930">
        <f t="shared" ca="1" si="14"/>
        <v>0</v>
      </c>
    </row>
    <row r="931" spans="2:4">
      <c r="B931">
        <v>930</v>
      </c>
      <c r="C931" t="b">
        <f>B931&lt;=A1</f>
        <v>0</v>
      </c>
      <c r="D931">
        <f t="shared" ca="1" si="14"/>
        <v>0</v>
      </c>
    </row>
    <row r="932" spans="2:4">
      <c r="B932">
        <v>931</v>
      </c>
      <c r="C932" t="b">
        <f>B932&lt;=A1</f>
        <v>0</v>
      </c>
      <c r="D932">
        <f t="shared" ca="1" si="14"/>
        <v>0</v>
      </c>
    </row>
    <row r="933" spans="2:4">
      <c r="B933">
        <v>932</v>
      </c>
      <c r="C933" t="b">
        <f>B933&lt;=A1</f>
        <v>0</v>
      </c>
      <c r="D933">
        <f t="shared" ca="1" si="14"/>
        <v>0</v>
      </c>
    </row>
    <row r="934" spans="2:4">
      <c r="B934">
        <v>933</v>
      </c>
      <c r="C934" t="b">
        <f>B934&lt;=A1</f>
        <v>0</v>
      </c>
      <c r="D934">
        <f t="shared" ca="1" si="14"/>
        <v>0</v>
      </c>
    </row>
    <row r="935" spans="2:4">
      <c r="B935">
        <v>934</v>
      </c>
      <c r="C935" t="b">
        <f>B935&lt;=A1</f>
        <v>0</v>
      </c>
      <c r="D935">
        <f t="shared" ca="1" si="14"/>
        <v>0</v>
      </c>
    </row>
    <row r="936" spans="2:4">
      <c r="B936">
        <v>935</v>
      </c>
      <c r="C936" t="b">
        <f>B936&lt;=A1</f>
        <v>0</v>
      </c>
      <c r="D936">
        <f t="shared" ca="1" si="14"/>
        <v>0</v>
      </c>
    </row>
    <row r="937" spans="2:4">
      <c r="B937">
        <v>936</v>
      </c>
      <c r="C937" t="b">
        <f>B937&lt;=A1</f>
        <v>0</v>
      </c>
      <c r="D937">
        <f t="shared" ca="1" si="14"/>
        <v>0</v>
      </c>
    </row>
    <row r="938" spans="2:4">
      <c r="B938">
        <v>937</v>
      </c>
      <c r="C938" t="b">
        <f>B938&lt;=A1</f>
        <v>0</v>
      </c>
      <c r="D938">
        <f t="shared" ca="1" si="14"/>
        <v>0</v>
      </c>
    </row>
    <row r="939" spans="2:4">
      <c r="B939">
        <v>938</v>
      </c>
      <c r="C939" t="b">
        <f>B939&lt;=A1</f>
        <v>0</v>
      </c>
      <c r="D939">
        <f t="shared" ca="1" si="14"/>
        <v>0</v>
      </c>
    </row>
    <row r="940" spans="2:4">
      <c r="B940">
        <v>939</v>
      </c>
      <c r="C940" t="b">
        <f>B940&lt;=A1</f>
        <v>0</v>
      </c>
      <c r="D940">
        <f t="shared" ca="1" si="14"/>
        <v>0</v>
      </c>
    </row>
    <row r="941" spans="2:4">
      <c r="B941">
        <v>940</v>
      </c>
      <c r="C941" t="b">
        <f>B941&lt;=A1</f>
        <v>0</v>
      </c>
      <c r="D941">
        <f t="shared" ca="1" si="14"/>
        <v>0</v>
      </c>
    </row>
    <row r="942" spans="2:4">
      <c r="B942">
        <v>941</v>
      </c>
      <c r="C942" t="b">
        <f>B942&lt;=A1</f>
        <v>0</v>
      </c>
      <c r="D942">
        <f t="shared" ca="1" si="14"/>
        <v>0</v>
      </c>
    </row>
    <row r="943" spans="2:4">
      <c r="B943">
        <v>942</v>
      </c>
      <c r="C943" t="b">
        <f>B943&lt;=A1</f>
        <v>0</v>
      </c>
      <c r="D943">
        <f t="shared" ca="1" si="14"/>
        <v>0</v>
      </c>
    </row>
    <row r="944" spans="2:4">
      <c r="B944">
        <v>943</v>
      </c>
      <c r="C944" t="b">
        <f>B944&lt;=A1</f>
        <v>0</v>
      </c>
      <c r="D944">
        <f t="shared" ca="1" si="14"/>
        <v>0</v>
      </c>
    </row>
    <row r="945" spans="2:4">
      <c r="B945">
        <v>944</v>
      </c>
      <c r="C945" t="b">
        <f>B945&lt;=A1</f>
        <v>0</v>
      </c>
      <c r="D945">
        <f t="shared" ca="1" si="14"/>
        <v>0</v>
      </c>
    </row>
    <row r="946" spans="2:4">
      <c r="B946">
        <v>945</v>
      </c>
      <c r="C946" t="b">
        <f>B946&lt;=A1</f>
        <v>0</v>
      </c>
      <c r="D946">
        <f t="shared" ca="1" si="14"/>
        <v>0</v>
      </c>
    </row>
    <row r="947" spans="2:4">
      <c r="B947">
        <v>946</v>
      </c>
      <c r="C947" t="b">
        <f>B947&lt;=A1</f>
        <v>0</v>
      </c>
      <c r="D947">
        <f t="shared" ca="1" si="14"/>
        <v>0</v>
      </c>
    </row>
    <row r="948" spans="2:4">
      <c r="B948">
        <v>947</v>
      </c>
      <c r="C948" t="b">
        <f>B948&lt;=A1</f>
        <v>0</v>
      </c>
      <c r="D948">
        <f t="shared" ca="1" si="14"/>
        <v>0</v>
      </c>
    </row>
    <row r="949" spans="2:4">
      <c r="B949">
        <v>948</v>
      </c>
      <c r="C949" t="b">
        <f>B949&lt;=A1</f>
        <v>0</v>
      </c>
      <c r="D949">
        <f t="shared" ca="1" si="14"/>
        <v>0</v>
      </c>
    </row>
    <row r="950" spans="2:4">
      <c r="B950">
        <v>949</v>
      </c>
      <c r="C950" t="b">
        <f>B950&lt;=A1</f>
        <v>0</v>
      </c>
      <c r="D950">
        <f t="shared" ca="1" si="14"/>
        <v>0</v>
      </c>
    </row>
    <row r="951" spans="2:4">
      <c r="B951">
        <v>950</v>
      </c>
      <c r="C951" t="b">
        <f>B951&lt;=A1</f>
        <v>0</v>
      </c>
      <c r="D951">
        <f t="shared" ca="1" si="14"/>
        <v>0</v>
      </c>
    </row>
    <row r="952" spans="2:4">
      <c r="B952">
        <v>951</v>
      </c>
      <c r="C952" t="b">
        <f>B952&lt;=A1</f>
        <v>0</v>
      </c>
      <c r="D952">
        <f t="shared" ca="1" si="14"/>
        <v>0</v>
      </c>
    </row>
    <row r="953" spans="2:4">
      <c r="B953">
        <v>952</v>
      </c>
      <c r="C953" t="b">
        <f>B953&lt;=A1</f>
        <v>0</v>
      </c>
      <c r="D953">
        <f t="shared" ca="1" si="14"/>
        <v>0</v>
      </c>
    </row>
    <row r="954" spans="2:4">
      <c r="B954">
        <v>953</v>
      </c>
      <c r="C954" t="b">
        <f>B954&lt;=A1</f>
        <v>0</v>
      </c>
      <c r="D954">
        <f t="shared" ca="1" si="14"/>
        <v>0</v>
      </c>
    </row>
    <row r="955" spans="2:4">
      <c r="B955">
        <v>954</v>
      </c>
      <c r="C955" t="b">
        <f>B955&lt;=A1</f>
        <v>0</v>
      </c>
      <c r="D955">
        <f t="shared" ca="1" si="14"/>
        <v>0</v>
      </c>
    </row>
    <row r="956" spans="2:4">
      <c r="B956">
        <v>955</v>
      </c>
      <c r="C956" t="b">
        <f>B956&lt;=A1</f>
        <v>0</v>
      </c>
      <c r="D956">
        <f t="shared" ca="1" si="14"/>
        <v>0</v>
      </c>
    </row>
    <row r="957" spans="2:4">
      <c r="B957">
        <v>956</v>
      </c>
      <c r="C957" t="b">
        <f>B957&lt;=A1</f>
        <v>0</v>
      </c>
      <c r="D957">
        <f t="shared" ca="1" si="14"/>
        <v>0</v>
      </c>
    </row>
    <row r="958" spans="2:4">
      <c r="B958">
        <v>957</v>
      </c>
      <c r="C958" t="b">
        <f>B958&lt;=A1</f>
        <v>0</v>
      </c>
      <c r="D958">
        <f t="shared" ca="1" si="14"/>
        <v>0</v>
      </c>
    </row>
    <row r="959" spans="2:4">
      <c r="B959">
        <v>958</v>
      </c>
      <c r="C959" t="b">
        <f>B959&lt;=A1</f>
        <v>0</v>
      </c>
      <c r="D959">
        <f t="shared" ca="1" si="14"/>
        <v>0</v>
      </c>
    </row>
    <row r="960" spans="2:4">
      <c r="B960">
        <v>959</v>
      </c>
      <c r="C960" t="b">
        <f>B960&lt;=A1</f>
        <v>0</v>
      </c>
      <c r="D960">
        <f t="shared" ca="1" si="14"/>
        <v>0</v>
      </c>
    </row>
    <row r="961" spans="2:4">
      <c r="B961">
        <v>960</v>
      </c>
      <c r="C961" t="b">
        <f>B961&lt;=A1</f>
        <v>0</v>
      </c>
      <c r="D961">
        <f t="shared" ca="1" si="14"/>
        <v>0</v>
      </c>
    </row>
    <row r="962" spans="2:4">
      <c r="B962">
        <v>961</v>
      </c>
      <c r="C962" t="b">
        <f>B962&lt;=A1</f>
        <v>0</v>
      </c>
      <c r="D962">
        <f t="shared" ref="D962:D1025" ca="1" si="15">IF(C962,INDIRECT("person_db!B"&amp;(B962+1)),INDIRECT("person!B"&amp;(B962-$A$1+1)))</f>
        <v>0</v>
      </c>
    </row>
    <row r="963" spans="2:4">
      <c r="B963">
        <v>962</v>
      </c>
      <c r="C963" t="b">
        <f>B963&lt;=A1</f>
        <v>0</v>
      </c>
      <c r="D963">
        <f t="shared" ca="1" si="15"/>
        <v>0</v>
      </c>
    </row>
    <row r="964" spans="2:4">
      <c r="B964">
        <v>963</v>
      </c>
      <c r="C964" t="b">
        <f>B964&lt;=A1</f>
        <v>0</v>
      </c>
      <c r="D964">
        <f t="shared" ca="1" si="15"/>
        <v>0</v>
      </c>
    </row>
    <row r="965" spans="2:4">
      <c r="B965">
        <v>964</v>
      </c>
      <c r="C965" t="b">
        <f>B965&lt;=A1</f>
        <v>0</v>
      </c>
      <c r="D965">
        <f t="shared" ca="1" si="15"/>
        <v>0</v>
      </c>
    </row>
    <row r="966" spans="2:4">
      <c r="B966">
        <v>965</v>
      </c>
      <c r="C966" t="b">
        <f>B966&lt;=A1</f>
        <v>0</v>
      </c>
      <c r="D966">
        <f t="shared" ca="1" si="15"/>
        <v>0</v>
      </c>
    </row>
    <row r="967" spans="2:4">
      <c r="B967">
        <v>966</v>
      </c>
      <c r="C967" t="b">
        <f>B967&lt;=A1</f>
        <v>0</v>
      </c>
      <c r="D967">
        <f t="shared" ca="1" si="15"/>
        <v>0</v>
      </c>
    </row>
    <row r="968" spans="2:4">
      <c r="B968">
        <v>967</v>
      </c>
      <c r="C968" t="b">
        <f>B968&lt;=A1</f>
        <v>0</v>
      </c>
      <c r="D968">
        <f t="shared" ca="1" si="15"/>
        <v>0</v>
      </c>
    </row>
    <row r="969" spans="2:4">
      <c r="B969">
        <v>968</v>
      </c>
      <c r="C969" t="b">
        <f>B969&lt;=A1</f>
        <v>0</v>
      </c>
      <c r="D969">
        <f t="shared" ca="1" si="15"/>
        <v>0</v>
      </c>
    </row>
    <row r="970" spans="2:4">
      <c r="B970">
        <v>969</v>
      </c>
      <c r="C970" t="b">
        <f>B970&lt;=A1</f>
        <v>0</v>
      </c>
      <c r="D970">
        <f t="shared" ca="1" si="15"/>
        <v>0</v>
      </c>
    </row>
    <row r="971" spans="2:4">
      <c r="B971">
        <v>970</v>
      </c>
      <c r="C971" t="b">
        <f>B971&lt;=A1</f>
        <v>0</v>
      </c>
      <c r="D971">
        <f t="shared" ca="1" si="15"/>
        <v>0</v>
      </c>
    </row>
    <row r="972" spans="2:4">
      <c r="B972">
        <v>971</v>
      </c>
      <c r="C972" t="b">
        <f>B972&lt;=A1</f>
        <v>0</v>
      </c>
      <c r="D972">
        <f t="shared" ca="1" si="15"/>
        <v>0</v>
      </c>
    </row>
    <row r="973" spans="2:4">
      <c r="B973">
        <v>972</v>
      </c>
      <c r="C973" t="b">
        <f>B973&lt;=A1</f>
        <v>0</v>
      </c>
      <c r="D973">
        <f t="shared" ca="1" si="15"/>
        <v>0</v>
      </c>
    </row>
    <row r="974" spans="2:4">
      <c r="B974">
        <v>973</v>
      </c>
      <c r="C974" t="b">
        <f>B974&lt;=A1</f>
        <v>0</v>
      </c>
      <c r="D974">
        <f t="shared" ca="1" si="15"/>
        <v>0</v>
      </c>
    </row>
    <row r="975" spans="2:4">
      <c r="B975">
        <v>974</v>
      </c>
      <c r="C975" t="b">
        <f>B975&lt;=A1</f>
        <v>0</v>
      </c>
      <c r="D975">
        <f t="shared" ca="1" si="15"/>
        <v>0</v>
      </c>
    </row>
    <row r="976" spans="2:4">
      <c r="B976">
        <v>975</v>
      </c>
      <c r="C976" t="b">
        <f>B976&lt;=A1</f>
        <v>0</v>
      </c>
      <c r="D976">
        <f t="shared" ca="1" si="15"/>
        <v>0</v>
      </c>
    </row>
    <row r="977" spans="2:4">
      <c r="B977">
        <v>976</v>
      </c>
      <c r="C977" t="b">
        <f>B977&lt;=A1</f>
        <v>0</v>
      </c>
      <c r="D977">
        <f t="shared" ca="1" si="15"/>
        <v>0</v>
      </c>
    </row>
    <row r="978" spans="2:4">
      <c r="B978">
        <v>977</v>
      </c>
      <c r="C978" t="b">
        <f>B978&lt;=A1</f>
        <v>0</v>
      </c>
      <c r="D978">
        <f t="shared" ca="1" si="15"/>
        <v>0</v>
      </c>
    </row>
    <row r="979" spans="2:4">
      <c r="B979">
        <v>978</v>
      </c>
      <c r="C979" t="b">
        <f>B979&lt;=A1</f>
        <v>0</v>
      </c>
      <c r="D979">
        <f t="shared" ca="1" si="15"/>
        <v>0</v>
      </c>
    </row>
    <row r="980" spans="2:4">
      <c r="B980">
        <v>979</v>
      </c>
      <c r="C980" t="b">
        <f>B980&lt;=A1</f>
        <v>0</v>
      </c>
      <c r="D980">
        <f t="shared" ca="1" si="15"/>
        <v>0</v>
      </c>
    </row>
    <row r="981" spans="2:4">
      <c r="B981">
        <v>980</v>
      </c>
      <c r="C981" t="b">
        <f>B981&lt;=A1</f>
        <v>0</v>
      </c>
      <c r="D981">
        <f t="shared" ca="1" si="15"/>
        <v>0</v>
      </c>
    </row>
    <row r="982" spans="2:4">
      <c r="B982">
        <v>981</v>
      </c>
      <c r="C982" t="b">
        <f>B982&lt;=A1</f>
        <v>0</v>
      </c>
      <c r="D982">
        <f t="shared" ca="1" si="15"/>
        <v>0</v>
      </c>
    </row>
    <row r="983" spans="2:4">
      <c r="B983">
        <v>982</v>
      </c>
      <c r="C983" t="b">
        <f>B983&lt;=A1</f>
        <v>0</v>
      </c>
      <c r="D983">
        <f t="shared" ca="1" si="15"/>
        <v>0</v>
      </c>
    </row>
    <row r="984" spans="2:4">
      <c r="B984">
        <v>983</v>
      </c>
      <c r="C984" t="b">
        <f>B984&lt;=A1</f>
        <v>0</v>
      </c>
      <c r="D984">
        <f t="shared" ca="1" si="15"/>
        <v>0</v>
      </c>
    </row>
    <row r="985" spans="2:4">
      <c r="B985">
        <v>984</v>
      </c>
      <c r="C985" t="b">
        <f>B985&lt;=A1</f>
        <v>0</v>
      </c>
      <c r="D985">
        <f t="shared" ca="1" si="15"/>
        <v>0</v>
      </c>
    </row>
    <row r="986" spans="2:4">
      <c r="B986">
        <v>985</v>
      </c>
      <c r="C986" t="b">
        <f>B986&lt;=A1</f>
        <v>0</v>
      </c>
      <c r="D986">
        <f t="shared" ca="1" si="15"/>
        <v>0</v>
      </c>
    </row>
    <row r="987" spans="2:4">
      <c r="B987">
        <v>986</v>
      </c>
      <c r="C987" t="b">
        <f>B987&lt;=A1</f>
        <v>0</v>
      </c>
      <c r="D987">
        <f t="shared" ca="1" si="15"/>
        <v>0</v>
      </c>
    </row>
    <row r="988" spans="2:4">
      <c r="B988">
        <v>987</v>
      </c>
      <c r="C988" t="b">
        <f>B988&lt;=A1</f>
        <v>0</v>
      </c>
      <c r="D988">
        <f t="shared" ca="1" si="15"/>
        <v>0</v>
      </c>
    </row>
    <row r="989" spans="2:4">
      <c r="B989">
        <v>988</v>
      </c>
      <c r="C989" t="b">
        <f>B989&lt;=A1</f>
        <v>0</v>
      </c>
      <c r="D989">
        <f t="shared" ca="1" si="15"/>
        <v>0</v>
      </c>
    </row>
    <row r="990" spans="2:4">
      <c r="B990">
        <v>989</v>
      </c>
      <c r="C990" t="b">
        <f>B990&lt;=A1</f>
        <v>0</v>
      </c>
      <c r="D990">
        <f t="shared" ca="1" si="15"/>
        <v>0</v>
      </c>
    </row>
    <row r="991" spans="2:4">
      <c r="B991">
        <v>990</v>
      </c>
      <c r="C991" t="b">
        <f>B991&lt;=A1</f>
        <v>0</v>
      </c>
      <c r="D991">
        <f t="shared" ca="1" si="15"/>
        <v>0</v>
      </c>
    </row>
    <row r="992" spans="2:4">
      <c r="B992">
        <v>991</v>
      </c>
      <c r="C992" t="b">
        <f>B992&lt;=A1</f>
        <v>0</v>
      </c>
      <c r="D992">
        <f t="shared" ca="1" si="15"/>
        <v>0</v>
      </c>
    </row>
    <row r="993" spans="2:4">
      <c r="B993">
        <v>992</v>
      </c>
      <c r="C993" t="b">
        <f>B993&lt;=A1</f>
        <v>0</v>
      </c>
      <c r="D993">
        <f t="shared" ca="1" si="15"/>
        <v>0</v>
      </c>
    </row>
    <row r="994" spans="2:4">
      <c r="B994">
        <v>993</v>
      </c>
      <c r="C994" t="b">
        <f>B994&lt;=A1</f>
        <v>0</v>
      </c>
      <c r="D994">
        <f t="shared" ca="1" si="15"/>
        <v>0</v>
      </c>
    </row>
    <row r="995" spans="2:4">
      <c r="B995">
        <v>994</v>
      </c>
      <c r="C995" t="b">
        <f>B995&lt;=A1</f>
        <v>0</v>
      </c>
      <c r="D995">
        <f t="shared" ca="1" si="15"/>
        <v>0</v>
      </c>
    </row>
    <row r="996" spans="2:4">
      <c r="B996">
        <v>995</v>
      </c>
      <c r="C996" t="b">
        <f>B996&lt;=A1</f>
        <v>0</v>
      </c>
      <c r="D996">
        <f t="shared" ca="1" si="15"/>
        <v>0</v>
      </c>
    </row>
    <row r="997" spans="2:4">
      <c r="B997">
        <v>996</v>
      </c>
      <c r="C997" t="b">
        <f>B997&lt;=A1</f>
        <v>0</v>
      </c>
      <c r="D997">
        <f t="shared" ca="1" si="15"/>
        <v>0</v>
      </c>
    </row>
    <row r="998" spans="2:4">
      <c r="B998">
        <v>997</v>
      </c>
      <c r="C998" t="b">
        <f>B998&lt;=A1</f>
        <v>0</v>
      </c>
      <c r="D998">
        <f t="shared" ca="1" si="15"/>
        <v>0</v>
      </c>
    </row>
    <row r="999" spans="2:4">
      <c r="B999">
        <v>998</v>
      </c>
      <c r="C999" t="b">
        <f>B999&lt;=A1</f>
        <v>0</v>
      </c>
      <c r="D999">
        <f t="shared" ca="1" si="15"/>
        <v>0</v>
      </c>
    </row>
    <row r="1000" spans="2:4">
      <c r="B1000">
        <v>999</v>
      </c>
      <c r="C1000" t="b">
        <f>B1000&lt;=A1</f>
        <v>0</v>
      </c>
      <c r="D1000">
        <f t="shared" ca="1" si="15"/>
        <v>0</v>
      </c>
    </row>
  </sheetData>
  <sheetProtection password="8AD5" sheet="1" formatColumns="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5"/>
  <sheetData>
    <row r="1" spans="1:2">
      <c r="A1" t="s">
        <v>45</v>
      </c>
      <c r="B1" t="s">
        <v>46</v>
      </c>
    </row>
    <row r="2" spans="1:2">
      <c r="A2" t="s">
        <v>47</v>
      </c>
      <c r="B2" t="s">
        <v>48</v>
      </c>
    </row>
    <row r="3" spans="1:2">
      <c r="A3" t="s">
        <v>49</v>
      </c>
      <c r="B3" t="s">
        <v>49</v>
      </c>
    </row>
  </sheetData>
  <sheetProtection password="8AD5" sheet="1" formatColumn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4.5"/>
  <sheetData>
    <row r="1" spans="1:4">
      <c r="A1" t="s">
        <v>50</v>
      </c>
      <c r="B1" t="s">
        <v>51</v>
      </c>
      <c r="C1" t="s">
        <v>52</v>
      </c>
      <c r="D1" t="s">
        <v>53</v>
      </c>
    </row>
    <row r="2" spans="1:4">
      <c r="A2" t="s">
        <v>54</v>
      </c>
      <c r="B2" t="s">
        <v>55</v>
      </c>
      <c r="C2" t="s">
        <v>56</v>
      </c>
      <c r="D2" t="s">
        <v>55</v>
      </c>
    </row>
    <row r="3" spans="1:4">
      <c r="C3" t="s">
        <v>57</v>
      </c>
      <c r="D3" t="s">
        <v>58</v>
      </c>
    </row>
  </sheetData>
  <sheetProtection password="8AD5" sheet="1" formatColumns="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 t="s">
        <v>65</v>
      </c>
      <c r="B2" t="s">
        <v>66</v>
      </c>
      <c r="C2" t="s">
        <v>67</v>
      </c>
      <c r="D2" t="s">
        <v>68</v>
      </c>
      <c r="E2" t="s">
        <v>66</v>
      </c>
      <c r="F2" t="s">
        <v>66</v>
      </c>
    </row>
    <row r="3" spans="1:6">
      <c r="A3" t="s">
        <v>69</v>
      </c>
      <c r="B3" t="s">
        <v>70</v>
      </c>
      <c r="D3" t="s">
        <v>71</v>
      </c>
    </row>
    <row r="4" spans="1:6">
      <c r="D4" t="s">
        <v>72</v>
      </c>
    </row>
  </sheetData>
  <sheetProtection password="8AD5" sheet="1" formatColumns="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RowHeight="14.5"/>
  <cols>
    <col min="3" max="6" width="0" hidden="1"/>
  </cols>
  <sheetData>
    <row r="1" spans="1:55">
      <c r="A1" s="5" t="s">
        <v>73</v>
      </c>
      <c r="B1" s="6" t="s">
        <v>74</v>
      </c>
    </row>
    <row r="2" spans="1:55">
      <c r="A2" s="7" t="s">
        <v>75</v>
      </c>
      <c r="B2" s="8" t="str">
        <f>HYPERLINK("mailto:aomame@miskatonic.edu?subject=[Lab samples]", "aomame@miskatonic.edu")</f>
        <v>aomame@miskatonic.edu</v>
      </c>
    </row>
    <row r="3" spans="1:55">
      <c r="A3" s="7" t="s">
        <v>76</v>
      </c>
      <c r="B3" s="8" t="str">
        <f>HYPERLINK("C:\code\laboratoryspreadsheet\labspreadsheet\demo\remote_1Q42\LabResults2019_1Q42.xlsx#1Q42!A1","LabResults2019_1Q42.xlsx")</f>
        <v>LabResults2019_1Q42.xlsx</v>
      </c>
    </row>
    <row r="4" spans="1:55">
      <c r="A4" s="9"/>
      <c r="B4" s="10"/>
    </row>
    <row r="5" spans="1:55">
      <c r="A5" s="11" t="s">
        <v>77</v>
      </c>
      <c r="B5" s="12"/>
      <c r="C5" s="11" t="s">
        <v>78</v>
      </c>
      <c r="D5" s="13"/>
      <c r="E5" s="13"/>
      <c r="F5" s="12"/>
      <c r="G5" s="11" t="s">
        <v>79</v>
      </c>
      <c r="H5" s="13"/>
      <c r="I5" s="13"/>
      <c r="J5" s="13"/>
      <c r="K5" s="13"/>
      <c r="L5" s="12"/>
      <c r="M5" s="11" t="s">
        <v>80</v>
      </c>
      <c r="N5" s="11" t="s">
        <v>81</v>
      </c>
      <c r="O5" s="11" t="s">
        <v>82</v>
      </c>
      <c r="P5" s="12"/>
      <c r="Q5" s="11" t="s">
        <v>83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2"/>
      <c r="AV5" t="s">
        <v>84</v>
      </c>
      <c r="BA5" t="s">
        <v>85</v>
      </c>
    </row>
    <row r="6" spans="1:55">
      <c r="A6" s="14" t="s">
        <v>86</v>
      </c>
      <c r="B6" s="15" t="s">
        <v>87</v>
      </c>
      <c r="C6" s="14" t="s">
        <v>88</v>
      </c>
      <c r="D6" s="16" t="s">
        <v>89</v>
      </c>
      <c r="E6" s="16" t="s">
        <v>90</v>
      </c>
      <c r="F6" s="15" t="s">
        <v>91</v>
      </c>
      <c r="G6" s="14" t="s">
        <v>92</v>
      </c>
      <c r="H6" s="16" t="s">
        <v>93</v>
      </c>
      <c r="I6" s="16" t="s">
        <v>94</v>
      </c>
      <c r="J6" s="16" t="s">
        <v>95</v>
      </c>
      <c r="K6" s="16" t="s">
        <v>96</v>
      </c>
      <c r="L6" s="15" t="s">
        <v>97</v>
      </c>
      <c r="M6" s="14"/>
      <c r="N6" s="14"/>
      <c r="O6" s="14" t="s">
        <v>92</v>
      </c>
      <c r="P6" s="15" t="s">
        <v>98</v>
      </c>
      <c r="Q6" s="14" t="s">
        <v>99</v>
      </c>
      <c r="R6" s="16" t="s">
        <v>100</v>
      </c>
      <c r="S6" s="16" t="s">
        <v>101</v>
      </c>
      <c r="T6" s="16" t="s">
        <v>102</v>
      </c>
      <c r="U6" s="16" t="s">
        <v>103</v>
      </c>
      <c r="V6" s="16" t="s">
        <v>104</v>
      </c>
      <c r="W6" s="16" t="s">
        <v>105</v>
      </c>
      <c r="X6" s="16" t="s">
        <v>106</v>
      </c>
      <c r="Y6" s="16" t="s">
        <v>107</v>
      </c>
      <c r="Z6" s="16" t="s">
        <v>108</v>
      </c>
      <c r="AA6" s="16" t="s">
        <v>109</v>
      </c>
      <c r="AB6" s="16" t="s">
        <v>110</v>
      </c>
      <c r="AC6" s="16" t="s">
        <v>111</v>
      </c>
      <c r="AD6" s="16" t="s">
        <v>112</v>
      </c>
      <c r="AE6" s="16" t="s">
        <v>113</v>
      </c>
      <c r="AF6" s="16" t="s">
        <v>114</v>
      </c>
      <c r="AG6" s="16" t="s">
        <v>115</v>
      </c>
      <c r="AH6" s="16" t="s">
        <v>116</v>
      </c>
      <c r="AI6" s="16" t="s">
        <v>117</v>
      </c>
      <c r="AJ6" s="16" t="s">
        <v>118</v>
      </c>
      <c r="AK6" s="16" t="s">
        <v>119</v>
      </c>
      <c r="AL6" s="16" t="s">
        <v>120</v>
      </c>
      <c r="AM6" s="16" t="s">
        <v>121</v>
      </c>
      <c r="AN6" s="16" t="s">
        <v>122</v>
      </c>
      <c r="AO6" s="16" t="s">
        <v>123</v>
      </c>
      <c r="AP6" s="16" t="s">
        <v>124</v>
      </c>
      <c r="AQ6" s="16" t="s">
        <v>125</v>
      </c>
      <c r="AR6" s="16" t="s">
        <v>126</v>
      </c>
      <c r="AS6" s="16" t="s">
        <v>127</v>
      </c>
      <c r="AT6" s="15" t="s">
        <v>128</v>
      </c>
      <c r="BA6" t="s">
        <v>89</v>
      </c>
      <c r="BB6" t="s">
        <v>90</v>
      </c>
      <c r="BC6" t="s">
        <v>91</v>
      </c>
    </row>
    <row r="7" spans="1:55">
      <c r="A7" s="14" t="s">
        <v>129</v>
      </c>
      <c r="B7" s="15" t="s">
        <v>130</v>
      </c>
      <c r="C7" s="14"/>
      <c r="D7" s="16"/>
      <c r="E7" s="16"/>
      <c r="F7" s="15"/>
      <c r="G7" s="14" t="s">
        <v>131</v>
      </c>
      <c r="H7" s="16" t="s">
        <v>132</v>
      </c>
      <c r="I7" s="16"/>
      <c r="J7" s="16"/>
      <c r="K7" s="16" t="s">
        <v>133</v>
      </c>
      <c r="L7" s="15"/>
      <c r="M7" s="14"/>
      <c r="N7" s="14"/>
      <c r="O7" s="14" t="s">
        <v>131</v>
      </c>
      <c r="P7" s="15"/>
      <c r="Q7" s="14" t="s">
        <v>134</v>
      </c>
      <c r="R7" s="16" t="s">
        <v>134</v>
      </c>
      <c r="S7" s="16" t="s">
        <v>134</v>
      </c>
      <c r="T7" s="16" t="s">
        <v>134</v>
      </c>
      <c r="U7" s="16" t="s">
        <v>134</v>
      </c>
      <c r="V7" s="16" t="s">
        <v>134</v>
      </c>
      <c r="W7" s="16" t="s">
        <v>134</v>
      </c>
      <c r="X7" s="16" t="s">
        <v>134</v>
      </c>
      <c r="Y7" s="16" t="s">
        <v>134</v>
      </c>
      <c r="Z7" s="16" t="s">
        <v>134</v>
      </c>
      <c r="AA7" s="16" t="s">
        <v>134</v>
      </c>
      <c r="AB7" s="16" t="s">
        <v>134</v>
      </c>
      <c r="AC7" s="16" t="s">
        <v>134</v>
      </c>
      <c r="AD7" s="16" t="s">
        <v>134</v>
      </c>
      <c r="AE7" s="16" t="s">
        <v>134</v>
      </c>
      <c r="AF7" s="16" t="s">
        <v>135</v>
      </c>
      <c r="AG7" s="16" t="s">
        <v>134</v>
      </c>
      <c r="AH7" s="16" t="s">
        <v>134</v>
      </c>
      <c r="AI7" s="16" t="s">
        <v>136</v>
      </c>
      <c r="AJ7" s="16" t="s">
        <v>137</v>
      </c>
      <c r="AK7" s="16" t="s">
        <v>138</v>
      </c>
      <c r="AL7" s="16" t="s">
        <v>134</v>
      </c>
      <c r="AM7" s="16" t="s">
        <v>139</v>
      </c>
      <c r="AN7" s="16" t="s">
        <v>134</v>
      </c>
      <c r="AO7" s="16" t="s">
        <v>134</v>
      </c>
      <c r="AP7" s="16" t="s">
        <v>134</v>
      </c>
      <c r="AQ7" s="16" t="s">
        <v>140</v>
      </c>
      <c r="AR7" s="16" t="s">
        <v>140</v>
      </c>
      <c r="AS7" s="16" t="s">
        <v>141</v>
      </c>
      <c r="AT7" s="15" t="s">
        <v>142</v>
      </c>
    </row>
    <row r="8" spans="1:55">
      <c r="A8" s="17" t="s">
        <v>143</v>
      </c>
      <c r="B8" s="18" t="s">
        <v>143</v>
      </c>
      <c r="C8" s="17" t="s">
        <v>144</v>
      </c>
      <c r="D8" s="19" t="s">
        <v>144</v>
      </c>
      <c r="E8" s="19" t="s">
        <v>144</v>
      </c>
      <c r="F8" s="18" t="s">
        <v>144</v>
      </c>
      <c r="G8" s="17" t="s">
        <v>143</v>
      </c>
      <c r="H8" s="19" t="s">
        <v>143</v>
      </c>
      <c r="I8" s="19" t="s">
        <v>144</v>
      </c>
      <c r="J8" s="19" t="s">
        <v>144</v>
      </c>
      <c r="K8" s="19" t="s">
        <v>143</v>
      </c>
      <c r="L8" s="18" t="s">
        <v>143</v>
      </c>
      <c r="M8" s="17"/>
      <c r="N8" s="17"/>
      <c r="O8" s="17" t="s">
        <v>143</v>
      </c>
      <c r="P8" s="18" t="s">
        <v>143</v>
      </c>
      <c r="Q8" s="17" t="s">
        <v>143</v>
      </c>
      <c r="R8" s="19" t="s">
        <v>143</v>
      </c>
      <c r="S8" s="19" t="s">
        <v>143</v>
      </c>
      <c r="T8" s="19" t="s">
        <v>143</v>
      </c>
      <c r="U8" s="19" t="s">
        <v>143</v>
      </c>
      <c r="V8" s="19" t="s">
        <v>143</v>
      </c>
      <c r="W8" s="19" t="s">
        <v>143</v>
      </c>
      <c r="X8" s="19" t="s">
        <v>143</v>
      </c>
      <c r="Y8" s="19" t="s">
        <v>143</v>
      </c>
      <c r="Z8" s="19" t="s">
        <v>143</v>
      </c>
      <c r="AA8" s="19" t="s">
        <v>143</v>
      </c>
      <c r="AB8" s="19" t="s">
        <v>143</v>
      </c>
      <c r="AC8" s="19" t="s">
        <v>143</v>
      </c>
      <c r="AD8" s="19" t="s">
        <v>143</v>
      </c>
      <c r="AE8" s="19" t="s">
        <v>143</v>
      </c>
      <c r="AF8" s="19" t="s">
        <v>143</v>
      </c>
      <c r="AG8" s="19" t="s">
        <v>143</v>
      </c>
      <c r="AH8" s="19" t="s">
        <v>143</v>
      </c>
      <c r="AI8" s="19" t="s">
        <v>143</v>
      </c>
      <c r="AJ8" s="19" t="s">
        <v>143</v>
      </c>
      <c r="AK8" s="19" t="s">
        <v>143</v>
      </c>
      <c r="AL8" s="19" t="s">
        <v>143</v>
      </c>
      <c r="AM8" s="19" t="s">
        <v>143</v>
      </c>
      <c r="AN8" s="19" t="s">
        <v>143</v>
      </c>
      <c r="AO8" s="19" t="s">
        <v>143</v>
      </c>
      <c r="AP8" s="19" t="s">
        <v>143</v>
      </c>
      <c r="AQ8" s="19" t="s">
        <v>143</v>
      </c>
      <c r="AR8" s="19" t="s">
        <v>143</v>
      </c>
      <c r="AS8" s="19" t="s">
        <v>143</v>
      </c>
      <c r="AT8" s="18" t="s">
        <v>143</v>
      </c>
    </row>
    <row r="9" spans="1:55">
      <c r="A9" s="20" t="s">
        <v>73</v>
      </c>
      <c r="B9" s="21"/>
      <c r="C9" s="20"/>
      <c r="D9" s="22"/>
      <c r="E9" s="22"/>
      <c r="F9" s="21"/>
      <c r="G9" s="23"/>
      <c r="H9" s="24"/>
      <c r="I9" s="22"/>
      <c r="J9" s="22"/>
      <c r="K9" s="22"/>
      <c r="L9" s="21"/>
      <c r="M9" s="20"/>
      <c r="N9" s="20"/>
      <c r="O9" s="23"/>
      <c r="P9" s="21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1"/>
      <c r="AU9" s="25" t="str">
        <f t="shared" ref="AU9:AU72" si="0">CONCATENATE(A9,B9)</f>
        <v>1Q42</v>
      </c>
      <c r="AV9" t="str">
        <f t="shared" ref="AV9:AV72" si="1">CONCATENATE(A9,B9)</f>
        <v>1Q42</v>
      </c>
      <c r="BA9">
        <f ca="1">IF(COUNTBLANK(C9)=0,COUNTA(INDIRECT(CONCATENATE("Area!",LEFT(ADDRESS(1,MATCH(C9,Area!$1:$1,0),4),1),"2:",LEFT(ADDRESS(1,MATCH(C9,Area!$1:$1,0),4),1),"99"))),0)</f>
        <v>0</v>
      </c>
      <c r="BB9">
        <f ca="1">IF(COUNTBLANK(D9)=0,COUNTA(INDIRECT(CONCATENATE("Setup!",LEFT(ADDRESS(1,MATCH(CONCATENATE(C9,":",D9),Setup!$1:$1,0),4),1),"2:",LEFT(ADDRESS(1,MATCH(CONCATENATE(C9,":",D9),Setup!$1:$1,0),4),1),"99"))),0)</f>
        <v>0</v>
      </c>
      <c r="BC9">
        <f ca="1">IF(COUNTBLANK(E9)=0,COUNTA(INDIRECT(CONCATENATE("Comp!",SUBSTITUTE(ADDRESS(1,MATCH(CONCATENATE(C9,":",D9,":",E9),Comp!$1:$1,0),4),"1",""),"2:",SUBSTITUTE(ADDRESS(1,MATCH(CONCATENATE(C9,":",D9,":",E9),Comp!$1:$1,0),4),"1",""),"99"))),0)</f>
        <v>0</v>
      </c>
    </row>
    <row r="10" spans="1:55">
      <c r="A10" s="20" t="s">
        <v>73</v>
      </c>
      <c r="B10" s="21"/>
      <c r="C10" s="20"/>
      <c r="D10" s="22"/>
      <c r="E10" s="22"/>
      <c r="F10" s="21"/>
      <c r="G10" s="23"/>
      <c r="H10" s="24"/>
      <c r="I10" s="22"/>
      <c r="J10" s="22"/>
      <c r="K10" s="22"/>
      <c r="L10" s="21"/>
      <c r="M10" s="20"/>
      <c r="N10" s="20"/>
      <c r="O10" s="23"/>
      <c r="P10" s="21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1"/>
      <c r="AU10" s="25" t="str">
        <f t="shared" si="0"/>
        <v>1Q42</v>
      </c>
      <c r="AV10" t="str">
        <f t="shared" si="1"/>
        <v>1Q42</v>
      </c>
      <c r="BA10">
        <f ca="1">IF(COUNTBLANK(C10)=0,COUNTA(INDIRECT(CONCATENATE("Area!",LEFT(ADDRESS(1,MATCH(C10,Area!$1:$1,0),4),1),"2:",LEFT(ADDRESS(1,MATCH(C10,Area!$1:$1,0),4),1),"99"))),0)</f>
        <v>0</v>
      </c>
      <c r="BB10">
        <f ca="1">IF(COUNTBLANK(D10)=0,COUNTA(INDIRECT(CONCATENATE("Setup!",LEFT(ADDRESS(1,MATCH(CONCATENATE(C10,":",D10),Setup!$1:$1,0),4),1),"2:",LEFT(ADDRESS(1,MATCH(CONCATENATE(C10,":",D10),Setup!$1:$1,0),4),1),"99"))),0)</f>
        <v>0</v>
      </c>
      <c r="BC10">
        <f ca="1">IF(COUNTBLANK(E10)=0,COUNTA(INDIRECT(CONCATENATE("Comp!",SUBSTITUTE(ADDRESS(1,MATCH(CONCATENATE(C10,":",D10,":",E10),Comp!$1:$1,0),4),"1",""),"2:",SUBSTITUTE(ADDRESS(1,MATCH(CONCATENATE(C10,":",D10,":",E10),Comp!$1:$1,0),4),"1",""),"99"))),0)</f>
        <v>0</v>
      </c>
    </row>
    <row r="11" spans="1:55">
      <c r="A11" s="20" t="s">
        <v>73</v>
      </c>
      <c r="B11" s="21"/>
      <c r="C11" s="20"/>
      <c r="D11" s="22"/>
      <c r="E11" s="22"/>
      <c r="F11" s="21"/>
      <c r="G11" s="23"/>
      <c r="H11" s="24"/>
      <c r="I11" s="22"/>
      <c r="J11" s="22"/>
      <c r="K11" s="22"/>
      <c r="L11" s="21"/>
      <c r="M11" s="20"/>
      <c r="N11" s="20"/>
      <c r="O11" s="23"/>
      <c r="P11" s="21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1"/>
      <c r="AU11" s="25" t="str">
        <f t="shared" si="0"/>
        <v>1Q42</v>
      </c>
      <c r="AV11" t="str">
        <f t="shared" si="1"/>
        <v>1Q42</v>
      </c>
      <c r="BA11">
        <f ca="1">IF(COUNTBLANK(C11)=0,COUNTA(INDIRECT(CONCATENATE("Area!",LEFT(ADDRESS(1,MATCH(C11,Area!$1:$1,0),4),1),"2:",LEFT(ADDRESS(1,MATCH(C11,Area!$1:$1,0),4),1),"99"))),0)</f>
        <v>0</v>
      </c>
      <c r="BB11">
        <f ca="1">IF(COUNTBLANK(D11)=0,COUNTA(INDIRECT(CONCATENATE("Setup!",LEFT(ADDRESS(1,MATCH(CONCATENATE(C11,":",D11),Setup!$1:$1,0),4),1),"2:",LEFT(ADDRESS(1,MATCH(CONCATENATE(C11,":",D11),Setup!$1:$1,0),4),1),"99"))),0)</f>
        <v>0</v>
      </c>
      <c r="BC11">
        <f ca="1">IF(COUNTBLANK(E11)=0,COUNTA(INDIRECT(CONCATENATE("Comp!",SUBSTITUTE(ADDRESS(1,MATCH(CONCATENATE(C11,":",D11,":",E11),Comp!$1:$1,0),4),"1",""),"2:",SUBSTITUTE(ADDRESS(1,MATCH(CONCATENATE(C11,":",D11,":",E11),Comp!$1:$1,0),4),"1",""),"99"))),0)</f>
        <v>0</v>
      </c>
    </row>
    <row r="12" spans="1:55">
      <c r="A12" s="20" t="s">
        <v>73</v>
      </c>
      <c r="B12" s="21"/>
      <c r="C12" s="20"/>
      <c r="D12" s="22"/>
      <c r="E12" s="22"/>
      <c r="F12" s="21"/>
      <c r="G12" s="23"/>
      <c r="H12" s="24"/>
      <c r="I12" s="22"/>
      <c r="J12" s="22"/>
      <c r="K12" s="22"/>
      <c r="L12" s="21"/>
      <c r="M12" s="20"/>
      <c r="N12" s="20"/>
      <c r="O12" s="23"/>
      <c r="P12" s="21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1"/>
      <c r="AU12" s="25" t="str">
        <f t="shared" si="0"/>
        <v>1Q42</v>
      </c>
      <c r="AV12" t="str">
        <f t="shared" si="1"/>
        <v>1Q42</v>
      </c>
      <c r="BA12">
        <f ca="1">IF(COUNTBLANK(C12)=0,COUNTA(INDIRECT(CONCATENATE("Area!",LEFT(ADDRESS(1,MATCH(C12,Area!$1:$1,0),4),1),"2:",LEFT(ADDRESS(1,MATCH(C12,Area!$1:$1,0),4),1),"99"))),0)</f>
        <v>0</v>
      </c>
      <c r="BB12">
        <f ca="1">IF(COUNTBLANK(D12)=0,COUNTA(INDIRECT(CONCATENATE("Setup!",LEFT(ADDRESS(1,MATCH(CONCATENATE(C12,":",D12),Setup!$1:$1,0),4),1),"2:",LEFT(ADDRESS(1,MATCH(CONCATENATE(C12,":",D12),Setup!$1:$1,0),4),1),"99"))),0)</f>
        <v>0</v>
      </c>
      <c r="BC12">
        <f ca="1">IF(COUNTBLANK(E12)=0,COUNTA(INDIRECT(CONCATENATE("Comp!",SUBSTITUTE(ADDRESS(1,MATCH(CONCATENATE(C12,":",D12,":",E12),Comp!$1:$1,0),4),"1",""),"2:",SUBSTITUTE(ADDRESS(1,MATCH(CONCATENATE(C12,":",D12,":",E12),Comp!$1:$1,0),4),"1",""),"99"))),0)</f>
        <v>0</v>
      </c>
    </row>
    <row r="13" spans="1:55">
      <c r="A13" s="20" t="s">
        <v>73</v>
      </c>
      <c r="B13" s="21"/>
      <c r="C13" s="20"/>
      <c r="D13" s="22"/>
      <c r="E13" s="22"/>
      <c r="F13" s="21"/>
      <c r="G13" s="23"/>
      <c r="H13" s="24"/>
      <c r="I13" s="22"/>
      <c r="J13" s="22"/>
      <c r="K13" s="22"/>
      <c r="L13" s="21"/>
      <c r="M13" s="20"/>
      <c r="N13" s="20"/>
      <c r="O13" s="23"/>
      <c r="P13" s="21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1"/>
      <c r="AU13" s="25" t="str">
        <f t="shared" si="0"/>
        <v>1Q42</v>
      </c>
      <c r="AV13" t="str">
        <f t="shared" si="1"/>
        <v>1Q42</v>
      </c>
      <c r="BA13">
        <f ca="1">IF(COUNTBLANK(C13)=0,COUNTA(INDIRECT(CONCATENATE("Area!",LEFT(ADDRESS(1,MATCH(C13,Area!$1:$1,0),4),1),"2:",LEFT(ADDRESS(1,MATCH(C13,Area!$1:$1,0),4),1),"99"))),0)</f>
        <v>0</v>
      </c>
      <c r="BB13">
        <f ca="1">IF(COUNTBLANK(D13)=0,COUNTA(INDIRECT(CONCATENATE("Setup!",LEFT(ADDRESS(1,MATCH(CONCATENATE(C13,":",D13),Setup!$1:$1,0),4),1),"2:",LEFT(ADDRESS(1,MATCH(CONCATENATE(C13,":",D13),Setup!$1:$1,0),4),1),"99"))),0)</f>
        <v>0</v>
      </c>
      <c r="BC13">
        <f ca="1">IF(COUNTBLANK(E13)=0,COUNTA(INDIRECT(CONCATENATE("Comp!",SUBSTITUTE(ADDRESS(1,MATCH(CONCATENATE(C13,":",D13,":",E13),Comp!$1:$1,0),4),"1",""),"2:",SUBSTITUTE(ADDRESS(1,MATCH(CONCATENATE(C13,":",D13,":",E13),Comp!$1:$1,0),4),"1",""),"99"))),0)</f>
        <v>0</v>
      </c>
    </row>
    <row r="14" spans="1:55">
      <c r="A14" s="20" t="s">
        <v>73</v>
      </c>
      <c r="B14" s="21"/>
      <c r="C14" s="20"/>
      <c r="D14" s="22"/>
      <c r="E14" s="22"/>
      <c r="F14" s="21"/>
      <c r="G14" s="23"/>
      <c r="H14" s="24"/>
      <c r="I14" s="22"/>
      <c r="J14" s="22"/>
      <c r="K14" s="22"/>
      <c r="L14" s="21"/>
      <c r="M14" s="20"/>
      <c r="N14" s="20"/>
      <c r="O14" s="23"/>
      <c r="P14" s="21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1"/>
      <c r="AU14" s="25" t="str">
        <f t="shared" si="0"/>
        <v>1Q42</v>
      </c>
      <c r="AV14" t="str">
        <f t="shared" si="1"/>
        <v>1Q42</v>
      </c>
      <c r="BA14">
        <f ca="1">IF(COUNTBLANK(C14)=0,COUNTA(INDIRECT(CONCATENATE("Area!",LEFT(ADDRESS(1,MATCH(C14,Area!$1:$1,0),4),1),"2:",LEFT(ADDRESS(1,MATCH(C14,Area!$1:$1,0),4),1),"99"))),0)</f>
        <v>0</v>
      </c>
      <c r="BB14">
        <f ca="1">IF(COUNTBLANK(D14)=0,COUNTA(INDIRECT(CONCATENATE("Setup!",LEFT(ADDRESS(1,MATCH(CONCATENATE(C14,":",D14),Setup!$1:$1,0),4),1),"2:",LEFT(ADDRESS(1,MATCH(CONCATENATE(C14,":",D14),Setup!$1:$1,0),4),1),"99"))),0)</f>
        <v>0</v>
      </c>
      <c r="BC14">
        <f ca="1">IF(COUNTBLANK(E14)=0,COUNTA(INDIRECT(CONCATENATE("Comp!",SUBSTITUTE(ADDRESS(1,MATCH(CONCATENATE(C14,":",D14,":",E14),Comp!$1:$1,0),4),"1",""),"2:",SUBSTITUTE(ADDRESS(1,MATCH(CONCATENATE(C14,":",D14,":",E14),Comp!$1:$1,0),4),"1",""),"99"))),0)</f>
        <v>0</v>
      </c>
    </row>
    <row r="15" spans="1:55">
      <c r="A15" s="20" t="s">
        <v>73</v>
      </c>
      <c r="B15" s="21"/>
      <c r="C15" s="20"/>
      <c r="D15" s="22"/>
      <c r="E15" s="22"/>
      <c r="F15" s="21"/>
      <c r="G15" s="23"/>
      <c r="H15" s="24"/>
      <c r="I15" s="22"/>
      <c r="J15" s="22"/>
      <c r="K15" s="22"/>
      <c r="L15" s="21"/>
      <c r="M15" s="20"/>
      <c r="N15" s="20"/>
      <c r="O15" s="23"/>
      <c r="P15" s="21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1"/>
      <c r="AU15" s="25" t="str">
        <f t="shared" si="0"/>
        <v>1Q42</v>
      </c>
      <c r="AV15" t="str">
        <f t="shared" si="1"/>
        <v>1Q42</v>
      </c>
      <c r="BA15">
        <f ca="1">IF(COUNTBLANK(C15)=0,COUNTA(INDIRECT(CONCATENATE("Area!",LEFT(ADDRESS(1,MATCH(C15,Area!$1:$1,0),4),1),"2:",LEFT(ADDRESS(1,MATCH(C15,Area!$1:$1,0),4),1),"99"))),0)</f>
        <v>0</v>
      </c>
      <c r="BB15">
        <f ca="1">IF(COUNTBLANK(D15)=0,COUNTA(INDIRECT(CONCATENATE("Setup!",LEFT(ADDRESS(1,MATCH(CONCATENATE(C15,":",D15),Setup!$1:$1,0),4),1),"2:",LEFT(ADDRESS(1,MATCH(CONCATENATE(C15,":",D15),Setup!$1:$1,0),4),1),"99"))),0)</f>
        <v>0</v>
      </c>
      <c r="BC15">
        <f ca="1">IF(COUNTBLANK(E15)=0,COUNTA(INDIRECT(CONCATENATE("Comp!",SUBSTITUTE(ADDRESS(1,MATCH(CONCATENATE(C15,":",D15,":",E15),Comp!$1:$1,0),4),"1",""),"2:",SUBSTITUTE(ADDRESS(1,MATCH(CONCATENATE(C15,":",D15,":",E15),Comp!$1:$1,0),4),"1",""),"99"))),0)</f>
        <v>0</v>
      </c>
    </row>
    <row r="16" spans="1:55">
      <c r="A16" s="20" t="s">
        <v>73</v>
      </c>
      <c r="B16" s="21"/>
      <c r="C16" s="20"/>
      <c r="D16" s="22"/>
      <c r="E16" s="22"/>
      <c r="F16" s="21"/>
      <c r="G16" s="23"/>
      <c r="H16" s="24"/>
      <c r="I16" s="22"/>
      <c r="J16" s="22"/>
      <c r="K16" s="22"/>
      <c r="L16" s="21"/>
      <c r="M16" s="20"/>
      <c r="N16" s="20"/>
      <c r="O16" s="23"/>
      <c r="P16" s="21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1"/>
      <c r="AU16" s="25" t="str">
        <f t="shared" si="0"/>
        <v>1Q42</v>
      </c>
      <c r="AV16" t="str">
        <f t="shared" si="1"/>
        <v>1Q42</v>
      </c>
      <c r="BA16">
        <f ca="1">IF(COUNTBLANK(C16)=0,COUNTA(INDIRECT(CONCATENATE("Area!",LEFT(ADDRESS(1,MATCH(C16,Area!$1:$1,0),4),1),"2:",LEFT(ADDRESS(1,MATCH(C16,Area!$1:$1,0),4),1),"99"))),0)</f>
        <v>0</v>
      </c>
      <c r="BB16">
        <f ca="1">IF(COUNTBLANK(D16)=0,COUNTA(INDIRECT(CONCATENATE("Setup!",LEFT(ADDRESS(1,MATCH(CONCATENATE(C16,":",D16),Setup!$1:$1,0),4),1),"2:",LEFT(ADDRESS(1,MATCH(CONCATENATE(C16,":",D16),Setup!$1:$1,0),4),1),"99"))),0)</f>
        <v>0</v>
      </c>
      <c r="BC16">
        <f ca="1">IF(COUNTBLANK(E16)=0,COUNTA(INDIRECT(CONCATENATE("Comp!",SUBSTITUTE(ADDRESS(1,MATCH(CONCATENATE(C16,":",D16,":",E16),Comp!$1:$1,0),4),"1",""),"2:",SUBSTITUTE(ADDRESS(1,MATCH(CONCATENATE(C16,":",D16,":",E16),Comp!$1:$1,0),4),"1",""),"99"))),0)</f>
        <v>0</v>
      </c>
    </row>
    <row r="17" spans="1:55">
      <c r="A17" s="20" t="s">
        <v>73</v>
      </c>
      <c r="B17" s="21"/>
      <c r="C17" s="20"/>
      <c r="D17" s="22"/>
      <c r="E17" s="22"/>
      <c r="F17" s="21"/>
      <c r="G17" s="23"/>
      <c r="H17" s="24"/>
      <c r="I17" s="22"/>
      <c r="J17" s="22"/>
      <c r="K17" s="22"/>
      <c r="L17" s="21"/>
      <c r="M17" s="20"/>
      <c r="N17" s="20"/>
      <c r="O17" s="23"/>
      <c r="P17" s="21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1"/>
      <c r="AU17" s="25" t="str">
        <f t="shared" si="0"/>
        <v>1Q42</v>
      </c>
      <c r="AV17" t="str">
        <f t="shared" si="1"/>
        <v>1Q42</v>
      </c>
      <c r="BA17">
        <f ca="1">IF(COUNTBLANK(C17)=0,COUNTA(INDIRECT(CONCATENATE("Area!",LEFT(ADDRESS(1,MATCH(C17,Area!$1:$1,0),4),1),"2:",LEFT(ADDRESS(1,MATCH(C17,Area!$1:$1,0),4),1),"99"))),0)</f>
        <v>0</v>
      </c>
      <c r="BB17">
        <f ca="1">IF(COUNTBLANK(D17)=0,COUNTA(INDIRECT(CONCATENATE("Setup!",LEFT(ADDRESS(1,MATCH(CONCATENATE(C17,":",D17),Setup!$1:$1,0),4),1),"2:",LEFT(ADDRESS(1,MATCH(CONCATENATE(C17,":",D17),Setup!$1:$1,0),4),1),"99"))),0)</f>
        <v>0</v>
      </c>
      <c r="BC17">
        <f ca="1">IF(COUNTBLANK(E17)=0,COUNTA(INDIRECT(CONCATENATE("Comp!",SUBSTITUTE(ADDRESS(1,MATCH(CONCATENATE(C17,":",D17,":",E17),Comp!$1:$1,0),4),"1",""),"2:",SUBSTITUTE(ADDRESS(1,MATCH(CONCATENATE(C17,":",D17,":",E17),Comp!$1:$1,0),4),"1",""),"99"))),0)</f>
        <v>0</v>
      </c>
    </row>
    <row r="18" spans="1:55">
      <c r="A18" s="20" t="s">
        <v>73</v>
      </c>
      <c r="B18" s="21"/>
      <c r="C18" s="20"/>
      <c r="D18" s="22"/>
      <c r="E18" s="22"/>
      <c r="F18" s="21"/>
      <c r="G18" s="23"/>
      <c r="H18" s="24"/>
      <c r="I18" s="22"/>
      <c r="J18" s="22"/>
      <c r="K18" s="22"/>
      <c r="L18" s="21"/>
      <c r="M18" s="20"/>
      <c r="N18" s="20"/>
      <c r="O18" s="23"/>
      <c r="P18" s="21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1"/>
      <c r="AU18" s="25" t="str">
        <f t="shared" si="0"/>
        <v>1Q42</v>
      </c>
      <c r="AV18" t="str">
        <f t="shared" si="1"/>
        <v>1Q42</v>
      </c>
      <c r="BA18">
        <f ca="1">IF(COUNTBLANK(C18)=0,COUNTA(INDIRECT(CONCATENATE("Area!",LEFT(ADDRESS(1,MATCH(C18,Area!$1:$1,0),4),1),"2:",LEFT(ADDRESS(1,MATCH(C18,Area!$1:$1,0),4),1),"99"))),0)</f>
        <v>0</v>
      </c>
      <c r="BB18">
        <f ca="1">IF(COUNTBLANK(D18)=0,COUNTA(INDIRECT(CONCATENATE("Setup!",LEFT(ADDRESS(1,MATCH(CONCATENATE(C18,":",D18),Setup!$1:$1,0),4),1),"2:",LEFT(ADDRESS(1,MATCH(CONCATENATE(C18,":",D18),Setup!$1:$1,0),4),1),"99"))),0)</f>
        <v>0</v>
      </c>
      <c r="BC18">
        <f ca="1">IF(COUNTBLANK(E18)=0,COUNTA(INDIRECT(CONCATENATE("Comp!",SUBSTITUTE(ADDRESS(1,MATCH(CONCATENATE(C18,":",D18,":",E18),Comp!$1:$1,0),4),"1",""),"2:",SUBSTITUTE(ADDRESS(1,MATCH(CONCATENATE(C18,":",D18,":",E18),Comp!$1:$1,0),4),"1",""),"99"))),0)</f>
        <v>0</v>
      </c>
    </row>
    <row r="19" spans="1:55">
      <c r="A19" s="20" t="s">
        <v>73</v>
      </c>
      <c r="B19" s="21"/>
      <c r="C19" s="20"/>
      <c r="D19" s="22"/>
      <c r="E19" s="22"/>
      <c r="F19" s="21"/>
      <c r="G19" s="23"/>
      <c r="H19" s="24"/>
      <c r="I19" s="22"/>
      <c r="J19" s="22"/>
      <c r="K19" s="22"/>
      <c r="L19" s="21"/>
      <c r="M19" s="20"/>
      <c r="N19" s="20"/>
      <c r="O19" s="23"/>
      <c r="P19" s="21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1"/>
      <c r="AU19" s="25" t="str">
        <f t="shared" si="0"/>
        <v>1Q42</v>
      </c>
      <c r="AV19" t="str">
        <f t="shared" si="1"/>
        <v>1Q42</v>
      </c>
      <c r="BA19">
        <f ca="1">IF(COUNTBLANK(C19)=0,COUNTA(INDIRECT(CONCATENATE("Area!",LEFT(ADDRESS(1,MATCH(C19,Area!$1:$1,0),4),1),"2:",LEFT(ADDRESS(1,MATCH(C19,Area!$1:$1,0),4),1),"99"))),0)</f>
        <v>0</v>
      </c>
      <c r="BB19">
        <f ca="1">IF(COUNTBLANK(D19)=0,COUNTA(INDIRECT(CONCATENATE("Setup!",LEFT(ADDRESS(1,MATCH(CONCATENATE(C19,":",D19),Setup!$1:$1,0),4),1),"2:",LEFT(ADDRESS(1,MATCH(CONCATENATE(C19,":",D19),Setup!$1:$1,0),4),1),"99"))),0)</f>
        <v>0</v>
      </c>
      <c r="BC19">
        <f ca="1">IF(COUNTBLANK(E19)=0,COUNTA(INDIRECT(CONCATENATE("Comp!",SUBSTITUTE(ADDRESS(1,MATCH(CONCATENATE(C19,":",D19,":",E19),Comp!$1:$1,0),4),"1",""),"2:",SUBSTITUTE(ADDRESS(1,MATCH(CONCATENATE(C19,":",D19,":",E19),Comp!$1:$1,0),4),"1",""),"99"))),0)</f>
        <v>0</v>
      </c>
    </row>
    <row r="20" spans="1:55">
      <c r="A20" s="20" t="s">
        <v>73</v>
      </c>
      <c r="B20" s="21"/>
      <c r="C20" s="20"/>
      <c r="D20" s="22"/>
      <c r="E20" s="22"/>
      <c r="F20" s="21"/>
      <c r="G20" s="23"/>
      <c r="H20" s="24"/>
      <c r="I20" s="22"/>
      <c r="J20" s="22"/>
      <c r="K20" s="22"/>
      <c r="L20" s="21"/>
      <c r="M20" s="20"/>
      <c r="N20" s="20"/>
      <c r="O20" s="23"/>
      <c r="P20" s="21"/>
      <c r="Q20" s="20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1"/>
      <c r="AU20" s="25" t="str">
        <f t="shared" si="0"/>
        <v>1Q42</v>
      </c>
      <c r="AV20" t="str">
        <f t="shared" si="1"/>
        <v>1Q42</v>
      </c>
      <c r="BA20">
        <f ca="1">IF(COUNTBLANK(C20)=0,COUNTA(INDIRECT(CONCATENATE("Area!",LEFT(ADDRESS(1,MATCH(C20,Area!$1:$1,0),4),1),"2:",LEFT(ADDRESS(1,MATCH(C20,Area!$1:$1,0),4),1),"99"))),0)</f>
        <v>0</v>
      </c>
      <c r="BB20">
        <f ca="1">IF(COUNTBLANK(D20)=0,COUNTA(INDIRECT(CONCATENATE("Setup!",LEFT(ADDRESS(1,MATCH(CONCATENATE(C20,":",D20),Setup!$1:$1,0),4),1),"2:",LEFT(ADDRESS(1,MATCH(CONCATENATE(C20,":",D20),Setup!$1:$1,0),4),1),"99"))),0)</f>
        <v>0</v>
      </c>
      <c r="BC20">
        <f ca="1">IF(COUNTBLANK(E20)=0,COUNTA(INDIRECT(CONCATENATE("Comp!",SUBSTITUTE(ADDRESS(1,MATCH(CONCATENATE(C20,":",D20,":",E20),Comp!$1:$1,0),4),"1",""),"2:",SUBSTITUTE(ADDRESS(1,MATCH(CONCATENATE(C20,":",D20,":",E20),Comp!$1:$1,0),4),"1",""),"99"))),0)</f>
        <v>0</v>
      </c>
    </row>
    <row r="21" spans="1:55">
      <c r="A21" s="20" t="s">
        <v>73</v>
      </c>
      <c r="B21" s="21"/>
      <c r="C21" s="20"/>
      <c r="D21" s="22"/>
      <c r="E21" s="22"/>
      <c r="F21" s="21"/>
      <c r="G21" s="23"/>
      <c r="H21" s="24"/>
      <c r="I21" s="22"/>
      <c r="J21" s="22"/>
      <c r="K21" s="22"/>
      <c r="L21" s="21"/>
      <c r="M21" s="20"/>
      <c r="N21" s="20"/>
      <c r="O21" s="23"/>
      <c r="P21" s="21"/>
      <c r="Q21" s="20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1"/>
      <c r="AU21" s="25" t="str">
        <f t="shared" si="0"/>
        <v>1Q42</v>
      </c>
      <c r="AV21" t="str">
        <f t="shared" si="1"/>
        <v>1Q42</v>
      </c>
      <c r="BA21">
        <f ca="1">IF(COUNTBLANK(C21)=0,COUNTA(INDIRECT(CONCATENATE("Area!",LEFT(ADDRESS(1,MATCH(C21,Area!$1:$1,0),4),1),"2:",LEFT(ADDRESS(1,MATCH(C21,Area!$1:$1,0),4),1),"99"))),0)</f>
        <v>0</v>
      </c>
      <c r="BB21">
        <f ca="1">IF(COUNTBLANK(D21)=0,COUNTA(INDIRECT(CONCATENATE("Setup!",LEFT(ADDRESS(1,MATCH(CONCATENATE(C21,":",D21),Setup!$1:$1,0),4),1),"2:",LEFT(ADDRESS(1,MATCH(CONCATENATE(C21,":",D21),Setup!$1:$1,0),4),1),"99"))),0)</f>
        <v>0</v>
      </c>
      <c r="BC21">
        <f ca="1">IF(COUNTBLANK(E21)=0,COUNTA(INDIRECT(CONCATENATE("Comp!",SUBSTITUTE(ADDRESS(1,MATCH(CONCATENATE(C21,":",D21,":",E21),Comp!$1:$1,0),4),"1",""),"2:",SUBSTITUTE(ADDRESS(1,MATCH(CONCATENATE(C21,":",D21,":",E21),Comp!$1:$1,0),4),"1",""),"99"))),0)</f>
        <v>0</v>
      </c>
    </row>
    <row r="22" spans="1:55">
      <c r="A22" s="20" t="s">
        <v>73</v>
      </c>
      <c r="B22" s="21"/>
      <c r="C22" s="20"/>
      <c r="D22" s="22"/>
      <c r="E22" s="22"/>
      <c r="F22" s="21"/>
      <c r="G22" s="23"/>
      <c r="H22" s="24"/>
      <c r="I22" s="22"/>
      <c r="J22" s="22"/>
      <c r="K22" s="22"/>
      <c r="L22" s="21"/>
      <c r="M22" s="20"/>
      <c r="N22" s="20"/>
      <c r="O22" s="23"/>
      <c r="P22" s="21"/>
      <c r="Q22" s="20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1"/>
      <c r="AU22" s="25" t="str">
        <f t="shared" si="0"/>
        <v>1Q42</v>
      </c>
      <c r="AV22" t="str">
        <f t="shared" si="1"/>
        <v>1Q42</v>
      </c>
      <c r="BA22">
        <f ca="1">IF(COUNTBLANK(C22)=0,COUNTA(INDIRECT(CONCATENATE("Area!",LEFT(ADDRESS(1,MATCH(C22,Area!$1:$1,0),4),1),"2:",LEFT(ADDRESS(1,MATCH(C22,Area!$1:$1,0),4),1),"99"))),0)</f>
        <v>0</v>
      </c>
      <c r="BB22">
        <f ca="1">IF(COUNTBLANK(D22)=0,COUNTA(INDIRECT(CONCATENATE("Setup!",LEFT(ADDRESS(1,MATCH(CONCATENATE(C22,":",D22),Setup!$1:$1,0),4),1),"2:",LEFT(ADDRESS(1,MATCH(CONCATENATE(C22,":",D22),Setup!$1:$1,0),4),1),"99"))),0)</f>
        <v>0</v>
      </c>
      <c r="BC22">
        <f ca="1">IF(COUNTBLANK(E22)=0,COUNTA(INDIRECT(CONCATENATE("Comp!",SUBSTITUTE(ADDRESS(1,MATCH(CONCATENATE(C22,":",D22,":",E22),Comp!$1:$1,0),4),"1",""),"2:",SUBSTITUTE(ADDRESS(1,MATCH(CONCATENATE(C22,":",D22,":",E22),Comp!$1:$1,0),4),"1",""),"99"))),0)</f>
        <v>0</v>
      </c>
    </row>
    <row r="23" spans="1:55">
      <c r="A23" s="20" t="s">
        <v>73</v>
      </c>
      <c r="B23" s="21"/>
      <c r="C23" s="20"/>
      <c r="D23" s="22"/>
      <c r="E23" s="22"/>
      <c r="F23" s="21"/>
      <c r="G23" s="23"/>
      <c r="H23" s="24"/>
      <c r="I23" s="22"/>
      <c r="J23" s="22"/>
      <c r="K23" s="22"/>
      <c r="L23" s="21"/>
      <c r="M23" s="20"/>
      <c r="N23" s="20"/>
      <c r="O23" s="23"/>
      <c r="P23" s="21"/>
      <c r="Q23" s="20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1"/>
      <c r="AU23" s="25" t="str">
        <f t="shared" si="0"/>
        <v>1Q42</v>
      </c>
      <c r="AV23" t="str">
        <f t="shared" si="1"/>
        <v>1Q42</v>
      </c>
      <c r="BA23">
        <f ca="1">IF(COUNTBLANK(C23)=0,COUNTA(INDIRECT(CONCATENATE("Area!",LEFT(ADDRESS(1,MATCH(C23,Area!$1:$1,0),4),1),"2:",LEFT(ADDRESS(1,MATCH(C23,Area!$1:$1,0),4),1),"99"))),0)</f>
        <v>0</v>
      </c>
      <c r="BB23">
        <f ca="1">IF(COUNTBLANK(D23)=0,COUNTA(INDIRECT(CONCATENATE("Setup!",LEFT(ADDRESS(1,MATCH(CONCATENATE(C23,":",D23),Setup!$1:$1,0),4),1),"2:",LEFT(ADDRESS(1,MATCH(CONCATENATE(C23,":",D23),Setup!$1:$1,0),4),1),"99"))),0)</f>
        <v>0</v>
      </c>
      <c r="BC23">
        <f ca="1">IF(COUNTBLANK(E23)=0,COUNTA(INDIRECT(CONCATENATE("Comp!",SUBSTITUTE(ADDRESS(1,MATCH(CONCATENATE(C23,":",D23,":",E23),Comp!$1:$1,0),4),"1",""),"2:",SUBSTITUTE(ADDRESS(1,MATCH(CONCATENATE(C23,":",D23,":",E23),Comp!$1:$1,0),4),"1",""),"99"))),0)</f>
        <v>0</v>
      </c>
    </row>
    <row r="24" spans="1:55">
      <c r="A24" s="20" t="s">
        <v>73</v>
      </c>
      <c r="B24" s="21"/>
      <c r="C24" s="20"/>
      <c r="D24" s="22"/>
      <c r="E24" s="22"/>
      <c r="F24" s="21"/>
      <c r="G24" s="23"/>
      <c r="H24" s="24"/>
      <c r="I24" s="22"/>
      <c r="J24" s="22"/>
      <c r="K24" s="22"/>
      <c r="L24" s="21"/>
      <c r="M24" s="20"/>
      <c r="N24" s="20"/>
      <c r="O24" s="23"/>
      <c r="P24" s="21"/>
      <c r="Q24" s="20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1"/>
      <c r="AU24" s="25" t="str">
        <f t="shared" si="0"/>
        <v>1Q42</v>
      </c>
      <c r="AV24" t="str">
        <f t="shared" si="1"/>
        <v>1Q42</v>
      </c>
      <c r="BA24">
        <f ca="1">IF(COUNTBLANK(C24)=0,COUNTA(INDIRECT(CONCATENATE("Area!",LEFT(ADDRESS(1,MATCH(C24,Area!$1:$1,0),4),1),"2:",LEFT(ADDRESS(1,MATCH(C24,Area!$1:$1,0),4),1),"99"))),0)</f>
        <v>0</v>
      </c>
      <c r="BB24">
        <f ca="1">IF(COUNTBLANK(D24)=0,COUNTA(INDIRECT(CONCATENATE("Setup!",LEFT(ADDRESS(1,MATCH(CONCATENATE(C24,":",D24),Setup!$1:$1,0),4),1),"2:",LEFT(ADDRESS(1,MATCH(CONCATENATE(C24,":",D24),Setup!$1:$1,0),4),1),"99"))),0)</f>
        <v>0</v>
      </c>
      <c r="BC24">
        <f ca="1">IF(COUNTBLANK(E24)=0,COUNTA(INDIRECT(CONCATENATE("Comp!",SUBSTITUTE(ADDRESS(1,MATCH(CONCATENATE(C24,":",D24,":",E24),Comp!$1:$1,0),4),"1",""),"2:",SUBSTITUTE(ADDRESS(1,MATCH(CONCATENATE(C24,":",D24,":",E24),Comp!$1:$1,0),4),"1",""),"99"))),0)</f>
        <v>0</v>
      </c>
    </row>
    <row r="25" spans="1:55">
      <c r="A25" s="20" t="s">
        <v>73</v>
      </c>
      <c r="B25" s="21"/>
      <c r="C25" s="20"/>
      <c r="D25" s="22"/>
      <c r="E25" s="22"/>
      <c r="F25" s="21"/>
      <c r="G25" s="23"/>
      <c r="H25" s="24"/>
      <c r="I25" s="22"/>
      <c r="J25" s="22"/>
      <c r="K25" s="22"/>
      <c r="L25" s="21"/>
      <c r="M25" s="20"/>
      <c r="N25" s="20"/>
      <c r="O25" s="23"/>
      <c r="P25" s="21"/>
      <c r="Q25" s="20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1"/>
      <c r="AU25" s="25" t="str">
        <f t="shared" si="0"/>
        <v>1Q42</v>
      </c>
      <c r="AV25" t="str">
        <f t="shared" si="1"/>
        <v>1Q42</v>
      </c>
      <c r="BA25">
        <f ca="1">IF(COUNTBLANK(C25)=0,COUNTA(INDIRECT(CONCATENATE("Area!",LEFT(ADDRESS(1,MATCH(C25,Area!$1:$1,0),4),1),"2:",LEFT(ADDRESS(1,MATCH(C25,Area!$1:$1,0),4),1),"99"))),0)</f>
        <v>0</v>
      </c>
      <c r="BB25">
        <f ca="1">IF(COUNTBLANK(D25)=0,COUNTA(INDIRECT(CONCATENATE("Setup!",LEFT(ADDRESS(1,MATCH(CONCATENATE(C25,":",D25),Setup!$1:$1,0),4),1),"2:",LEFT(ADDRESS(1,MATCH(CONCATENATE(C25,":",D25),Setup!$1:$1,0),4),1),"99"))),0)</f>
        <v>0</v>
      </c>
      <c r="BC25">
        <f ca="1">IF(COUNTBLANK(E25)=0,COUNTA(INDIRECT(CONCATENATE("Comp!",SUBSTITUTE(ADDRESS(1,MATCH(CONCATENATE(C25,":",D25,":",E25),Comp!$1:$1,0),4),"1",""),"2:",SUBSTITUTE(ADDRESS(1,MATCH(CONCATENATE(C25,":",D25,":",E25),Comp!$1:$1,0),4),"1",""),"99"))),0)</f>
        <v>0</v>
      </c>
    </row>
    <row r="26" spans="1:55">
      <c r="A26" s="20" t="s">
        <v>73</v>
      </c>
      <c r="B26" s="21"/>
      <c r="C26" s="20"/>
      <c r="D26" s="22"/>
      <c r="E26" s="22"/>
      <c r="F26" s="21"/>
      <c r="G26" s="23"/>
      <c r="H26" s="24"/>
      <c r="I26" s="22"/>
      <c r="J26" s="22"/>
      <c r="K26" s="22"/>
      <c r="L26" s="21"/>
      <c r="M26" s="20"/>
      <c r="N26" s="20"/>
      <c r="O26" s="23"/>
      <c r="P26" s="21"/>
      <c r="Q26" s="20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1"/>
      <c r="AU26" s="25" t="str">
        <f t="shared" si="0"/>
        <v>1Q42</v>
      </c>
      <c r="AV26" t="str">
        <f t="shared" si="1"/>
        <v>1Q42</v>
      </c>
      <c r="BA26">
        <f ca="1">IF(COUNTBLANK(C26)=0,COUNTA(INDIRECT(CONCATENATE("Area!",LEFT(ADDRESS(1,MATCH(C26,Area!$1:$1,0),4),1),"2:",LEFT(ADDRESS(1,MATCH(C26,Area!$1:$1,0),4),1),"99"))),0)</f>
        <v>0</v>
      </c>
      <c r="BB26">
        <f ca="1">IF(COUNTBLANK(D26)=0,COUNTA(INDIRECT(CONCATENATE("Setup!",LEFT(ADDRESS(1,MATCH(CONCATENATE(C26,":",D26),Setup!$1:$1,0),4),1),"2:",LEFT(ADDRESS(1,MATCH(CONCATENATE(C26,":",D26),Setup!$1:$1,0),4),1),"99"))),0)</f>
        <v>0</v>
      </c>
      <c r="BC26">
        <f ca="1">IF(COUNTBLANK(E26)=0,COUNTA(INDIRECT(CONCATENATE("Comp!",SUBSTITUTE(ADDRESS(1,MATCH(CONCATENATE(C26,":",D26,":",E26),Comp!$1:$1,0),4),"1",""),"2:",SUBSTITUTE(ADDRESS(1,MATCH(CONCATENATE(C26,":",D26,":",E26),Comp!$1:$1,0),4),"1",""),"99"))),0)</f>
        <v>0</v>
      </c>
    </row>
    <row r="27" spans="1:55">
      <c r="A27" s="20" t="s">
        <v>73</v>
      </c>
      <c r="B27" s="21"/>
      <c r="C27" s="20"/>
      <c r="D27" s="22"/>
      <c r="E27" s="22"/>
      <c r="F27" s="21"/>
      <c r="G27" s="23"/>
      <c r="H27" s="24"/>
      <c r="I27" s="22"/>
      <c r="J27" s="22"/>
      <c r="K27" s="22"/>
      <c r="L27" s="21"/>
      <c r="M27" s="20"/>
      <c r="N27" s="20"/>
      <c r="O27" s="23"/>
      <c r="P27" s="21"/>
      <c r="Q27" s="20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1"/>
      <c r="AU27" s="25" t="str">
        <f t="shared" si="0"/>
        <v>1Q42</v>
      </c>
      <c r="AV27" t="str">
        <f t="shared" si="1"/>
        <v>1Q42</v>
      </c>
      <c r="BA27">
        <f ca="1">IF(COUNTBLANK(C27)=0,COUNTA(INDIRECT(CONCATENATE("Area!",LEFT(ADDRESS(1,MATCH(C27,Area!$1:$1,0),4),1),"2:",LEFT(ADDRESS(1,MATCH(C27,Area!$1:$1,0),4),1),"99"))),0)</f>
        <v>0</v>
      </c>
      <c r="BB27">
        <f ca="1">IF(COUNTBLANK(D27)=0,COUNTA(INDIRECT(CONCATENATE("Setup!",LEFT(ADDRESS(1,MATCH(CONCATENATE(C27,":",D27),Setup!$1:$1,0),4),1),"2:",LEFT(ADDRESS(1,MATCH(CONCATENATE(C27,":",D27),Setup!$1:$1,0),4),1),"99"))),0)</f>
        <v>0</v>
      </c>
      <c r="BC27">
        <f ca="1">IF(COUNTBLANK(E27)=0,COUNTA(INDIRECT(CONCATENATE("Comp!",SUBSTITUTE(ADDRESS(1,MATCH(CONCATENATE(C27,":",D27,":",E27),Comp!$1:$1,0),4),"1",""),"2:",SUBSTITUTE(ADDRESS(1,MATCH(CONCATENATE(C27,":",D27,":",E27),Comp!$1:$1,0),4),"1",""),"99"))),0)</f>
        <v>0</v>
      </c>
    </row>
    <row r="28" spans="1:55">
      <c r="A28" s="20" t="s">
        <v>73</v>
      </c>
      <c r="B28" s="21"/>
      <c r="C28" s="20"/>
      <c r="D28" s="22"/>
      <c r="E28" s="22"/>
      <c r="F28" s="21"/>
      <c r="G28" s="23"/>
      <c r="H28" s="24"/>
      <c r="I28" s="22"/>
      <c r="J28" s="22"/>
      <c r="K28" s="22"/>
      <c r="L28" s="21"/>
      <c r="M28" s="20"/>
      <c r="N28" s="20"/>
      <c r="O28" s="23"/>
      <c r="P28" s="21"/>
      <c r="Q28" s="20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1"/>
      <c r="AU28" s="25" t="str">
        <f t="shared" si="0"/>
        <v>1Q42</v>
      </c>
      <c r="AV28" t="str">
        <f t="shared" si="1"/>
        <v>1Q42</v>
      </c>
      <c r="BA28">
        <f ca="1">IF(COUNTBLANK(C28)=0,COUNTA(INDIRECT(CONCATENATE("Area!",LEFT(ADDRESS(1,MATCH(C28,Area!$1:$1,0),4),1),"2:",LEFT(ADDRESS(1,MATCH(C28,Area!$1:$1,0),4),1),"99"))),0)</f>
        <v>0</v>
      </c>
      <c r="BB28">
        <f ca="1">IF(COUNTBLANK(D28)=0,COUNTA(INDIRECT(CONCATENATE("Setup!",LEFT(ADDRESS(1,MATCH(CONCATENATE(C28,":",D28),Setup!$1:$1,0),4),1),"2:",LEFT(ADDRESS(1,MATCH(CONCATENATE(C28,":",D28),Setup!$1:$1,0),4),1),"99"))),0)</f>
        <v>0</v>
      </c>
      <c r="BC28">
        <f ca="1">IF(COUNTBLANK(E28)=0,COUNTA(INDIRECT(CONCATENATE("Comp!",SUBSTITUTE(ADDRESS(1,MATCH(CONCATENATE(C28,":",D28,":",E28),Comp!$1:$1,0),4),"1",""),"2:",SUBSTITUTE(ADDRESS(1,MATCH(CONCATENATE(C28,":",D28,":",E28),Comp!$1:$1,0),4),"1",""),"99"))),0)</f>
        <v>0</v>
      </c>
    </row>
    <row r="29" spans="1:55">
      <c r="A29" s="20" t="s">
        <v>73</v>
      </c>
      <c r="B29" s="21"/>
      <c r="C29" s="20"/>
      <c r="D29" s="22"/>
      <c r="E29" s="22"/>
      <c r="F29" s="21"/>
      <c r="G29" s="23"/>
      <c r="H29" s="24"/>
      <c r="I29" s="22"/>
      <c r="J29" s="22"/>
      <c r="K29" s="22"/>
      <c r="L29" s="21"/>
      <c r="M29" s="20"/>
      <c r="N29" s="20"/>
      <c r="O29" s="23"/>
      <c r="P29" s="21"/>
      <c r="Q29" s="20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1"/>
      <c r="AU29" s="25" t="str">
        <f t="shared" si="0"/>
        <v>1Q42</v>
      </c>
      <c r="AV29" t="str">
        <f t="shared" si="1"/>
        <v>1Q42</v>
      </c>
      <c r="BA29">
        <f ca="1">IF(COUNTBLANK(C29)=0,COUNTA(INDIRECT(CONCATENATE("Area!",LEFT(ADDRESS(1,MATCH(C29,Area!$1:$1,0),4),1),"2:",LEFT(ADDRESS(1,MATCH(C29,Area!$1:$1,0),4),1),"99"))),0)</f>
        <v>0</v>
      </c>
      <c r="BB29">
        <f ca="1">IF(COUNTBLANK(D29)=0,COUNTA(INDIRECT(CONCATENATE("Setup!",LEFT(ADDRESS(1,MATCH(CONCATENATE(C29,":",D29),Setup!$1:$1,0),4),1),"2:",LEFT(ADDRESS(1,MATCH(CONCATENATE(C29,":",D29),Setup!$1:$1,0),4),1),"99"))),0)</f>
        <v>0</v>
      </c>
      <c r="BC29">
        <f ca="1">IF(COUNTBLANK(E29)=0,COUNTA(INDIRECT(CONCATENATE("Comp!",SUBSTITUTE(ADDRESS(1,MATCH(CONCATENATE(C29,":",D29,":",E29),Comp!$1:$1,0),4),"1",""),"2:",SUBSTITUTE(ADDRESS(1,MATCH(CONCATENATE(C29,":",D29,":",E29),Comp!$1:$1,0),4),"1",""),"99"))),0)</f>
        <v>0</v>
      </c>
    </row>
    <row r="30" spans="1:55">
      <c r="A30" s="20" t="s">
        <v>73</v>
      </c>
      <c r="B30" s="21"/>
      <c r="C30" s="20"/>
      <c r="D30" s="22"/>
      <c r="E30" s="22"/>
      <c r="F30" s="21"/>
      <c r="G30" s="23"/>
      <c r="H30" s="24"/>
      <c r="I30" s="22"/>
      <c r="J30" s="22"/>
      <c r="K30" s="22"/>
      <c r="L30" s="21"/>
      <c r="M30" s="20"/>
      <c r="N30" s="20"/>
      <c r="O30" s="23"/>
      <c r="P30" s="21"/>
      <c r="Q30" s="20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1"/>
      <c r="AU30" s="25" t="str">
        <f t="shared" si="0"/>
        <v>1Q42</v>
      </c>
      <c r="AV30" t="str">
        <f t="shared" si="1"/>
        <v>1Q42</v>
      </c>
      <c r="BA30">
        <f ca="1">IF(COUNTBLANK(C30)=0,COUNTA(INDIRECT(CONCATENATE("Area!",LEFT(ADDRESS(1,MATCH(C30,Area!$1:$1,0),4),1),"2:",LEFT(ADDRESS(1,MATCH(C30,Area!$1:$1,0),4),1),"99"))),0)</f>
        <v>0</v>
      </c>
      <c r="BB30">
        <f ca="1">IF(COUNTBLANK(D30)=0,COUNTA(INDIRECT(CONCATENATE("Setup!",LEFT(ADDRESS(1,MATCH(CONCATENATE(C30,":",D30),Setup!$1:$1,0),4),1),"2:",LEFT(ADDRESS(1,MATCH(CONCATENATE(C30,":",D30),Setup!$1:$1,0),4),1),"99"))),0)</f>
        <v>0</v>
      </c>
      <c r="BC30">
        <f ca="1">IF(COUNTBLANK(E30)=0,COUNTA(INDIRECT(CONCATENATE("Comp!",SUBSTITUTE(ADDRESS(1,MATCH(CONCATENATE(C30,":",D30,":",E30),Comp!$1:$1,0),4),"1",""),"2:",SUBSTITUTE(ADDRESS(1,MATCH(CONCATENATE(C30,":",D30,":",E30),Comp!$1:$1,0),4),"1",""),"99"))),0)</f>
        <v>0</v>
      </c>
    </row>
    <row r="31" spans="1:55">
      <c r="A31" s="20" t="s">
        <v>73</v>
      </c>
      <c r="B31" s="21"/>
      <c r="C31" s="20"/>
      <c r="D31" s="22"/>
      <c r="E31" s="22"/>
      <c r="F31" s="21"/>
      <c r="G31" s="23"/>
      <c r="H31" s="24"/>
      <c r="I31" s="22"/>
      <c r="J31" s="22"/>
      <c r="K31" s="22"/>
      <c r="L31" s="21"/>
      <c r="M31" s="20"/>
      <c r="N31" s="20"/>
      <c r="O31" s="23"/>
      <c r="P31" s="21"/>
      <c r="Q31" s="20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1"/>
      <c r="AU31" s="25" t="str">
        <f t="shared" si="0"/>
        <v>1Q42</v>
      </c>
      <c r="AV31" t="str">
        <f t="shared" si="1"/>
        <v>1Q42</v>
      </c>
      <c r="BA31">
        <f ca="1">IF(COUNTBLANK(C31)=0,COUNTA(INDIRECT(CONCATENATE("Area!",LEFT(ADDRESS(1,MATCH(C31,Area!$1:$1,0),4),1),"2:",LEFT(ADDRESS(1,MATCH(C31,Area!$1:$1,0),4),1),"99"))),0)</f>
        <v>0</v>
      </c>
      <c r="BB31">
        <f ca="1">IF(COUNTBLANK(D31)=0,COUNTA(INDIRECT(CONCATENATE("Setup!",LEFT(ADDRESS(1,MATCH(CONCATENATE(C31,":",D31),Setup!$1:$1,0),4),1),"2:",LEFT(ADDRESS(1,MATCH(CONCATENATE(C31,":",D31),Setup!$1:$1,0),4),1),"99"))),0)</f>
        <v>0</v>
      </c>
      <c r="BC31">
        <f ca="1">IF(COUNTBLANK(E31)=0,COUNTA(INDIRECT(CONCATENATE("Comp!",SUBSTITUTE(ADDRESS(1,MATCH(CONCATENATE(C31,":",D31,":",E31),Comp!$1:$1,0),4),"1",""),"2:",SUBSTITUTE(ADDRESS(1,MATCH(CONCATENATE(C31,":",D31,":",E31),Comp!$1:$1,0),4),"1",""),"99"))),0)</f>
        <v>0</v>
      </c>
    </row>
    <row r="32" spans="1:55">
      <c r="A32" s="20" t="s">
        <v>73</v>
      </c>
      <c r="B32" s="21"/>
      <c r="C32" s="20"/>
      <c r="D32" s="22"/>
      <c r="E32" s="22"/>
      <c r="F32" s="21"/>
      <c r="G32" s="23"/>
      <c r="H32" s="24"/>
      <c r="I32" s="22"/>
      <c r="J32" s="22"/>
      <c r="K32" s="22"/>
      <c r="L32" s="21"/>
      <c r="M32" s="20"/>
      <c r="N32" s="20"/>
      <c r="O32" s="23"/>
      <c r="P32" s="21"/>
      <c r="Q32" s="20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1"/>
      <c r="AU32" s="25" t="str">
        <f t="shared" si="0"/>
        <v>1Q42</v>
      </c>
      <c r="AV32" t="str">
        <f t="shared" si="1"/>
        <v>1Q42</v>
      </c>
      <c r="BA32">
        <f ca="1">IF(COUNTBLANK(C32)=0,COUNTA(INDIRECT(CONCATENATE("Area!",LEFT(ADDRESS(1,MATCH(C32,Area!$1:$1,0),4),1),"2:",LEFT(ADDRESS(1,MATCH(C32,Area!$1:$1,0),4),1),"99"))),0)</f>
        <v>0</v>
      </c>
      <c r="BB32">
        <f ca="1">IF(COUNTBLANK(D32)=0,COUNTA(INDIRECT(CONCATENATE("Setup!",LEFT(ADDRESS(1,MATCH(CONCATENATE(C32,":",D32),Setup!$1:$1,0),4),1),"2:",LEFT(ADDRESS(1,MATCH(CONCATENATE(C32,":",D32),Setup!$1:$1,0),4),1),"99"))),0)</f>
        <v>0</v>
      </c>
      <c r="BC32">
        <f ca="1">IF(COUNTBLANK(E32)=0,COUNTA(INDIRECT(CONCATENATE("Comp!",SUBSTITUTE(ADDRESS(1,MATCH(CONCATENATE(C32,":",D32,":",E32),Comp!$1:$1,0),4),"1",""),"2:",SUBSTITUTE(ADDRESS(1,MATCH(CONCATENATE(C32,":",D32,":",E32),Comp!$1:$1,0),4),"1",""),"99"))),0)</f>
        <v>0</v>
      </c>
    </row>
    <row r="33" spans="1:55">
      <c r="A33" s="20" t="s">
        <v>73</v>
      </c>
      <c r="B33" s="21"/>
      <c r="C33" s="20"/>
      <c r="D33" s="22"/>
      <c r="E33" s="22"/>
      <c r="F33" s="21"/>
      <c r="G33" s="23"/>
      <c r="H33" s="24"/>
      <c r="I33" s="22"/>
      <c r="J33" s="22"/>
      <c r="K33" s="22"/>
      <c r="L33" s="21"/>
      <c r="M33" s="20"/>
      <c r="N33" s="20"/>
      <c r="O33" s="23"/>
      <c r="P33" s="21"/>
      <c r="Q33" s="20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1"/>
      <c r="AU33" s="25" t="str">
        <f t="shared" si="0"/>
        <v>1Q42</v>
      </c>
      <c r="AV33" t="str">
        <f t="shared" si="1"/>
        <v>1Q42</v>
      </c>
      <c r="BA33">
        <f ca="1">IF(COUNTBLANK(C33)=0,COUNTA(INDIRECT(CONCATENATE("Area!",LEFT(ADDRESS(1,MATCH(C33,Area!$1:$1,0),4),1),"2:",LEFT(ADDRESS(1,MATCH(C33,Area!$1:$1,0),4),1),"99"))),0)</f>
        <v>0</v>
      </c>
      <c r="BB33">
        <f ca="1">IF(COUNTBLANK(D33)=0,COUNTA(INDIRECT(CONCATENATE("Setup!",LEFT(ADDRESS(1,MATCH(CONCATENATE(C33,":",D33),Setup!$1:$1,0),4),1),"2:",LEFT(ADDRESS(1,MATCH(CONCATENATE(C33,":",D33),Setup!$1:$1,0),4),1),"99"))),0)</f>
        <v>0</v>
      </c>
      <c r="BC33">
        <f ca="1">IF(COUNTBLANK(E33)=0,COUNTA(INDIRECT(CONCATENATE("Comp!",SUBSTITUTE(ADDRESS(1,MATCH(CONCATENATE(C33,":",D33,":",E33),Comp!$1:$1,0),4),"1",""),"2:",SUBSTITUTE(ADDRESS(1,MATCH(CONCATENATE(C33,":",D33,":",E33),Comp!$1:$1,0),4),"1",""),"99"))),0)</f>
        <v>0</v>
      </c>
    </row>
    <row r="34" spans="1:55">
      <c r="A34" s="20" t="s">
        <v>73</v>
      </c>
      <c r="B34" s="21"/>
      <c r="C34" s="20"/>
      <c r="D34" s="22"/>
      <c r="E34" s="22"/>
      <c r="F34" s="21"/>
      <c r="G34" s="23"/>
      <c r="H34" s="24"/>
      <c r="I34" s="22"/>
      <c r="J34" s="22"/>
      <c r="K34" s="22"/>
      <c r="L34" s="21"/>
      <c r="M34" s="20"/>
      <c r="N34" s="20"/>
      <c r="O34" s="23"/>
      <c r="P34" s="21"/>
      <c r="Q34" s="20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1"/>
      <c r="AU34" s="25" t="str">
        <f t="shared" si="0"/>
        <v>1Q42</v>
      </c>
      <c r="AV34" t="str">
        <f t="shared" si="1"/>
        <v>1Q42</v>
      </c>
      <c r="BA34">
        <f ca="1">IF(COUNTBLANK(C34)=0,COUNTA(INDIRECT(CONCATENATE("Area!",LEFT(ADDRESS(1,MATCH(C34,Area!$1:$1,0),4),1),"2:",LEFT(ADDRESS(1,MATCH(C34,Area!$1:$1,0),4),1),"99"))),0)</f>
        <v>0</v>
      </c>
      <c r="BB34">
        <f ca="1">IF(COUNTBLANK(D34)=0,COUNTA(INDIRECT(CONCATENATE("Setup!",LEFT(ADDRESS(1,MATCH(CONCATENATE(C34,":",D34),Setup!$1:$1,0),4),1),"2:",LEFT(ADDRESS(1,MATCH(CONCATENATE(C34,":",D34),Setup!$1:$1,0),4),1),"99"))),0)</f>
        <v>0</v>
      </c>
      <c r="BC34">
        <f ca="1">IF(COUNTBLANK(E34)=0,COUNTA(INDIRECT(CONCATENATE("Comp!",SUBSTITUTE(ADDRESS(1,MATCH(CONCATENATE(C34,":",D34,":",E34),Comp!$1:$1,0),4),"1",""),"2:",SUBSTITUTE(ADDRESS(1,MATCH(CONCATENATE(C34,":",D34,":",E34),Comp!$1:$1,0),4),"1",""),"99"))),0)</f>
        <v>0</v>
      </c>
    </row>
    <row r="35" spans="1:55">
      <c r="A35" s="20" t="s">
        <v>73</v>
      </c>
      <c r="B35" s="21"/>
      <c r="C35" s="20"/>
      <c r="D35" s="22"/>
      <c r="E35" s="22"/>
      <c r="F35" s="21"/>
      <c r="G35" s="23"/>
      <c r="H35" s="24"/>
      <c r="I35" s="22"/>
      <c r="J35" s="22"/>
      <c r="K35" s="22"/>
      <c r="L35" s="21"/>
      <c r="M35" s="20"/>
      <c r="N35" s="20"/>
      <c r="O35" s="23"/>
      <c r="P35" s="21"/>
      <c r="Q35" s="20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1"/>
      <c r="AU35" s="25" t="str">
        <f t="shared" si="0"/>
        <v>1Q42</v>
      </c>
      <c r="AV35" t="str">
        <f t="shared" si="1"/>
        <v>1Q42</v>
      </c>
      <c r="BA35">
        <f ca="1">IF(COUNTBLANK(C35)=0,COUNTA(INDIRECT(CONCATENATE("Area!",LEFT(ADDRESS(1,MATCH(C35,Area!$1:$1,0),4),1),"2:",LEFT(ADDRESS(1,MATCH(C35,Area!$1:$1,0),4),1),"99"))),0)</f>
        <v>0</v>
      </c>
      <c r="BB35">
        <f ca="1">IF(COUNTBLANK(D35)=0,COUNTA(INDIRECT(CONCATENATE("Setup!",LEFT(ADDRESS(1,MATCH(CONCATENATE(C35,":",D35),Setup!$1:$1,0),4),1),"2:",LEFT(ADDRESS(1,MATCH(CONCATENATE(C35,":",D35),Setup!$1:$1,0),4),1),"99"))),0)</f>
        <v>0</v>
      </c>
      <c r="BC35">
        <f ca="1">IF(COUNTBLANK(E35)=0,COUNTA(INDIRECT(CONCATENATE("Comp!",SUBSTITUTE(ADDRESS(1,MATCH(CONCATENATE(C35,":",D35,":",E35),Comp!$1:$1,0),4),"1",""),"2:",SUBSTITUTE(ADDRESS(1,MATCH(CONCATENATE(C35,":",D35,":",E35),Comp!$1:$1,0),4),"1",""),"99"))),0)</f>
        <v>0</v>
      </c>
    </row>
    <row r="36" spans="1:55">
      <c r="A36" s="20" t="s">
        <v>73</v>
      </c>
      <c r="B36" s="21"/>
      <c r="C36" s="20"/>
      <c r="D36" s="22"/>
      <c r="E36" s="22"/>
      <c r="F36" s="21"/>
      <c r="G36" s="23"/>
      <c r="H36" s="24"/>
      <c r="I36" s="22"/>
      <c r="J36" s="22"/>
      <c r="K36" s="22"/>
      <c r="L36" s="21"/>
      <c r="M36" s="20"/>
      <c r="N36" s="20"/>
      <c r="O36" s="23"/>
      <c r="P36" s="21"/>
      <c r="Q36" s="20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1"/>
      <c r="AU36" s="25" t="str">
        <f t="shared" si="0"/>
        <v>1Q42</v>
      </c>
      <c r="AV36" t="str">
        <f t="shared" si="1"/>
        <v>1Q42</v>
      </c>
      <c r="BA36">
        <f ca="1">IF(COUNTBLANK(C36)=0,COUNTA(INDIRECT(CONCATENATE("Area!",LEFT(ADDRESS(1,MATCH(C36,Area!$1:$1,0),4),1),"2:",LEFT(ADDRESS(1,MATCH(C36,Area!$1:$1,0),4),1),"99"))),0)</f>
        <v>0</v>
      </c>
      <c r="BB36">
        <f ca="1">IF(COUNTBLANK(D36)=0,COUNTA(INDIRECT(CONCATENATE("Setup!",LEFT(ADDRESS(1,MATCH(CONCATENATE(C36,":",D36),Setup!$1:$1,0),4),1),"2:",LEFT(ADDRESS(1,MATCH(CONCATENATE(C36,":",D36),Setup!$1:$1,0),4),1),"99"))),0)</f>
        <v>0</v>
      </c>
      <c r="BC36">
        <f ca="1">IF(COUNTBLANK(E36)=0,COUNTA(INDIRECT(CONCATENATE("Comp!",SUBSTITUTE(ADDRESS(1,MATCH(CONCATENATE(C36,":",D36,":",E36),Comp!$1:$1,0),4),"1",""),"2:",SUBSTITUTE(ADDRESS(1,MATCH(CONCATENATE(C36,":",D36,":",E36),Comp!$1:$1,0),4),"1",""),"99"))),0)</f>
        <v>0</v>
      </c>
    </row>
    <row r="37" spans="1:55">
      <c r="A37" s="20" t="s">
        <v>73</v>
      </c>
      <c r="B37" s="21"/>
      <c r="C37" s="20"/>
      <c r="D37" s="22"/>
      <c r="E37" s="22"/>
      <c r="F37" s="21"/>
      <c r="G37" s="23"/>
      <c r="H37" s="24"/>
      <c r="I37" s="22"/>
      <c r="J37" s="22"/>
      <c r="K37" s="22"/>
      <c r="L37" s="21"/>
      <c r="M37" s="20"/>
      <c r="N37" s="20"/>
      <c r="O37" s="23"/>
      <c r="P37" s="21"/>
      <c r="Q37" s="20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1"/>
      <c r="AU37" s="25" t="str">
        <f t="shared" si="0"/>
        <v>1Q42</v>
      </c>
      <c r="AV37" t="str">
        <f t="shared" si="1"/>
        <v>1Q42</v>
      </c>
      <c r="BA37">
        <f ca="1">IF(COUNTBLANK(C37)=0,COUNTA(INDIRECT(CONCATENATE("Area!",LEFT(ADDRESS(1,MATCH(C37,Area!$1:$1,0),4),1),"2:",LEFT(ADDRESS(1,MATCH(C37,Area!$1:$1,0),4),1),"99"))),0)</f>
        <v>0</v>
      </c>
      <c r="BB37">
        <f ca="1">IF(COUNTBLANK(D37)=0,COUNTA(INDIRECT(CONCATENATE("Setup!",LEFT(ADDRESS(1,MATCH(CONCATENATE(C37,":",D37),Setup!$1:$1,0),4),1),"2:",LEFT(ADDRESS(1,MATCH(CONCATENATE(C37,":",D37),Setup!$1:$1,0),4),1),"99"))),0)</f>
        <v>0</v>
      </c>
      <c r="BC37">
        <f ca="1">IF(COUNTBLANK(E37)=0,COUNTA(INDIRECT(CONCATENATE("Comp!",SUBSTITUTE(ADDRESS(1,MATCH(CONCATENATE(C37,":",D37,":",E37),Comp!$1:$1,0),4),"1",""),"2:",SUBSTITUTE(ADDRESS(1,MATCH(CONCATENATE(C37,":",D37,":",E37),Comp!$1:$1,0),4),"1",""),"99"))),0)</f>
        <v>0</v>
      </c>
    </row>
    <row r="38" spans="1:55">
      <c r="A38" s="20" t="s">
        <v>73</v>
      </c>
      <c r="B38" s="21"/>
      <c r="C38" s="20"/>
      <c r="D38" s="22"/>
      <c r="E38" s="22"/>
      <c r="F38" s="21"/>
      <c r="G38" s="23"/>
      <c r="H38" s="24"/>
      <c r="I38" s="22"/>
      <c r="J38" s="22"/>
      <c r="K38" s="22"/>
      <c r="L38" s="21"/>
      <c r="M38" s="20"/>
      <c r="N38" s="20"/>
      <c r="O38" s="23"/>
      <c r="P38" s="21"/>
      <c r="Q38" s="20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1"/>
      <c r="AU38" s="25" t="str">
        <f t="shared" si="0"/>
        <v>1Q42</v>
      </c>
      <c r="AV38" t="str">
        <f t="shared" si="1"/>
        <v>1Q42</v>
      </c>
      <c r="BA38">
        <f ca="1">IF(COUNTBLANK(C38)=0,COUNTA(INDIRECT(CONCATENATE("Area!",LEFT(ADDRESS(1,MATCH(C38,Area!$1:$1,0),4),1),"2:",LEFT(ADDRESS(1,MATCH(C38,Area!$1:$1,0),4),1),"99"))),0)</f>
        <v>0</v>
      </c>
      <c r="BB38">
        <f ca="1">IF(COUNTBLANK(D38)=0,COUNTA(INDIRECT(CONCATENATE("Setup!",LEFT(ADDRESS(1,MATCH(CONCATENATE(C38,":",D38),Setup!$1:$1,0),4),1),"2:",LEFT(ADDRESS(1,MATCH(CONCATENATE(C38,":",D38),Setup!$1:$1,0),4),1),"99"))),0)</f>
        <v>0</v>
      </c>
      <c r="BC38">
        <f ca="1">IF(COUNTBLANK(E38)=0,COUNTA(INDIRECT(CONCATENATE("Comp!",SUBSTITUTE(ADDRESS(1,MATCH(CONCATENATE(C38,":",D38,":",E38),Comp!$1:$1,0),4),"1",""),"2:",SUBSTITUTE(ADDRESS(1,MATCH(CONCATENATE(C38,":",D38,":",E38),Comp!$1:$1,0),4),"1",""),"99"))),0)</f>
        <v>0</v>
      </c>
    </row>
    <row r="39" spans="1:55">
      <c r="A39" s="20" t="s">
        <v>73</v>
      </c>
      <c r="B39" s="21"/>
      <c r="C39" s="20"/>
      <c r="D39" s="22"/>
      <c r="E39" s="22"/>
      <c r="F39" s="21"/>
      <c r="G39" s="23"/>
      <c r="H39" s="24"/>
      <c r="I39" s="22"/>
      <c r="J39" s="22"/>
      <c r="K39" s="22"/>
      <c r="L39" s="21"/>
      <c r="M39" s="20"/>
      <c r="N39" s="20"/>
      <c r="O39" s="23"/>
      <c r="P39" s="21"/>
      <c r="Q39" s="20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1"/>
      <c r="AU39" s="25" t="str">
        <f t="shared" si="0"/>
        <v>1Q42</v>
      </c>
      <c r="AV39" t="str">
        <f t="shared" si="1"/>
        <v>1Q42</v>
      </c>
      <c r="BA39">
        <f ca="1">IF(COUNTBLANK(C39)=0,COUNTA(INDIRECT(CONCATENATE("Area!",LEFT(ADDRESS(1,MATCH(C39,Area!$1:$1,0),4),1),"2:",LEFT(ADDRESS(1,MATCH(C39,Area!$1:$1,0),4),1),"99"))),0)</f>
        <v>0</v>
      </c>
      <c r="BB39">
        <f ca="1">IF(COUNTBLANK(D39)=0,COUNTA(INDIRECT(CONCATENATE("Setup!",LEFT(ADDRESS(1,MATCH(CONCATENATE(C39,":",D39),Setup!$1:$1,0),4),1),"2:",LEFT(ADDRESS(1,MATCH(CONCATENATE(C39,":",D39),Setup!$1:$1,0),4),1),"99"))),0)</f>
        <v>0</v>
      </c>
      <c r="BC39">
        <f ca="1">IF(COUNTBLANK(E39)=0,COUNTA(INDIRECT(CONCATENATE("Comp!",SUBSTITUTE(ADDRESS(1,MATCH(CONCATENATE(C39,":",D39,":",E39),Comp!$1:$1,0),4),"1",""),"2:",SUBSTITUTE(ADDRESS(1,MATCH(CONCATENATE(C39,":",D39,":",E39),Comp!$1:$1,0),4),"1",""),"99"))),0)</f>
        <v>0</v>
      </c>
    </row>
    <row r="40" spans="1:55">
      <c r="A40" s="20" t="s">
        <v>73</v>
      </c>
      <c r="B40" s="21"/>
      <c r="C40" s="20"/>
      <c r="D40" s="22"/>
      <c r="E40" s="22"/>
      <c r="F40" s="21"/>
      <c r="G40" s="23"/>
      <c r="H40" s="24"/>
      <c r="I40" s="22"/>
      <c r="J40" s="22"/>
      <c r="K40" s="22"/>
      <c r="L40" s="21"/>
      <c r="M40" s="20"/>
      <c r="N40" s="20"/>
      <c r="O40" s="23"/>
      <c r="P40" s="21"/>
      <c r="Q40" s="20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1"/>
      <c r="AU40" s="25" t="str">
        <f t="shared" si="0"/>
        <v>1Q42</v>
      </c>
      <c r="AV40" t="str">
        <f t="shared" si="1"/>
        <v>1Q42</v>
      </c>
      <c r="BA40">
        <f ca="1">IF(COUNTBLANK(C40)=0,COUNTA(INDIRECT(CONCATENATE("Area!",LEFT(ADDRESS(1,MATCH(C40,Area!$1:$1,0),4),1),"2:",LEFT(ADDRESS(1,MATCH(C40,Area!$1:$1,0),4),1),"99"))),0)</f>
        <v>0</v>
      </c>
      <c r="BB40">
        <f ca="1">IF(COUNTBLANK(D40)=0,COUNTA(INDIRECT(CONCATENATE("Setup!",LEFT(ADDRESS(1,MATCH(CONCATENATE(C40,":",D40),Setup!$1:$1,0),4),1),"2:",LEFT(ADDRESS(1,MATCH(CONCATENATE(C40,":",D40),Setup!$1:$1,0),4),1),"99"))),0)</f>
        <v>0</v>
      </c>
      <c r="BC40">
        <f ca="1">IF(COUNTBLANK(E40)=0,COUNTA(INDIRECT(CONCATENATE("Comp!",SUBSTITUTE(ADDRESS(1,MATCH(CONCATENATE(C40,":",D40,":",E40),Comp!$1:$1,0),4),"1",""),"2:",SUBSTITUTE(ADDRESS(1,MATCH(CONCATENATE(C40,":",D40,":",E40),Comp!$1:$1,0),4),"1",""),"99"))),0)</f>
        <v>0</v>
      </c>
    </row>
    <row r="41" spans="1:55">
      <c r="A41" s="20" t="s">
        <v>73</v>
      </c>
      <c r="B41" s="21"/>
      <c r="C41" s="20"/>
      <c r="D41" s="22"/>
      <c r="E41" s="22"/>
      <c r="F41" s="21"/>
      <c r="G41" s="23"/>
      <c r="H41" s="24"/>
      <c r="I41" s="22"/>
      <c r="J41" s="22"/>
      <c r="K41" s="22"/>
      <c r="L41" s="21"/>
      <c r="M41" s="20"/>
      <c r="N41" s="20"/>
      <c r="O41" s="23"/>
      <c r="P41" s="21"/>
      <c r="Q41" s="20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1"/>
      <c r="AU41" s="25" t="str">
        <f t="shared" si="0"/>
        <v>1Q42</v>
      </c>
      <c r="AV41" t="str">
        <f t="shared" si="1"/>
        <v>1Q42</v>
      </c>
      <c r="BA41">
        <f ca="1">IF(COUNTBLANK(C41)=0,COUNTA(INDIRECT(CONCATENATE("Area!",LEFT(ADDRESS(1,MATCH(C41,Area!$1:$1,0),4),1),"2:",LEFT(ADDRESS(1,MATCH(C41,Area!$1:$1,0),4),1),"99"))),0)</f>
        <v>0</v>
      </c>
      <c r="BB41">
        <f ca="1">IF(COUNTBLANK(D41)=0,COUNTA(INDIRECT(CONCATENATE("Setup!",LEFT(ADDRESS(1,MATCH(CONCATENATE(C41,":",D41),Setup!$1:$1,0),4),1),"2:",LEFT(ADDRESS(1,MATCH(CONCATENATE(C41,":",D41),Setup!$1:$1,0),4),1),"99"))),0)</f>
        <v>0</v>
      </c>
      <c r="BC41">
        <f ca="1">IF(COUNTBLANK(E41)=0,COUNTA(INDIRECT(CONCATENATE("Comp!",SUBSTITUTE(ADDRESS(1,MATCH(CONCATENATE(C41,":",D41,":",E41),Comp!$1:$1,0),4),"1",""),"2:",SUBSTITUTE(ADDRESS(1,MATCH(CONCATENATE(C41,":",D41,":",E41),Comp!$1:$1,0),4),"1",""),"99"))),0)</f>
        <v>0</v>
      </c>
    </row>
    <row r="42" spans="1:55">
      <c r="A42" s="20" t="s">
        <v>73</v>
      </c>
      <c r="B42" s="21"/>
      <c r="C42" s="20"/>
      <c r="D42" s="22"/>
      <c r="E42" s="22"/>
      <c r="F42" s="21"/>
      <c r="G42" s="23"/>
      <c r="H42" s="24"/>
      <c r="I42" s="22"/>
      <c r="J42" s="22"/>
      <c r="K42" s="22"/>
      <c r="L42" s="21"/>
      <c r="M42" s="20"/>
      <c r="N42" s="20"/>
      <c r="O42" s="23"/>
      <c r="P42" s="21"/>
      <c r="Q42" s="20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1"/>
      <c r="AU42" s="25" t="str">
        <f t="shared" si="0"/>
        <v>1Q42</v>
      </c>
      <c r="AV42" t="str">
        <f t="shared" si="1"/>
        <v>1Q42</v>
      </c>
      <c r="BA42">
        <f ca="1">IF(COUNTBLANK(C42)=0,COUNTA(INDIRECT(CONCATENATE("Area!",LEFT(ADDRESS(1,MATCH(C42,Area!$1:$1,0),4),1),"2:",LEFT(ADDRESS(1,MATCH(C42,Area!$1:$1,0),4),1),"99"))),0)</f>
        <v>0</v>
      </c>
      <c r="BB42">
        <f ca="1">IF(COUNTBLANK(D42)=0,COUNTA(INDIRECT(CONCATENATE("Setup!",LEFT(ADDRESS(1,MATCH(CONCATENATE(C42,":",D42),Setup!$1:$1,0),4),1),"2:",LEFT(ADDRESS(1,MATCH(CONCATENATE(C42,":",D42),Setup!$1:$1,0),4),1),"99"))),0)</f>
        <v>0</v>
      </c>
      <c r="BC42">
        <f ca="1">IF(COUNTBLANK(E42)=0,COUNTA(INDIRECT(CONCATENATE("Comp!",SUBSTITUTE(ADDRESS(1,MATCH(CONCATENATE(C42,":",D42,":",E42),Comp!$1:$1,0),4),"1",""),"2:",SUBSTITUTE(ADDRESS(1,MATCH(CONCATENATE(C42,":",D42,":",E42),Comp!$1:$1,0),4),"1",""),"99"))),0)</f>
        <v>0</v>
      </c>
    </row>
    <row r="43" spans="1:55">
      <c r="A43" s="20" t="s">
        <v>73</v>
      </c>
      <c r="B43" s="21"/>
      <c r="C43" s="20"/>
      <c r="D43" s="22"/>
      <c r="E43" s="22"/>
      <c r="F43" s="21"/>
      <c r="G43" s="23"/>
      <c r="H43" s="24"/>
      <c r="I43" s="22"/>
      <c r="J43" s="22"/>
      <c r="K43" s="22"/>
      <c r="L43" s="21"/>
      <c r="M43" s="20"/>
      <c r="N43" s="20"/>
      <c r="O43" s="23"/>
      <c r="P43" s="21"/>
      <c r="Q43" s="20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1"/>
      <c r="AU43" s="25" t="str">
        <f t="shared" si="0"/>
        <v>1Q42</v>
      </c>
      <c r="AV43" t="str">
        <f t="shared" si="1"/>
        <v>1Q42</v>
      </c>
      <c r="BA43">
        <f ca="1">IF(COUNTBLANK(C43)=0,COUNTA(INDIRECT(CONCATENATE("Area!",LEFT(ADDRESS(1,MATCH(C43,Area!$1:$1,0),4),1),"2:",LEFT(ADDRESS(1,MATCH(C43,Area!$1:$1,0),4),1),"99"))),0)</f>
        <v>0</v>
      </c>
      <c r="BB43">
        <f ca="1">IF(COUNTBLANK(D43)=0,COUNTA(INDIRECT(CONCATENATE("Setup!",LEFT(ADDRESS(1,MATCH(CONCATENATE(C43,":",D43),Setup!$1:$1,0),4),1),"2:",LEFT(ADDRESS(1,MATCH(CONCATENATE(C43,":",D43),Setup!$1:$1,0),4),1),"99"))),0)</f>
        <v>0</v>
      </c>
      <c r="BC43">
        <f ca="1">IF(COUNTBLANK(E43)=0,COUNTA(INDIRECT(CONCATENATE("Comp!",SUBSTITUTE(ADDRESS(1,MATCH(CONCATENATE(C43,":",D43,":",E43),Comp!$1:$1,0),4),"1",""),"2:",SUBSTITUTE(ADDRESS(1,MATCH(CONCATENATE(C43,":",D43,":",E43),Comp!$1:$1,0),4),"1",""),"99"))),0)</f>
        <v>0</v>
      </c>
    </row>
    <row r="44" spans="1:55">
      <c r="A44" s="20" t="s">
        <v>73</v>
      </c>
      <c r="B44" s="21"/>
      <c r="C44" s="20"/>
      <c r="D44" s="22"/>
      <c r="E44" s="22"/>
      <c r="F44" s="21"/>
      <c r="G44" s="23"/>
      <c r="H44" s="24"/>
      <c r="I44" s="22"/>
      <c r="J44" s="22"/>
      <c r="K44" s="22"/>
      <c r="L44" s="21"/>
      <c r="M44" s="20"/>
      <c r="N44" s="20"/>
      <c r="O44" s="23"/>
      <c r="P44" s="21"/>
      <c r="Q44" s="20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1"/>
      <c r="AU44" s="25" t="str">
        <f t="shared" si="0"/>
        <v>1Q42</v>
      </c>
      <c r="AV44" t="str">
        <f t="shared" si="1"/>
        <v>1Q42</v>
      </c>
      <c r="BA44">
        <f ca="1">IF(COUNTBLANK(C44)=0,COUNTA(INDIRECT(CONCATENATE("Area!",LEFT(ADDRESS(1,MATCH(C44,Area!$1:$1,0),4),1),"2:",LEFT(ADDRESS(1,MATCH(C44,Area!$1:$1,0),4),1),"99"))),0)</f>
        <v>0</v>
      </c>
      <c r="BB44">
        <f ca="1">IF(COUNTBLANK(D44)=0,COUNTA(INDIRECT(CONCATENATE("Setup!",LEFT(ADDRESS(1,MATCH(CONCATENATE(C44,":",D44),Setup!$1:$1,0),4),1),"2:",LEFT(ADDRESS(1,MATCH(CONCATENATE(C44,":",D44),Setup!$1:$1,0),4),1),"99"))),0)</f>
        <v>0</v>
      </c>
      <c r="BC44">
        <f ca="1">IF(COUNTBLANK(E44)=0,COUNTA(INDIRECT(CONCATENATE("Comp!",SUBSTITUTE(ADDRESS(1,MATCH(CONCATENATE(C44,":",D44,":",E44),Comp!$1:$1,0),4),"1",""),"2:",SUBSTITUTE(ADDRESS(1,MATCH(CONCATENATE(C44,":",D44,":",E44),Comp!$1:$1,0),4),"1",""),"99"))),0)</f>
        <v>0</v>
      </c>
    </row>
    <row r="45" spans="1:55">
      <c r="A45" s="20" t="s">
        <v>73</v>
      </c>
      <c r="B45" s="21"/>
      <c r="C45" s="20"/>
      <c r="D45" s="22"/>
      <c r="E45" s="22"/>
      <c r="F45" s="21"/>
      <c r="G45" s="23"/>
      <c r="H45" s="24"/>
      <c r="I45" s="22"/>
      <c r="J45" s="22"/>
      <c r="K45" s="22"/>
      <c r="L45" s="21"/>
      <c r="M45" s="20"/>
      <c r="N45" s="20"/>
      <c r="O45" s="23"/>
      <c r="P45" s="21"/>
      <c r="Q45" s="20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1"/>
      <c r="AU45" s="25" t="str">
        <f t="shared" si="0"/>
        <v>1Q42</v>
      </c>
      <c r="AV45" t="str">
        <f t="shared" si="1"/>
        <v>1Q42</v>
      </c>
      <c r="BA45">
        <f ca="1">IF(COUNTBLANK(C45)=0,COUNTA(INDIRECT(CONCATENATE("Area!",LEFT(ADDRESS(1,MATCH(C45,Area!$1:$1,0),4),1),"2:",LEFT(ADDRESS(1,MATCH(C45,Area!$1:$1,0),4),1),"99"))),0)</f>
        <v>0</v>
      </c>
      <c r="BB45">
        <f ca="1">IF(COUNTBLANK(D45)=0,COUNTA(INDIRECT(CONCATENATE("Setup!",LEFT(ADDRESS(1,MATCH(CONCATENATE(C45,":",D45),Setup!$1:$1,0),4),1),"2:",LEFT(ADDRESS(1,MATCH(CONCATENATE(C45,":",D45),Setup!$1:$1,0),4),1),"99"))),0)</f>
        <v>0</v>
      </c>
      <c r="BC45">
        <f ca="1">IF(COUNTBLANK(E45)=0,COUNTA(INDIRECT(CONCATENATE("Comp!",SUBSTITUTE(ADDRESS(1,MATCH(CONCATENATE(C45,":",D45,":",E45),Comp!$1:$1,0),4),"1",""),"2:",SUBSTITUTE(ADDRESS(1,MATCH(CONCATENATE(C45,":",D45,":",E45),Comp!$1:$1,0),4),"1",""),"99"))),0)</f>
        <v>0</v>
      </c>
    </row>
    <row r="46" spans="1:55">
      <c r="A46" s="20" t="s">
        <v>73</v>
      </c>
      <c r="B46" s="21"/>
      <c r="C46" s="20"/>
      <c r="D46" s="22"/>
      <c r="E46" s="22"/>
      <c r="F46" s="21"/>
      <c r="G46" s="23"/>
      <c r="H46" s="24"/>
      <c r="I46" s="22"/>
      <c r="J46" s="22"/>
      <c r="K46" s="22"/>
      <c r="L46" s="21"/>
      <c r="M46" s="20"/>
      <c r="N46" s="20"/>
      <c r="O46" s="23"/>
      <c r="P46" s="21"/>
      <c r="Q46" s="20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1"/>
      <c r="AU46" s="25" t="str">
        <f t="shared" si="0"/>
        <v>1Q42</v>
      </c>
      <c r="AV46" t="str">
        <f t="shared" si="1"/>
        <v>1Q42</v>
      </c>
      <c r="BA46">
        <f ca="1">IF(COUNTBLANK(C46)=0,COUNTA(INDIRECT(CONCATENATE("Area!",LEFT(ADDRESS(1,MATCH(C46,Area!$1:$1,0),4),1),"2:",LEFT(ADDRESS(1,MATCH(C46,Area!$1:$1,0),4),1),"99"))),0)</f>
        <v>0</v>
      </c>
      <c r="BB46">
        <f ca="1">IF(COUNTBLANK(D46)=0,COUNTA(INDIRECT(CONCATENATE("Setup!",LEFT(ADDRESS(1,MATCH(CONCATENATE(C46,":",D46),Setup!$1:$1,0),4),1),"2:",LEFT(ADDRESS(1,MATCH(CONCATENATE(C46,":",D46),Setup!$1:$1,0),4),1),"99"))),0)</f>
        <v>0</v>
      </c>
      <c r="BC46">
        <f ca="1">IF(COUNTBLANK(E46)=0,COUNTA(INDIRECT(CONCATENATE("Comp!",SUBSTITUTE(ADDRESS(1,MATCH(CONCATENATE(C46,":",D46,":",E46),Comp!$1:$1,0),4),"1",""),"2:",SUBSTITUTE(ADDRESS(1,MATCH(CONCATENATE(C46,":",D46,":",E46),Comp!$1:$1,0),4),"1",""),"99"))),0)</f>
        <v>0</v>
      </c>
    </row>
    <row r="47" spans="1:55">
      <c r="A47" s="20" t="s">
        <v>73</v>
      </c>
      <c r="B47" s="21"/>
      <c r="C47" s="20"/>
      <c r="D47" s="22"/>
      <c r="E47" s="22"/>
      <c r="F47" s="21"/>
      <c r="G47" s="23"/>
      <c r="H47" s="24"/>
      <c r="I47" s="22"/>
      <c r="J47" s="22"/>
      <c r="K47" s="22"/>
      <c r="L47" s="21"/>
      <c r="M47" s="20"/>
      <c r="N47" s="20"/>
      <c r="O47" s="23"/>
      <c r="P47" s="21"/>
      <c r="Q47" s="20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1"/>
      <c r="AU47" s="25" t="str">
        <f t="shared" si="0"/>
        <v>1Q42</v>
      </c>
      <c r="AV47" t="str">
        <f t="shared" si="1"/>
        <v>1Q42</v>
      </c>
      <c r="BA47">
        <f ca="1">IF(COUNTBLANK(C47)=0,COUNTA(INDIRECT(CONCATENATE("Area!",LEFT(ADDRESS(1,MATCH(C47,Area!$1:$1,0),4),1),"2:",LEFT(ADDRESS(1,MATCH(C47,Area!$1:$1,0),4),1),"99"))),0)</f>
        <v>0</v>
      </c>
      <c r="BB47">
        <f ca="1">IF(COUNTBLANK(D47)=0,COUNTA(INDIRECT(CONCATENATE("Setup!",LEFT(ADDRESS(1,MATCH(CONCATENATE(C47,":",D47),Setup!$1:$1,0),4),1),"2:",LEFT(ADDRESS(1,MATCH(CONCATENATE(C47,":",D47),Setup!$1:$1,0),4),1),"99"))),0)</f>
        <v>0</v>
      </c>
      <c r="BC47">
        <f ca="1">IF(COUNTBLANK(E47)=0,COUNTA(INDIRECT(CONCATENATE("Comp!",SUBSTITUTE(ADDRESS(1,MATCH(CONCATENATE(C47,":",D47,":",E47),Comp!$1:$1,0),4),"1",""),"2:",SUBSTITUTE(ADDRESS(1,MATCH(CONCATENATE(C47,":",D47,":",E47),Comp!$1:$1,0),4),"1",""),"99"))),0)</f>
        <v>0</v>
      </c>
    </row>
    <row r="48" spans="1:55">
      <c r="A48" s="20" t="s">
        <v>73</v>
      </c>
      <c r="B48" s="21"/>
      <c r="C48" s="20"/>
      <c r="D48" s="22"/>
      <c r="E48" s="22"/>
      <c r="F48" s="21"/>
      <c r="G48" s="23"/>
      <c r="H48" s="24"/>
      <c r="I48" s="22"/>
      <c r="J48" s="22"/>
      <c r="K48" s="22"/>
      <c r="L48" s="21"/>
      <c r="M48" s="20"/>
      <c r="N48" s="20"/>
      <c r="O48" s="23"/>
      <c r="P48" s="21"/>
      <c r="Q48" s="20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1"/>
      <c r="AU48" s="25" t="str">
        <f t="shared" si="0"/>
        <v>1Q42</v>
      </c>
      <c r="AV48" t="str">
        <f t="shared" si="1"/>
        <v>1Q42</v>
      </c>
      <c r="BA48">
        <f ca="1">IF(COUNTBLANK(C48)=0,COUNTA(INDIRECT(CONCATENATE("Area!",LEFT(ADDRESS(1,MATCH(C48,Area!$1:$1,0),4),1),"2:",LEFT(ADDRESS(1,MATCH(C48,Area!$1:$1,0),4),1),"99"))),0)</f>
        <v>0</v>
      </c>
      <c r="BB48">
        <f ca="1">IF(COUNTBLANK(D48)=0,COUNTA(INDIRECT(CONCATENATE("Setup!",LEFT(ADDRESS(1,MATCH(CONCATENATE(C48,":",D48),Setup!$1:$1,0),4),1),"2:",LEFT(ADDRESS(1,MATCH(CONCATENATE(C48,":",D48),Setup!$1:$1,0),4),1),"99"))),0)</f>
        <v>0</v>
      </c>
      <c r="BC48">
        <f ca="1">IF(COUNTBLANK(E48)=0,COUNTA(INDIRECT(CONCATENATE("Comp!",SUBSTITUTE(ADDRESS(1,MATCH(CONCATENATE(C48,":",D48,":",E48),Comp!$1:$1,0),4),"1",""),"2:",SUBSTITUTE(ADDRESS(1,MATCH(CONCATENATE(C48,":",D48,":",E48),Comp!$1:$1,0),4),"1",""),"99"))),0)</f>
        <v>0</v>
      </c>
    </row>
    <row r="49" spans="1:55">
      <c r="A49" s="20" t="s">
        <v>73</v>
      </c>
      <c r="B49" s="21"/>
      <c r="C49" s="20"/>
      <c r="D49" s="22"/>
      <c r="E49" s="22"/>
      <c r="F49" s="21"/>
      <c r="G49" s="23"/>
      <c r="H49" s="24"/>
      <c r="I49" s="22"/>
      <c r="J49" s="22"/>
      <c r="K49" s="22"/>
      <c r="L49" s="21"/>
      <c r="M49" s="20"/>
      <c r="N49" s="20"/>
      <c r="O49" s="23"/>
      <c r="P49" s="21"/>
      <c r="Q49" s="20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1"/>
      <c r="AU49" s="25" t="str">
        <f t="shared" si="0"/>
        <v>1Q42</v>
      </c>
      <c r="AV49" t="str">
        <f t="shared" si="1"/>
        <v>1Q42</v>
      </c>
      <c r="BA49">
        <f ca="1">IF(COUNTBLANK(C49)=0,COUNTA(INDIRECT(CONCATENATE("Area!",LEFT(ADDRESS(1,MATCH(C49,Area!$1:$1,0),4),1),"2:",LEFT(ADDRESS(1,MATCH(C49,Area!$1:$1,0),4),1),"99"))),0)</f>
        <v>0</v>
      </c>
      <c r="BB49">
        <f ca="1">IF(COUNTBLANK(D49)=0,COUNTA(INDIRECT(CONCATENATE("Setup!",LEFT(ADDRESS(1,MATCH(CONCATENATE(C49,":",D49),Setup!$1:$1,0),4),1),"2:",LEFT(ADDRESS(1,MATCH(CONCATENATE(C49,":",D49),Setup!$1:$1,0),4),1),"99"))),0)</f>
        <v>0</v>
      </c>
      <c r="BC49">
        <f ca="1">IF(COUNTBLANK(E49)=0,COUNTA(INDIRECT(CONCATENATE("Comp!",SUBSTITUTE(ADDRESS(1,MATCH(CONCATENATE(C49,":",D49,":",E49),Comp!$1:$1,0),4),"1",""),"2:",SUBSTITUTE(ADDRESS(1,MATCH(CONCATENATE(C49,":",D49,":",E49),Comp!$1:$1,0),4),"1",""),"99"))),0)</f>
        <v>0</v>
      </c>
    </row>
    <row r="50" spans="1:55">
      <c r="A50" s="20" t="s">
        <v>73</v>
      </c>
      <c r="B50" s="21"/>
      <c r="C50" s="20"/>
      <c r="D50" s="22"/>
      <c r="E50" s="22"/>
      <c r="F50" s="21"/>
      <c r="G50" s="23"/>
      <c r="H50" s="24"/>
      <c r="I50" s="22"/>
      <c r="J50" s="22"/>
      <c r="K50" s="22"/>
      <c r="L50" s="21"/>
      <c r="M50" s="20"/>
      <c r="N50" s="20"/>
      <c r="O50" s="23"/>
      <c r="P50" s="21"/>
      <c r="Q50" s="20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1"/>
      <c r="AU50" s="25" t="str">
        <f t="shared" si="0"/>
        <v>1Q42</v>
      </c>
      <c r="AV50" t="str">
        <f t="shared" si="1"/>
        <v>1Q42</v>
      </c>
      <c r="BA50">
        <f ca="1">IF(COUNTBLANK(C50)=0,COUNTA(INDIRECT(CONCATENATE("Area!",LEFT(ADDRESS(1,MATCH(C50,Area!$1:$1,0),4),1),"2:",LEFT(ADDRESS(1,MATCH(C50,Area!$1:$1,0),4),1),"99"))),0)</f>
        <v>0</v>
      </c>
      <c r="BB50">
        <f ca="1">IF(COUNTBLANK(D50)=0,COUNTA(INDIRECT(CONCATENATE("Setup!",LEFT(ADDRESS(1,MATCH(CONCATENATE(C50,":",D50),Setup!$1:$1,0),4),1),"2:",LEFT(ADDRESS(1,MATCH(CONCATENATE(C50,":",D50),Setup!$1:$1,0),4),1),"99"))),0)</f>
        <v>0</v>
      </c>
      <c r="BC50">
        <f ca="1">IF(COUNTBLANK(E50)=0,COUNTA(INDIRECT(CONCATENATE("Comp!",SUBSTITUTE(ADDRESS(1,MATCH(CONCATENATE(C50,":",D50,":",E50),Comp!$1:$1,0),4),"1",""),"2:",SUBSTITUTE(ADDRESS(1,MATCH(CONCATENATE(C50,":",D50,":",E50),Comp!$1:$1,0),4),"1",""),"99"))),0)</f>
        <v>0</v>
      </c>
    </row>
    <row r="51" spans="1:55">
      <c r="A51" s="20" t="s">
        <v>73</v>
      </c>
      <c r="B51" s="21"/>
      <c r="C51" s="20"/>
      <c r="D51" s="22"/>
      <c r="E51" s="22"/>
      <c r="F51" s="21"/>
      <c r="G51" s="23"/>
      <c r="H51" s="24"/>
      <c r="I51" s="22"/>
      <c r="J51" s="22"/>
      <c r="K51" s="22"/>
      <c r="L51" s="21"/>
      <c r="M51" s="20"/>
      <c r="N51" s="20"/>
      <c r="O51" s="23"/>
      <c r="P51" s="21"/>
      <c r="Q51" s="20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1"/>
      <c r="AU51" s="25" t="str">
        <f t="shared" si="0"/>
        <v>1Q42</v>
      </c>
      <c r="AV51" t="str">
        <f t="shared" si="1"/>
        <v>1Q42</v>
      </c>
      <c r="BA51">
        <f ca="1">IF(COUNTBLANK(C51)=0,COUNTA(INDIRECT(CONCATENATE("Area!",LEFT(ADDRESS(1,MATCH(C51,Area!$1:$1,0),4),1),"2:",LEFT(ADDRESS(1,MATCH(C51,Area!$1:$1,0),4),1),"99"))),0)</f>
        <v>0</v>
      </c>
      <c r="BB51">
        <f ca="1">IF(COUNTBLANK(D51)=0,COUNTA(INDIRECT(CONCATENATE("Setup!",LEFT(ADDRESS(1,MATCH(CONCATENATE(C51,":",D51),Setup!$1:$1,0),4),1),"2:",LEFT(ADDRESS(1,MATCH(CONCATENATE(C51,":",D51),Setup!$1:$1,0),4),1),"99"))),0)</f>
        <v>0</v>
      </c>
      <c r="BC51">
        <f ca="1">IF(COUNTBLANK(E51)=0,COUNTA(INDIRECT(CONCATENATE("Comp!",SUBSTITUTE(ADDRESS(1,MATCH(CONCATENATE(C51,":",D51,":",E51),Comp!$1:$1,0),4),"1",""),"2:",SUBSTITUTE(ADDRESS(1,MATCH(CONCATENATE(C51,":",D51,":",E51),Comp!$1:$1,0),4),"1",""),"99"))),0)</f>
        <v>0</v>
      </c>
    </row>
    <row r="52" spans="1:55">
      <c r="A52" s="20" t="s">
        <v>73</v>
      </c>
      <c r="B52" s="21"/>
      <c r="C52" s="20"/>
      <c r="D52" s="22"/>
      <c r="E52" s="22"/>
      <c r="F52" s="21"/>
      <c r="G52" s="23"/>
      <c r="H52" s="24"/>
      <c r="I52" s="22"/>
      <c r="J52" s="22"/>
      <c r="K52" s="22"/>
      <c r="L52" s="21"/>
      <c r="M52" s="20"/>
      <c r="N52" s="20"/>
      <c r="O52" s="23"/>
      <c r="P52" s="21"/>
      <c r="Q52" s="20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1"/>
      <c r="AU52" s="25" t="str">
        <f t="shared" si="0"/>
        <v>1Q42</v>
      </c>
      <c r="AV52" t="str">
        <f t="shared" si="1"/>
        <v>1Q42</v>
      </c>
      <c r="BA52">
        <f ca="1">IF(COUNTBLANK(C52)=0,COUNTA(INDIRECT(CONCATENATE("Area!",LEFT(ADDRESS(1,MATCH(C52,Area!$1:$1,0),4),1),"2:",LEFT(ADDRESS(1,MATCH(C52,Area!$1:$1,0),4),1),"99"))),0)</f>
        <v>0</v>
      </c>
      <c r="BB52">
        <f ca="1">IF(COUNTBLANK(D52)=0,COUNTA(INDIRECT(CONCATENATE("Setup!",LEFT(ADDRESS(1,MATCH(CONCATENATE(C52,":",D52),Setup!$1:$1,0),4),1),"2:",LEFT(ADDRESS(1,MATCH(CONCATENATE(C52,":",D52),Setup!$1:$1,0),4),1),"99"))),0)</f>
        <v>0</v>
      </c>
      <c r="BC52">
        <f ca="1">IF(COUNTBLANK(E52)=0,COUNTA(INDIRECT(CONCATENATE("Comp!",SUBSTITUTE(ADDRESS(1,MATCH(CONCATENATE(C52,":",D52,":",E52),Comp!$1:$1,0),4),"1",""),"2:",SUBSTITUTE(ADDRESS(1,MATCH(CONCATENATE(C52,":",D52,":",E52),Comp!$1:$1,0),4),"1",""),"99"))),0)</f>
        <v>0</v>
      </c>
    </row>
    <row r="53" spans="1:55">
      <c r="A53" s="20" t="s">
        <v>73</v>
      </c>
      <c r="B53" s="21"/>
      <c r="C53" s="20"/>
      <c r="D53" s="22"/>
      <c r="E53" s="22"/>
      <c r="F53" s="21"/>
      <c r="G53" s="23"/>
      <c r="H53" s="24"/>
      <c r="I53" s="22"/>
      <c r="J53" s="22"/>
      <c r="K53" s="22"/>
      <c r="L53" s="21"/>
      <c r="M53" s="20"/>
      <c r="N53" s="20"/>
      <c r="O53" s="23"/>
      <c r="P53" s="21"/>
      <c r="Q53" s="20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1"/>
      <c r="AU53" s="25" t="str">
        <f t="shared" si="0"/>
        <v>1Q42</v>
      </c>
      <c r="AV53" t="str">
        <f t="shared" si="1"/>
        <v>1Q42</v>
      </c>
      <c r="BA53">
        <f ca="1">IF(COUNTBLANK(C53)=0,COUNTA(INDIRECT(CONCATENATE("Area!",LEFT(ADDRESS(1,MATCH(C53,Area!$1:$1,0),4),1),"2:",LEFT(ADDRESS(1,MATCH(C53,Area!$1:$1,0),4),1),"99"))),0)</f>
        <v>0</v>
      </c>
      <c r="BB53">
        <f ca="1">IF(COUNTBLANK(D53)=0,COUNTA(INDIRECT(CONCATENATE("Setup!",LEFT(ADDRESS(1,MATCH(CONCATENATE(C53,":",D53),Setup!$1:$1,0),4),1),"2:",LEFT(ADDRESS(1,MATCH(CONCATENATE(C53,":",D53),Setup!$1:$1,0),4),1),"99"))),0)</f>
        <v>0</v>
      </c>
      <c r="BC53">
        <f ca="1">IF(COUNTBLANK(E53)=0,COUNTA(INDIRECT(CONCATENATE("Comp!",SUBSTITUTE(ADDRESS(1,MATCH(CONCATENATE(C53,":",D53,":",E53),Comp!$1:$1,0),4),"1",""),"2:",SUBSTITUTE(ADDRESS(1,MATCH(CONCATENATE(C53,":",D53,":",E53),Comp!$1:$1,0),4),"1",""),"99"))),0)</f>
        <v>0</v>
      </c>
    </row>
    <row r="54" spans="1:55">
      <c r="A54" s="20" t="s">
        <v>73</v>
      </c>
      <c r="B54" s="21"/>
      <c r="C54" s="20"/>
      <c r="D54" s="22"/>
      <c r="E54" s="22"/>
      <c r="F54" s="21"/>
      <c r="G54" s="23"/>
      <c r="H54" s="24"/>
      <c r="I54" s="22"/>
      <c r="J54" s="22"/>
      <c r="K54" s="22"/>
      <c r="L54" s="21"/>
      <c r="M54" s="20"/>
      <c r="N54" s="20"/>
      <c r="O54" s="23"/>
      <c r="P54" s="21"/>
      <c r="Q54" s="20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1"/>
      <c r="AU54" s="25" t="str">
        <f t="shared" si="0"/>
        <v>1Q42</v>
      </c>
      <c r="AV54" t="str">
        <f t="shared" si="1"/>
        <v>1Q42</v>
      </c>
      <c r="BA54">
        <f ca="1">IF(COUNTBLANK(C54)=0,COUNTA(INDIRECT(CONCATENATE("Area!",LEFT(ADDRESS(1,MATCH(C54,Area!$1:$1,0),4),1),"2:",LEFT(ADDRESS(1,MATCH(C54,Area!$1:$1,0),4),1),"99"))),0)</f>
        <v>0</v>
      </c>
      <c r="BB54">
        <f ca="1">IF(COUNTBLANK(D54)=0,COUNTA(INDIRECT(CONCATENATE("Setup!",LEFT(ADDRESS(1,MATCH(CONCATENATE(C54,":",D54),Setup!$1:$1,0),4),1),"2:",LEFT(ADDRESS(1,MATCH(CONCATENATE(C54,":",D54),Setup!$1:$1,0),4),1),"99"))),0)</f>
        <v>0</v>
      </c>
      <c r="BC54">
        <f ca="1">IF(COUNTBLANK(E54)=0,COUNTA(INDIRECT(CONCATENATE("Comp!",SUBSTITUTE(ADDRESS(1,MATCH(CONCATENATE(C54,":",D54,":",E54),Comp!$1:$1,0),4),"1",""),"2:",SUBSTITUTE(ADDRESS(1,MATCH(CONCATENATE(C54,":",D54,":",E54),Comp!$1:$1,0),4),"1",""),"99"))),0)</f>
        <v>0</v>
      </c>
    </row>
    <row r="55" spans="1:55">
      <c r="A55" s="20" t="s">
        <v>73</v>
      </c>
      <c r="B55" s="21"/>
      <c r="C55" s="20"/>
      <c r="D55" s="22"/>
      <c r="E55" s="22"/>
      <c r="F55" s="21"/>
      <c r="G55" s="23"/>
      <c r="H55" s="24"/>
      <c r="I55" s="22"/>
      <c r="J55" s="22"/>
      <c r="K55" s="22"/>
      <c r="L55" s="21"/>
      <c r="M55" s="20"/>
      <c r="N55" s="20"/>
      <c r="O55" s="23"/>
      <c r="P55" s="21"/>
      <c r="Q55" s="20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1"/>
      <c r="AU55" s="25" t="str">
        <f t="shared" si="0"/>
        <v>1Q42</v>
      </c>
      <c r="AV55" t="str">
        <f t="shared" si="1"/>
        <v>1Q42</v>
      </c>
      <c r="BA55">
        <f ca="1">IF(COUNTBLANK(C55)=0,COUNTA(INDIRECT(CONCATENATE("Area!",LEFT(ADDRESS(1,MATCH(C55,Area!$1:$1,0),4),1),"2:",LEFT(ADDRESS(1,MATCH(C55,Area!$1:$1,0),4),1),"99"))),0)</f>
        <v>0</v>
      </c>
      <c r="BB55">
        <f ca="1">IF(COUNTBLANK(D55)=0,COUNTA(INDIRECT(CONCATENATE("Setup!",LEFT(ADDRESS(1,MATCH(CONCATENATE(C55,":",D55),Setup!$1:$1,0),4),1),"2:",LEFT(ADDRESS(1,MATCH(CONCATENATE(C55,":",D55),Setup!$1:$1,0),4),1),"99"))),0)</f>
        <v>0</v>
      </c>
      <c r="BC55">
        <f ca="1">IF(COUNTBLANK(E55)=0,COUNTA(INDIRECT(CONCATENATE("Comp!",SUBSTITUTE(ADDRESS(1,MATCH(CONCATENATE(C55,":",D55,":",E55),Comp!$1:$1,0),4),"1",""),"2:",SUBSTITUTE(ADDRESS(1,MATCH(CONCATENATE(C55,":",D55,":",E55),Comp!$1:$1,0),4),"1",""),"99"))),0)</f>
        <v>0</v>
      </c>
    </row>
    <row r="56" spans="1:55">
      <c r="A56" s="20" t="s">
        <v>73</v>
      </c>
      <c r="B56" s="21"/>
      <c r="C56" s="20"/>
      <c r="D56" s="22"/>
      <c r="E56" s="22"/>
      <c r="F56" s="21"/>
      <c r="G56" s="23"/>
      <c r="H56" s="24"/>
      <c r="I56" s="22"/>
      <c r="J56" s="22"/>
      <c r="K56" s="22"/>
      <c r="L56" s="21"/>
      <c r="M56" s="20"/>
      <c r="N56" s="20"/>
      <c r="O56" s="23"/>
      <c r="P56" s="21"/>
      <c r="Q56" s="20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1"/>
      <c r="AU56" s="25" t="str">
        <f t="shared" si="0"/>
        <v>1Q42</v>
      </c>
      <c r="AV56" t="str">
        <f t="shared" si="1"/>
        <v>1Q42</v>
      </c>
      <c r="BA56">
        <f ca="1">IF(COUNTBLANK(C56)=0,COUNTA(INDIRECT(CONCATENATE("Area!",LEFT(ADDRESS(1,MATCH(C56,Area!$1:$1,0),4),1),"2:",LEFT(ADDRESS(1,MATCH(C56,Area!$1:$1,0),4),1),"99"))),0)</f>
        <v>0</v>
      </c>
      <c r="BB56">
        <f ca="1">IF(COUNTBLANK(D56)=0,COUNTA(INDIRECT(CONCATENATE("Setup!",LEFT(ADDRESS(1,MATCH(CONCATENATE(C56,":",D56),Setup!$1:$1,0),4),1),"2:",LEFT(ADDRESS(1,MATCH(CONCATENATE(C56,":",D56),Setup!$1:$1,0),4),1),"99"))),0)</f>
        <v>0</v>
      </c>
      <c r="BC56">
        <f ca="1">IF(COUNTBLANK(E56)=0,COUNTA(INDIRECT(CONCATENATE("Comp!",SUBSTITUTE(ADDRESS(1,MATCH(CONCATENATE(C56,":",D56,":",E56),Comp!$1:$1,0),4),"1",""),"2:",SUBSTITUTE(ADDRESS(1,MATCH(CONCATENATE(C56,":",D56,":",E56),Comp!$1:$1,0),4),"1",""),"99"))),0)</f>
        <v>0</v>
      </c>
    </row>
    <row r="57" spans="1:55">
      <c r="A57" s="20" t="s">
        <v>73</v>
      </c>
      <c r="B57" s="21"/>
      <c r="C57" s="20"/>
      <c r="D57" s="22"/>
      <c r="E57" s="22"/>
      <c r="F57" s="21"/>
      <c r="G57" s="23"/>
      <c r="H57" s="24"/>
      <c r="I57" s="22"/>
      <c r="J57" s="22"/>
      <c r="K57" s="22"/>
      <c r="L57" s="21"/>
      <c r="M57" s="20"/>
      <c r="N57" s="20"/>
      <c r="O57" s="23"/>
      <c r="P57" s="21"/>
      <c r="Q57" s="20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1"/>
      <c r="AU57" s="25" t="str">
        <f t="shared" si="0"/>
        <v>1Q42</v>
      </c>
      <c r="AV57" t="str">
        <f t="shared" si="1"/>
        <v>1Q42</v>
      </c>
      <c r="BA57">
        <f ca="1">IF(COUNTBLANK(C57)=0,COUNTA(INDIRECT(CONCATENATE("Area!",LEFT(ADDRESS(1,MATCH(C57,Area!$1:$1,0),4),1),"2:",LEFT(ADDRESS(1,MATCH(C57,Area!$1:$1,0),4),1),"99"))),0)</f>
        <v>0</v>
      </c>
      <c r="BB57">
        <f ca="1">IF(COUNTBLANK(D57)=0,COUNTA(INDIRECT(CONCATENATE("Setup!",LEFT(ADDRESS(1,MATCH(CONCATENATE(C57,":",D57),Setup!$1:$1,0),4),1),"2:",LEFT(ADDRESS(1,MATCH(CONCATENATE(C57,":",D57),Setup!$1:$1,0),4),1),"99"))),0)</f>
        <v>0</v>
      </c>
      <c r="BC57">
        <f ca="1">IF(COUNTBLANK(E57)=0,COUNTA(INDIRECT(CONCATENATE("Comp!",SUBSTITUTE(ADDRESS(1,MATCH(CONCATENATE(C57,":",D57,":",E57),Comp!$1:$1,0),4),"1",""),"2:",SUBSTITUTE(ADDRESS(1,MATCH(CONCATENATE(C57,":",D57,":",E57),Comp!$1:$1,0),4),"1",""),"99"))),0)</f>
        <v>0</v>
      </c>
    </row>
    <row r="58" spans="1:55">
      <c r="A58" s="20" t="s">
        <v>73</v>
      </c>
      <c r="B58" s="21"/>
      <c r="C58" s="20"/>
      <c r="D58" s="22"/>
      <c r="E58" s="22"/>
      <c r="F58" s="21"/>
      <c r="G58" s="23"/>
      <c r="H58" s="24"/>
      <c r="I58" s="22"/>
      <c r="J58" s="22"/>
      <c r="K58" s="22"/>
      <c r="L58" s="21"/>
      <c r="M58" s="20"/>
      <c r="N58" s="20"/>
      <c r="O58" s="23"/>
      <c r="P58" s="21"/>
      <c r="Q58" s="20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1"/>
      <c r="AU58" s="25" t="str">
        <f t="shared" si="0"/>
        <v>1Q42</v>
      </c>
      <c r="AV58" t="str">
        <f t="shared" si="1"/>
        <v>1Q42</v>
      </c>
      <c r="BA58">
        <f ca="1">IF(COUNTBLANK(C58)=0,COUNTA(INDIRECT(CONCATENATE("Area!",LEFT(ADDRESS(1,MATCH(C58,Area!$1:$1,0),4),1),"2:",LEFT(ADDRESS(1,MATCH(C58,Area!$1:$1,0),4),1),"99"))),0)</f>
        <v>0</v>
      </c>
      <c r="BB58">
        <f ca="1">IF(COUNTBLANK(D58)=0,COUNTA(INDIRECT(CONCATENATE("Setup!",LEFT(ADDRESS(1,MATCH(CONCATENATE(C58,":",D58),Setup!$1:$1,0),4),1),"2:",LEFT(ADDRESS(1,MATCH(CONCATENATE(C58,":",D58),Setup!$1:$1,0),4),1),"99"))),0)</f>
        <v>0</v>
      </c>
      <c r="BC58">
        <f ca="1">IF(COUNTBLANK(E58)=0,COUNTA(INDIRECT(CONCATENATE("Comp!",SUBSTITUTE(ADDRESS(1,MATCH(CONCATENATE(C58,":",D58,":",E58),Comp!$1:$1,0),4),"1",""),"2:",SUBSTITUTE(ADDRESS(1,MATCH(CONCATENATE(C58,":",D58,":",E58),Comp!$1:$1,0),4),"1",""),"99"))),0)</f>
        <v>0</v>
      </c>
    </row>
    <row r="59" spans="1:55">
      <c r="A59" s="20" t="s">
        <v>73</v>
      </c>
      <c r="B59" s="21"/>
      <c r="C59" s="20"/>
      <c r="D59" s="22"/>
      <c r="E59" s="22"/>
      <c r="F59" s="21"/>
      <c r="G59" s="23"/>
      <c r="H59" s="24"/>
      <c r="I59" s="22"/>
      <c r="J59" s="22"/>
      <c r="K59" s="22"/>
      <c r="L59" s="21"/>
      <c r="M59" s="20"/>
      <c r="N59" s="20"/>
      <c r="O59" s="23"/>
      <c r="P59" s="21"/>
      <c r="Q59" s="20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1"/>
      <c r="AU59" s="25" t="str">
        <f t="shared" si="0"/>
        <v>1Q42</v>
      </c>
      <c r="AV59" t="str">
        <f t="shared" si="1"/>
        <v>1Q42</v>
      </c>
      <c r="BA59">
        <f ca="1">IF(COUNTBLANK(C59)=0,COUNTA(INDIRECT(CONCATENATE("Area!",LEFT(ADDRESS(1,MATCH(C59,Area!$1:$1,0),4),1),"2:",LEFT(ADDRESS(1,MATCH(C59,Area!$1:$1,0),4),1),"99"))),0)</f>
        <v>0</v>
      </c>
      <c r="BB59">
        <f ca="1">IF(COUNTBLANK(D59)=0,COUNTA(INDIRECT(CONCATENATE("Setup!",LEFT(ADDRESS(1,MATCH(CONCATENATE(C59,":",D59),Setup!$1:$1,0),4),1),"2:",LEFT(ADDRESS(1,MATCH(CONCATENATE(C59,":",D59),Setup!$1:$1,0),4),1),"99"))),0)</f>
        <v>0</v>
      </c>
      <c r="BC59">
        <f ca="1">IF(COUNTBLANK(E59)=0,COUNTA(INDIRECT(CONCATENATE("Comp!",SUBSTITUTE(ADDRESS(1,MATCH(CONCATENATE(C59,":",D59,":",E59),Comp!$1:$1,0),4),"1",""),"2:",SUBSTITUTE(ADDRESS(1,MATCH(CONCATENATE(C59,":",D59,":",E59),Comp!$1:$1,0),4),"1",""),"99"))),0)</f>
        <v>0</v>
      </c>
    </row>
    <row r="60" spans="1:55">
      <c r="A60" s="20" t="s">
        <v>73</v>
      </c>
      <c r="B60" s="21"/>
      <c r="C60" s="20"/>
      <c r="D60" s="22"/>
      <c r="E60" s="22"/>
      <c r="F60" s="21"/>
      <c r="G60" s="23"/>
      <c r="H60" s="24"/>
      <c r="I60" s="22"/>
      <c r="J60" s="22"/>
      <c r="K60" s="22"/>
      <c r="L60" s="21"/>
      <c r="M60" s="20"/>
      <c r="N60" s="20"/>
      <c r="O60" s="23"/>
      <c r="P60" s="21"/>
      <c r="Q60" s="20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1"/>
      <c r="AU60" s="25" t="str">
        <f t="shared" si="0"/>
        <v>1Q42</v>
      </c>
      <c r="AV60" t="str">
        <f t="shared" si="1"/>
        <v>1Q42</v>
      </c>
      <c r="BA60">
        <f ca="1">IF(COUNTBLANK(C60)=0,COUNTA(INDIRECT(CONCATENATE("Area!",LEFT(ADDRESS(1,MATCH(C60,Area!$1:$1,0),4),1),"2:",LEFT(ADDRESS(1,MATCH(C60,Area!$1:$1,0),4),1),"99"))),0)</f>
        <v>0</v>
      </c>
      <c r="BB60">
        <f ca="1">IF(COUNTBLANK(D60)=0,COUNTA(INDIRECT(CONCATENATE("Setup!",LEFT(ADDRESS(1,MATCH(CONCATENATE(C60,":",D60),Setup!$1:$1,0),4),1),"2:",LEFT(ADDRESS(1,MATCH(CONCATENATE(C60,":",D60),Setup!$1:$1,0),4),1),"99"))),0)</f>
        <v>0</v>
      </c>
      <c r="BC60">
        <f ca="1">IF(COUNTBLANK(E60)=0,COUNTA(INDIRECT(CONCATENATE("Comp!",SUBSTITUTE(ADDRESS(1,MATCH(CONCATENATE(C60,":",D60,":",E60),Comp!$1:$1,0),4),"1",""),"2:",SUBSTITUTE(ADDRESS(1,MATCH(CONCATENATE(C60,":",D60,":",E60),Comp!$1:$1,0),4),"1",""),"99"))),0)</f>
        <v>0</v>
      </c>
    </row>
    <row r="61" spans="1:55">
      <c r="A61" s="20" t="s">
        <v>73</v>
      </c>
      <c r="B61" s="21"/>
      <c r="C61" s="20"/>
      <c r="D61" s="22"/>
      <c r="E61" s="22"/>
      <c r="F61" s="21"/>
      <c r="G61" s="23"/>
      <c r="H61" s="24"/>
      <c r="I61" s="22"/>
      <c r="J61" s="22"/>
      <c r="K61" s="22"/>
      <c r="L61" s="21"/>
      <c r="M61" s="20"/>
      <c r="N61" s="20"/>
      <c r="O61" s="23"/>
      <c r="P61" s="21"/>
      <c r="Q61" s="20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1"/>
      <c r="AU61" s="25" t="str">
        <f t="shared" si="0"/>
        <v>1Q42</v>
      </c>
      <c r="AV61" t="str">
        <f t="shared" si="1"/>
        <v>1Q42</v>
      </c>
      <c r="BA61">
        <f ca="1">IF(COUNTBLANK(C61)=0,COUNTA(INDIRECT(CONCATENATE("Area!",LEFT(ADDRESS(1,MATCH(C61,Area!$1:$1,0),4),1),"2:",LEFT(ADDRESS(1,MATCH(C61,Area!$1:$1,0),4),1),"99"))),0)</f>
        <v>0</v>
      </c>
      <c r="BB61">
        <f ca="1">IF(COUNTBLANK(D61)=0,COUNTA(INDIRECT(CONCATENATE("Setup!",LEFT(ADDRESS(1,MATCH(CONCATENATE(C61,":",D61),Setup!$1:$1,0),4),1),"2:",LEFT(ADDRESS(1,MATCH(CONCATENATE(C61,":",D61),Setup!$1:$1,0),4),1),"99"))),0)</f>
        <v>0</v>
      </c>
      <c r="BC61">
        <f ca="1">IF(COUNTBLANK(E61)=0,COUNTA(INDIRECT(CONCATENATE("Comp!",SUBSTITUTE(ADDRESS(1,MATCH(CONCATENATE(C61,":",D61,":",E61),Comp!$1:$1,0),4),"1",""),"2:",SUBSTITUTE(ADDRESS(1,MATCH(CONCATENATE(C61,":",D61,":",E61),Comp!$1:$1,0),4),"1",""),"99"))),0)</f>
        <v>0</v>
      </c>
    </row>
    <row r="62" spans="1:55">
      <c r="A62" s="20" t="s">
        <v>73</v>
      </c>
      <c r="B62" s="21"/>
      <c r="C62" s="20"/>
      <c r="D62" s="22"/>
      <c r="E62" s="22"/>
      <c r="F62" s="21"/>
      <c r="G62" s="23"/>
      <c r="H62" s="24"/>
      <c r="I62" s="22"/>
      <c r="J62" s="22"/>
      <c r="K62" s="22"/>
      <c r="L62" s="21"/>
      <c r="M62" s="20"/>
      <c r="N62" s="20"/>
      <c r="O62" s="23"/>
      <c r="P62" s="21"/>
      <c r="Q62" s="20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1"/>
      <c r="AU62" s="25" t="str">
        <f t="shared" si="0"/>
        <v>1Q42</v>
      </c>
      <c r="AV62" t="str">
        <f t="shared" si="1"/>
        <v>1Q42</v>
      </c>
      <c r="BA62">
        <f ca="1">IF(COUNTBLANK(C62)=0,COUNTA(INDIRECT(CONCATENATE("Area!",LEFT(ADDRESS(1,MATCH(C62,Area!$1:$1,0),4),1),"2:",LEFT(ADDRESS(1,MATCH(C62,Area!$1:$1,0),4),1),"99"))),0)</f>
        <v>0</v>
      </c>
      <c r="BB62">
        <f ca="1">IF(COUNTBLANK(D62)=0,COUNTA(INDIRECT(CONCATENATE("Setup!",LEFT(ADDRESS(1,MATCH(CONCATENATE(C62,":",D62),Setup!$1:$1,0),4),1),"2:",LEFT(ADDRESS(1,MATCH(CONCATENATE(C62,":",D62),Setup!$1:$1,0),4),1),"99"))),0)</f>
        <v>0</v>
      </c>
      <c r="BC62">
        <f ca="1">IF(COUNTBLANK(E62)=0,COUNTA(INDIRECT(CONCATENATE("Comp!",SUBSTITUTE(ADDRESS(1,MATCH(CONCATENATE(C62,":",D62,":",E62),Comp!$1:$1,0),4),"1",""),"2:",SUBSTITUTE(ADDRESS(1,MATCH(CONCATENATE(C62,":",D62,":",E62),Comp!$1:$1,0),4),"1",""),"99"))),0)</f>
        <v>0</v>
      </c>
    </row>
    <row r="63" spans="1:55">
      <c r="A63" s="20" t="s">
        <v>73</v>
      </c>
      <c r="B63" s="21"/>
      <c r="C63" s="20"/>
      <c r="D63" s="22"/>
      <c r="E63" s="22"/>
      <c r="F63" s="21"/>
      <c r="G63" s="23"/>
      <c r="H63" s="24"/>
      <c r="I63" s="22"/>
      <c r="J63" s="22"/>
      <c r="K63" s="22"/>
      <c r="L63" s="21"/>
      <c r="M63" s="20"/>
      <c r="N63" s="20"/>
      <c r="O63" s="23"/>
      <c r="P63" s="21"/>
      <c r="Q63" s="20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1"/>
      <c r="AU63" s="25" t="str">
        <f t="shared" si="0"/>
        <v>1Q42</v>
      </c>
      <c r="AV63" t="str">
        <f t="shared" si="1"/>
        <v>1Q42</v>
      </c>
      <c r="BA63">
        <f ca="1">IF(COUNTBLANK(C63)=0,COUNTA(INDIRECT(CONCATENATE("Area!",LEFT(ADDRESS(1,MATCH(C63,Area!$1:$1,0),4),1),"2:",LEFT(ADDRESS(1,MATCH(C63,Area!$1:$1,0),4),1),"99"))),0)</f>
        <v>0</v>
      </c>
      <c r="BB63">
        <f ca="1">IF(COUNTBLANK(D63)=0,COUNTA(INDIRECT(CONCATENATE("Setup!",LEFT(ADDRESS(1,MATCH(CONCATENATE(C63,":",D63),Setup!$1:$1,0),4),1),"2:",LEFT(ADDRESS(1,MATCH(CONCATENATE(C63,":",D63),Setup!$1:$1,0),4),1),"99"))),0)</f>
        <v>0</v>
      </c>
      <c r="BC63">
        <f ca="1">IF(COUNTBLANK(E63)=0,COUNTA(INDIRECT(CONCATENATE("Comp!",SUBSTITUTE(ADDRESS(1,MATCH(CONCATENATE(C63,":",D63,":",E63),Comp!$1:$1,0),4),"1",""),"2:",SUBSTITUTE(ADDRESS(1,MATCH(CONCATENATE(C63,":",D63,":",E63),Comp!$1:$1,0),4),"1",""),"99"))),0)</f>
        <v>0</v>
      </c>
    </row>
    <row r="64" spans="1:55">
      <c r="A64" s="20" t="s">
        <v>73</v>
      </c>
      <c r="B64" s="21"/>
      <c r="C64" s="20"/>
      <c r="D64" s="22"/>
      <c r="E64" s="22"/>
      <c r="F64" s="21"/>
      <c r="G64" s="23"/>
      <c r="H64" s="24"/>
      <c r="I64" s="22"/>
      <c r="J64" s="22"/>
      <c r="K64" s="22"/>
      <c r="L64" s="21"/>
      <c r="M64" s="20"/>
      <c r="N64" s="20"/>
      <c r="O64" s="23"/>
      <c r="P64" s="21"/>
      <c r="Q64" s="20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1"/>
      <c r="AU64" s="25" t="str">
        <f t="shared" si="0"/>
        <v>1Q42</v>
      </c>
      <c r="AV64" t="str">
        <f t="shared" si="1"/>
        <v>1Q42</v>
      </c>
      <c r="BA64">
        <f ca="1">IF(COUNTBLANK(C64)=0,COUNTA(INDIRECT(CONCATENATE("Area!",LEFT(ADDRESS(1,MATCH(C64,Area!$1:$1,0),4),1),"2:",LEFT(ADDRESS(1,MATCH(C64,Area!$1:$1,0),4),1),"99"))),0)</f>
        <v>0</v>
      </c>
      <c r="BB64">
        <f ca="1">IF(COUNTBLANK(D64)=0,COUNTA(INDIRECT(CONCATENATE("Setup!",LEFT(ADDRESS(1,MATCH(CONCATENATE(C64,":",D64),Setup!$1:$1,0),4),1),"2:",LEFT(ADDRESS(1,MATCH(CONCATENATE(C64,":",D64),Setup!$1:$1,0),4),1),"99"))),0)</f>
        <v>0</v>
      </c>
      <c r="BC64">
        <f ca="1">IF(COUNTBLANK(E64)=0,COUNTA(INDIRECT(CONCATENATE("Comp!",SUBSTITUTE(ADDRESS(1,MATCH(CONCATENATE(C64,":",D64,":",E64),Comp!$1:$1,0),4),"1",""),"2:",SUBSTITUTE(ADDRESS(1,MATCH(CONCATENATE(C64,":",D64,":",E64),Comp!$1:$1,0),4),"1",""),"99"))),0)</f>
        <v>0</v>
      </c>
    </row>
    <row r="65" spans="1:55">
      <c r="A65" s="20" t="s">
        <v>73</v>
      </c>
      <c r="B65" s="21"/>
      <c r="C65" s="20"/>
      <c r="D65" s="22"/>
      <c r="E65" s="22"/>
      <c r="F65" s="21"/>
      <c r="G65" s="23"/>
      <c r="H65" s="24"/>
      <c r="I65" s="22"/>
      <c r="J65" s="22"/>
      <c r="K65" s="22"/>
      <c r="L65" s="21"/>
      <c r="M65" s="20"/>
      <c r="N65" s="20"/>
      <c r="O65" s="23"/>
      <c r="P65" s="21"/>
      <c r="Q65" s="20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1"/>
      <c r="AU65" s="25" t="str">
        <f t="shared" si="0"/>
        <v>1Q42</v>
      </c>
      <c r="AV65" t="str">
        <f t="shared" si="1"/>
        <v>1Q42</v>
      </c>
      <c r="BA65">
        <f ca="1">IF(COUNTBLANK(C65)=0,COUNTA(INDIRECT(CONCATENATE("Area!",LEFT(ADDRESS(1,MATCH(C65,Area!$1:$1,0),4),1),"2:",LEFT(ADDRESS(1,MATCH(C65,Area!$1:$1,0),4),1),"99"))),0)</f>
        <v>0</v>
      </c>
      <c r="BB65">
        <f ca="1">IF(COUNTBLANK(D65)=0,COUNTA(INDIRECT(CONCATENATE("Setup!",LEFT(ADDRESS(1,MATCH(CONCATENATE(C65,":",D65),Setup!$1:$1,0),4),1),"2:",LEFT(ADDRESS(1,MATCH(CONCATENATE(C65,":",D65),Setup!$1:$1,0),4),1),"99"))),0)</f>
        <v>0</v>
      </c>
      <c r="BC65">
        <f ca="1">IF(COUNTBLANK(E65)=0,COUNTA(INDIRECT(CONCATENATE("Comp!",SUBSTITUTE(ADDRESS(1,MATCH(CONCATENATE(C65,":",D65,":",E65),Comp!$1:$1,0),4),"1",""),"2:",SUBSTITUTE(ADDRESS(1,MATCH(CONCATENATE(C65,":",D65,":",E65),Comp!$1:$1,0),4),"1",""),"99"))),0)</f>
        <v>0</v>
      </c>
    </row>
    <row r="66" spans="1:55">
      <c r="A66" s="20" t="s">
        <v>73</v>
      </c>
      <c r="B66" s="21"/>
      <c r="C66" s="20"/>
      <c r="D66" s="22"/>
      <c r="E66" s="22"/>
      <c r="F66" s="21"/>
      <c r="G66" s="23"/>
      <c r="H66" s="24"/>
      <c r="I66" s="22"/>
      <c r="J66" s="22"/>
      <c r="K66" s="22"/>
      <c r="L66" s="21"/>
      <c r="M66" s="20"/>
      <c r="N66" s="20"/>
      <c r="O66" s="23"/>
      <c r="P66" s="21"/>
      <c r="Q66" s="20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1"/>
      <c r="AU66" s="25" t="str">
        <f t="shared" si="0"/>
        <v>1Q42</v>
      </c>
      <c r="AV66" t="str">
        <f t="shared" si="1"/>
        <v>1Q42</v>
      </c>
      <c r="BA66">
        <f ca="1">IF(COUNTBLANK(C66)=0,COUNTA(INDIRECT(CONCATENATE("Area!",LEFT(ADDRESS(1,MATCH(C66,Area!$1:$1,0),4),1),"2:",LEFT(ADDRESS(1,MATCH(C66,Area!$1:$1,0),4),1),"99"))),0)</f>
        <v>0</v>
      </c>
      <c r="BB66">
        <f ca="1">IF(COUNTBLANK(D66)=0,COUNTA(INDIRECT(CONCATENATE("Setup!",LEFT(ADDRESS(1,MATCH(CONCATENATE(C66,":",D66),Setup!$1:$1,0),4),1),"2:",LEFT(ADDRESS(1,MATCH(CONCATENATE(C66,":",D66),Setup!$1:$1,0),4),1),"99"))),0)</f>
        <v>0</v>
      </c>
      <c r="BC66">
        <f ca="1">IF(COUNTBLANK(E66)=0,COUNTA(INDIRECT(CONCATENATE("Comp!",SUBSTITUTE(ADDRESS(1,MATCH(CONCATENATE(C66,":",D66,":",E66),Comp!$1:$1,0),4),"1",""),"2:",SUBSTITUTE(ADDRESS(1,MATCH(CONCATENATE(C66,":",D66,":",E66),Comp!$1:$1,0),4),"1",""),"99"))),0)</f>
        <v>0</v>
      </c>
    </row>
    <row r="67" spans="1:55">
      <c r="A67" s="20" t="s">
        <v>73</v>
      </c>
      <c r="B67" s="21"/>
      <c r="C67" s="20"/>
      <c r="D67" s="22"/>
      <c r="E67" s="22"/>
      <c r="F67" s="21"/>
      <c r="G67" s="23"/>
      <c r="H67" s="24"/>
      <c r="I67" s="22"/>
      <c r="J67" s="22"/>
      <c r="K67" s="22"/>
      <c r="L67" s="21"/>
      <c r="M67" s="20"/>
      <c r="N67" s="20"/>
      <c r="O67" s="23"/>
      <c r="P67" s="21"/>
      <c r="Q67" s="20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1"/>
      <c r="AU67" s="25" t="str">
        <f t="shared" si="0"/>
        <v>1Q42</v>
      </c>
      <c r="AV67" t="str">
        <f t="shared" si="1"/>
        <v>1Q42</v>
      </c>
      <c r="BA67">
        <f ca="1">IF(COUNTBLANK(C67)=0,COUNTA(INDIRECT(CONCATENATE("Area!",LEFT(ADDRESS(1,MATCH(C67,Area!$1:$1,0),4),1),"2:",LEFT(ADDRESS(1,MATCH(C67,Area!$1:$1,0),4),1),"99"))),0)</f>
        <v>0</v>
      </c>
      <c r="BB67">
        <f ca="1">IF(COUNTBLANK(D67)=0,COUNTA(INDIRECT(CONCATENATE("Setup!",LEFT(ADDRESS(1,MATCH(CONCATENATE(C67,":",D67),Setup!$1:$1,0),4),1),"2:",LEFT(ADDRESS(1,MATCH(CONCATENATE(C67,":",D67),Setup!$1:$1,0),4),1),"99"))),0)</f>
        <v>0</v>
      </c>
      <c r="BC67">
        <f ca="1">IF(COUNTBLANK(E67)=0,COUNTA(INDIRECT(CONCATENATE("Comp!",SUBSTITUTE(ADDRESS(1,MATCH(CONCATENATE(C67,":",D67,":",E67),Comp!$1:$1,0),4),"1",""),"2:",SUBSTITUTE(ADDRESS(1,MATCH(CONCATENATE(C67,":",D67,":",E67),Comp!$1:$1,0),4),"1",""),"99"))),0)</f>
        <v>0</v>
      </c>
    </row>
    <row r="68" spans="1:55">
      <c r="A68" s="20" t="s">
        <v>73</v>
      </c>
      <c r="B68" s="21"/>
      <c r="C68" s="20"/>
      <c r="D68" s="22"/>
      <c r="E68" s="22"/>
      <c r="F68" s="21"/>
      <c r="G68" s="23"/>
      <c r="H68" s="24"/>
      <c r="I68" s="22"/>
      <c r="J68" s="22"/>
      <c r="K68" s="22"/>
      <c r="L68" s="21"/>
      <c r="M68" s="20"/>
      <c r="N68" s="20"/>
      <c r="O68" s="23"/>
      <c r="P68" s="21"/>
      <c r="Q68" s="20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1"/>
      <c r="AU68" s="25" t="str">
        <f t="shared" si="0"/>
        <v>1Q42</v>
      </c>
      <c r="AV68" t="str">
        <f t="shared" si="1"/>
        <v>1Q42</v>
      </c>
      <c r="BA68">
        <f ca="1">IF(COUNTBLANK(C68)=0,COUNTA(INDIRECT(CONCATENATE("Area!",LEFT(ADDRESS(1,MATCH(C68,Area!$1:$1,0),4),1),"2:",LEFT(ADDRESS(1,MATCH(C68,Area!$1:$1,0),4),1),"99"))),0)</f>
        <v>0</v>
      </c>
      <c r="BB68">
        <f ca="1">IF(COUNTBLANK(D68)=0,COUNTA(INDIRECT(CONCATENATE("Setup!",LEFT(ADDRESS(1,MATCH(CONCATENATE(C68,":",D68),Setup!$1:$1,0),4),1),"2:",LEFT(ADDRESS(1,MATCH(CONCATENATE(C68,":",D68),Setup!$1:$1,0),4),1),"99"))),0)</f>
        <v>0</v>
      </c>
      <c r="BC68">
        <f ca="1">IF(COUNTBLANK(E68)=0,COUNTA(INDIRECT(CONCATENATE("Comp!",SUBSTITUTE(ADDRESS(1,MATCH(CONCATENATE(C68,":",D68,":",E68),Comp!$1:$1,0),4),"1",""),"2:",SUBSTITUTE(ADDRESS(1,MATCH(CONCATENATE(C68,":",D68,":",E68),Comp!$1:$1,0),4),"1",""),"99"))),0)</f>
        <v>0</v>
      </c>
    </row>
    <row r="69" spans="1:55">
      <c r="A69" s="20" t="s">
        <v>73</v>
      </c>
      <c r="B69" s="21"/>
      <c r="C69" s="20"/>
      <c r="D69" s="22"/>
      <c r="E69" s="22"/>
      <c r="F69" s="21"/>
      <c r="G69" s="23"/>
      <c r="H69" s="24"/>
      <c r="I69" s="22"/>
      <c r="J69" s="22"/>
      <c r="K69" s="22"/>
      <c r="L69" s="21"/>
      <c r="M69" s="20"/>
      <c r="N69" s="20"/>
      <c r="O69" s="23"/>
      <c r="P69" s="21"/>
      <c r="Q69" s="20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1"/>
      <c r="AU69" s="25" t="str">
        <f t="shared" si="0"/>
        <v>1Q42</v>
      </c>
      <c r="AV69" t="str">
        <f t="shared" si="1"/>
        <v>1Q42</v>
      </c>
      <c r="BA69">
        <f ca="1">IF(COUNTBLANK(C69)=0,COUNTA(INDIRECT(CONCATENATE("Area!",LEFT(ADDRESS(1,MATCH(C69,Area!$1:$1,0),4),1),"2:",LEFT(ADDRESS(1,MATCH(C69,Area!$1:$1,0),4),1),"99"))),0)</f>
        <v>0</v>
      </c>
      <c r="BB69">
        <f ca="1">IF(COUNTBLANK(D69)=0,COUNTA(INDIRECT(CONCATENATE("Setup!",LEFT(ADDRESS(1,MATCH(CONCATENATE(C69,":",D69),Setup!$1:$1,0),4),1),"2:",LEFT(ADDRESS(1,MATCH(CONCATENATE(C69,":",D69),Setup!$1:$1,0),4),1),"99"))),0)</f>
        <v>0</v>
      </c>
      <c r="BC69">
        <f ca="1">IF(COUNTBLANK(E69)=0,COUNTA(INDIRECT(CONCATENATE("Comp!",SUBSTITUTE(ADDRESS(1,MATCH(CONCATENATE(C69,":",D69,":",E69),Comp!$1:$1,0),4),"1",""),"2:",SUBSTITUTE(ADDRESS(1,MATCH(CONCATENATE(C69,":",D69,":",E69),Comp!$1:$1,0),4),"1",""),"99"))),0)</f>
        <v>0</v>
      </c>
    </row>
    <row r="70" spans="1:55">
      <c r="A70" s="20" t="s">
        <v>73</v>
      </c>
      <c r="B70" s="21"/>
      <c r="C70" s="20"/>
      <c r="D70" s="22"/>
      <c r="E70" s="22"/>
      <c r="F70" s="21"/>
      <c r="G70" s="23"/>
      <c r="H70" s="24"/>
      <c r="I70" s="22"/>
      <c r="J70" s="22"/>
      <c r="K70" s="22"/>
      <c r="L70" s="21"/>
      <c r="M70" s="20"/>
      <c r="N70" s="20"/>
      <c r="O70" s="23"/>
      <c r="P70" s="21"/>
      <c r="Q70" s="20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1"/>
      <c r="AU70" s="25" t="str">
        <f t="shared" si="0"/>
        <v>1Q42</v>
      </c>
      <c r="AV70" t="str">
        <f t="shared" si="1"/>
        <v>1Q42</v>
      </c>
      <c r="BA70">
        <f ca="1">IF(COUNTBLANK(C70)=0,COUNTA(INDIRECT(CONCATENATE("Area!",LEFT(ADDRESS(1,MATCH(C70,Area!$1:$1,0),4),1),"2:",LEFT(ADDRESS(1,MATCH(C70,Area!$1:$1,0),4),1),"99"))),0)</f>
        <v>0</v>
      </c>
      <c r="BB70">
        <f ca="1">IF(COUNTBLANK(D70)=0,COUNTA(INDIRECT(CONCATENATE("Setup!",LEFT(ADDRESS(1,MATCH(CONCATENATE(C70,":",D70),Setup!$1:$1,0),4),1),"2:",LEFT(ADDRESS(1,MATCH(CONCATENATE(C70,":",D70),Setup!$1:$1,0),4),1),"99"))),0)</f>
        <v>0</v>
      </c>
      <c r="BC70">
        <f ca="1">IF(COUNTBLANK(E70)=0,COUNTA(INDIRECT(CONCATENATE("Comp!",SUBSTITUTE(ADDRESS(1,MATCH(CONCATENATE(C70,":",D70,":",E70),Comp!$1:$1,0),4),"1",""),"2:",SUBSTITUTE(ADDRESS(1,MATCH(CONCATENATE(C70,":",D70,":",E70),Comp!$1:$1,0),4),"1",""),"99"))),0)</f>
        <v>0</v>
      </c>
    </row>
    <row r="71" spans="1:55">
      <c r="A71" s="20" t="s">
        <v>73</v>
      </c>
      <c r="B71" s="21"/>
      <c r="C71" s="20"/>
      <c r="D71" s="22"/>
      <c r="E71" s="22"/>
      <c r="F71" s="21"/>
      <c r="G71" s="23"/>
      <c r="H71" s="24"/>
      <c r="I71" s="22"/>
      <c r="J71" s="22"/>
      <c r="K71" s="22"/>
      <c r="L71" s="21"/>
      <c r="M71" s="20"/>
      <c r="N71" s="20"/>
      <c r="O71" s="23"/>
      <c r="P71" s="21"/>
      <c r="Q71" s="20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1"/>
      <c r="AU71" s="25" t="str">
        <f t="shared" si="0"/>
        <v>1Q42</v>
      </c>
      <c r="AV71" t="str">
        <f t="shared" si="1"/>
        <v>1Q42</v>
      </c>
      <c r="BA71">
        <f ca="1">IF(COUNTBLANK(C71)=0,COUNTA(INDIRECT(CONCATENATE("Area!",LEFT(ADDRESS(1,MATCH(C71,Area!$1:$1,0),4),1),"2:",LEFT(ADDRESS(1,MATCH(C71,Area!$1:$1,0),4),1),"99"))),0)</f>
        <v>0</v>
      </c>
      <c r="BB71">
        <f ca="1">IF(COUNTBLANK(D71)=0,COUNTA(INDIRECT(CONCATENATE("Setup!",LEFT(ADDRESS(1,MATCH(CONCATENATE(C71,":",D71),Setup!$1:$1,0),4),1),"2:",LEFT(ADDRESS(1,MATCH(CONCATENATE(C71,":",D71),Setup!$1:$1,0),4),1),"99"))),0)</f>
        <v>0</v>
      </c>
      <c r="BC71">
        <f ca="1">IF(COUNTBLANK(E71)=0,COUNTA(INDIRECT(CONCATENATE("Comp!",SUBSTITUTE(ADDRESS(1,MATCH(CONCATENATE(C71,":",D71,":",E71),Comp!$1:$1,0),4),"1",""),"2:",SUBSTITUTE(ADDRESS(1,MATCH(CONCATENATE(C71,":",D71,":",E71),Comp!$1:$1,0),4),"1",""),"99"))),0)</f>
        <v>0</v>
      </c>
    </row>
    <row r="72" spans="1:55">
      <c r="A72" s="20" t="s">
        <v>73</v>
      </c>
      <c r="B72" s="21"/>
      <c r="C72" s="20"/>
      <c r="D72" s="22"/>
      <c r="E72" s="22"/>
      <c r="F72" s="21"/>
      <c r="G72" s="23"/>
      <c r="H72" s="24"/>
      <c r="I72" s="22"/>
      <c r="J72" s="22"/>
      <c r="K72" s="22"/>
      <c r="L72" s="21"/>
      <c r="M72" s="20"/>
      <c r="N72" s="20"/>
      <c r="O72" s="23"/>
      <c r="P72" s="21"/>
      <c r="Q72" s="20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1"/>
      <c r="AU72" s="25" t="str">
        <f t="shared" si="0"/>
        <v>1Q42</v>
      </c>
      <c r="AV72" t="str">
        <f t="shared" si="1"/>
        <v>1Q42</v>
      </c>
      <c r="BA72">
        <f ca="1">IF(COUNTBLANK(C72)=0,COUNTA(INDIRECT(CONCATENATE("Area!",LEFT(ADDRESS(1,MATCH(C72,Area!$1:$1,0),4),1),"2:",LEFT(ADDRESS(1,MATCH(C72,Area!$1:$1,0),4),1),"99"))),0)</f>
        <v>0</v>
      </c>
      <c r="BB72">
        <f ca="1">IF(COUNTBLANK(D72)=0,COUNTA(INDIRECT(CONCATENATE("Setup!",LEFT(ADDRESS(1,MATCH(CONCATENATE(C72,":",D72),Setup!$1:$1,0),4),1),"2:",LEFT(ADDRESS(1,MATCH(CONCATENATE(C72,":",D72),Setup!$1:$1,0),4),1),"99"))),0)</f>
        <v>0</v>
      </c>
      <c r="BC72">
        <f ca="1">IF(COUNTBLANK(E72)=0,COUNTA(INDIRECT(CONCATENATE("Comp!",SUBSTITUTE(ADDRESS(1,MATCH(CONCATENATE(C72,":",D72,":",E72),Comp!$1:$1,0),4),"1",""),"2:",SUBSTITUTE(ADDRESS(1,MATCH(CONCATENATE(C72,":",D72,":",E72),Comp!$1:$1,0),4),"1",""),"99"))),0)</f>
        <v>0</v>
      </c>
    </row>
    <row r="73" spans="1:55">
      <c r="A73" s="20" t="s">
        <v>73</v>
      </c>
      <c r="B73" s="21"/>
      <c r="C73" s="20"/>
      <c r="D73" s="22"/>
      <c r="E73" s="22"/>
      <c r="F73" s="21"/>
      <c r="G73" s="23"/>
      <c r="H73" s="24"/>
      <c r="I73" s="22"/>
      <c r="J73" s="22"/>
      <c r="K73" s="22"/>
      <c r="L73" s="21"/>
      <c r="M73" s="20"/>
      <c r="N73" s="20"/>
      <c r="O73" s="23"/>
      <c r="P73" s="21"/>
      <c r="Q73" s="20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1"/>
      <c r="AU73" s="25" t="str">
        <f t="shared" ref="AU73:AU136" si="2">CONCATENATE(A73,B73)</f>
        <v>1Q42</v>
      </c>
      <c r="AV73" t="str">
        <f t="shared" ref="AV73:AV136" si="3">CONCATENATE(A73,B73)</f>
        <v>1Q42</v>
      </c>
      <c r="BA73">
        <f ca="1">IF(COUNTBLANK(C73)=0,COUNTA(INDIRECT(CONCATENATE("Area!",LEFT(ADDRESS(1,MATCH(C73,Area!$1:$1,0),4),1),"2:",LEFT(ADDRESS(1,MATCH(C73,Area!$1:$1,0),4),1),"99"))),0)</f>
        <v>0</v>
      </c>
      <c r="BB73">
        <f ca="1">IF(COUNTBLANK(D73)=0,COUNTA(INDIRECT(CONCATENATE("Setup!",LEFT(ADDRESS(1,MATCH(CONCATENATE(C73,":",D73),Setup!$1:$1,0),4),1),"2:",LEFT(ADDRESS(1,MATCH(CONCATENATE(C73,":",D73),Setup!$1:$1,0),4),1),"99"))),0)</f>
        <v>0</v>
      </c>
      <c r="BC73">
        <f ca="1">IF(COUNTBLANK(E73)=0,COUNTA(INDIRECT(CONCATENATE("Comp!",SUBSTITUTE(ADDRESS(1,MATCH(CONCATENATE(C73,":",D73,":",E73),Comp!$1:$1,0),4),"1",""),"2:",SUBSTITUTE(ADDRESS(1,MATCH(CONCATENATE(C73,":",D73,":",E73),Comp!$1:$1,0),4),"1",""),"99"))),0)</f>
        <v>0</v>
      </c>
    </row>
    <row r="74" spans="1:55">
      <c r="A74" s="20" t="s">
        <v>73</v>
      </c>
      <c r="B74" s="21"/>
      <c r="C74" s="20"/>
      <c r="D74" s="22"/>
      <c r="E74" s="22"/>
      <c r="F74" s="21"/>
      <c r="G74" s="23"/>
      <c r="H74" s="24"/>
      <c r="I74" s="22"/>
      <c r="J74" s="22"/>
      <c r="K74" s="22"/>
      <c r="L74" s="21"/>
      <c r="M74" s="20"/>
      <c r="N74" s="20"/>
      <c r="O74" s="23"/>
      <c r="P74" s="21"/>
      <c r="Q74" s="20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1"/>
      <c r="AU74" s="25" t="str">
        <f t="shared" si="2"/>
        <v>1Q42</v>
      </c>
      <c r="AV74" t="str">
        <f t="shared" si="3"/>
        <v>1Q42</v>
      </c>
      <c r="BA74">
        <f ca="1">IF(COUNTBLANK(C74)=0,COUNTA(INDIRECT(CONCATENATE("Area!",LEFT(ADDRESS(1,MATCH(C74,Area!$1:$1,0),4),1),"2:",LEFT(ADDRESS(1,MATCH(C74,Area!$1:$1,0),4),1),"99"))),0)</f>
        <v>0</v>
      </c>
      <c r="BB74">
        <f ca="1">IF(COUNTBLANK(D74)=0,COUNTA(INDIRECT(CONCATENATE("Setup!",LEFT(ADDRESS(1,MATCH(CONCATENATE(C74,":",D74),Setup!$1:$1,0),4),1),"2:",LEFT(ADDRESS(1,MATCH(CONCATENATE(C74,":",D74),Setup!$1:$1,0),4),1),"99"))),0)</f>
        <v>0</v>
      </c>
      <c r="BC74">
        <f ca="1">IF(COUNTBLANK(E74)=0,COUNTA(INDIRECT(CONCATENATE("Comp!",SUBSTITUTE(ADDRESS(1,MATCH(CONCATENATE(C74,":",D74,":",E74),Comp!$1:$1,0),4),"1",""),"2:",SUBSTITUTE(ADDRESS(1,MATCH(CONCATENATE(C74,":",D74,":",E74),Comp!$1:$1,0),4),"1",""),"99"))),0)</f>
        <v>0</v>
      </c>
    </row>
    <row r="75" spans="1:55">
      <c r="A75" s="20" t="s">
        <v>73</v>
      </c>
      <c r="B75" s="21"/>
      <c r="C75" s="20"/>
      <c r="D75" s="22"/>
      <c r="E75" s="22"/>
      <c r="F75" s="21"/>
      <c r="G75" s="23"/>
      <c r="H75" s="24"/>
      <c r="I75" s="22"/>
      <c r="J75" s="22"/>
      <c r="K75" s="22"/>
      <c r="L75" s="21"/>
      <c r="M75" s="20"/>
      <c r="N75" s="20"/>
      <c r="O75" s="23"/>
      <c r="P75" s="21"/>
      <c r="Q75" s="20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1"/>
      <c r="AU75" s="25" t="str">
        <f t="shared" si="2"/>
        <v>1Q42</v>
      </c>
      <c r="AV75" t="str">
        <f t="shared" si="3"/>
        <v>1Q42</v>
      </c>
      <c r="BA75">
        <f ca="1">IF(COUNTBLANK(C75)=0,COUNTA(INDIRECT(CONCATENATE("Area!",LEFT(ADDRESS(1,MATCH(C75,Area!$1:$1,0),4),1),"2:",LEFT(ADDRESS(1,MATCH(C75,Area!$1:$1,0),4),1),"99"))),0)</f>
        <v>0</v>
      </c>
      <c r="BB75">
        <f ca="1">IF(COUNTBLANK(D75)=0,COUNTA(INDIRECT(CONCATENATE("Setup!",LEFT(ADDRESS(1,MATCH(CONCATENATE(C75,":",D75),Setup!$1:$1,0),4),1),"2:",LEFT(ADDRESS(1,MATCH(CONCATENATE(C75,":",D75),Setup!$1:$1,0),4),1),"99"))),0)</f>
        <v>0</v>
      </c>
      <c r="BC75">
        <f ca="1">IF(COUNTBLANK(E75)=0,COUNTA(INDIRECT(CONCATENATE("Comp!",SUBSTITUTE(ADDRESS(1,MATCH(CONCATENATE(C75,":",D75,":",E75),Comp!$1:$1,0),4),"1",""),"2:",SUBSTITUTE(ADDRESS(1,MATCH(CONCATENATE(C75,":",D75,":",E75),Comp!$1:$1,0),4),"1",""),"99"))),0)</f>
        <v>0</v>
      </c>
    </row>
    <row r="76" spans="1:55">
      <c r="A76" s="20" t="s">
        <v>73</v>
      </c>
      <c r="B76" s="21"/>
      <c r="C76" s="20"/>
      <c r="D76" s="22"/>
      <c r="E76" s="22"/>
      <c r="F76" s="21"/>
      <c r="G76" s="23"/>
      <c r="H76" s="24"/>
      <c r="I76" s="22"/>
      <c r="J76" s="22"/>
      <c r="K76" s="22"/>
      <c r="L76" s="21"/>
      <c r="M76" s="20"/>
      <c r="N76" s="20"/>
      <c r="O76" s="23"/>
      <c r="P76" s="21"/>
      <c r="Q76" s="20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1"/>
      <c r="AU76" s="25" t="str">
        <f t="shared" si="2"/>
        <v>1Q42</v>
      </c>
      <c r="AV76" t="str">
        <f t="shared" si="3"/>
        <v>1Q42</v>
      </c>
      <c r="BA76">
        <f ca="1">IF(COUNTBLANK(C76)=0,COUNTA(INDIRECT(CONCATENATE("Area!",LEFT(ADDRESS(1,MATCH(C76,Area!$1:$1,0),4),1),"2:",LEFT(ADDRESS(1,MATCH(C76,Area!$1:$1,0),4),1),"99"))),0)</f>
        <v>0</v>
      </c>
      <c r="BB76">
        <f ca="1">IF(COUNTBLANK(D76)=0,COUNTA(INDIRECT(CONCATENATE("Setup!",LEFT(ADDRESS(1,MATCH(CONCATENATE(C76,":",D76),Setup!$1:$1,0),4),1),"2:",LEFT(ADDRESS(1,MATCH(CONCATENATE(C76,":",D76),Setup!$1:$1,0),4),1),"99"))),0)</f>
        <v>0</v>
      </c>
      <c r="BC76">
        <f ca="1">IF(COUNTBLANK(E76)=0,COUNTA(INDIRECT(CONCATENATE("Comp!",SUBSTITUTE(ADDRESS(1,MATCH(CONCATENATE(C76,":",D76,":",E76),Comp!$1:$1,0),4),"1",""),"2:",SUBSTITUTE(ADDRESS(1,MATCH(CONCATENATE(C76,":",D76,":",E76),Comp!$1:$1,0),4),"1",""),"99"))),0)</f>
        <v>0</v>
      </c>
    </row>
    <row r="77" spans="1:55">
      <c r="A77" s="20" t="s">
        <v>73</v>
      </c>
      <c r="B77" s="21"/>
      <c r="C77" s="20"/>
      <c r="D77" s="22"/>
      <c r="E77" s="22"/>
      <c r="F77" s="21"/>
      <c r="G77" s="23"/>
      <c r="H77" s="24"/>
      <c r="I77" s="22"/>
      <c r="J77" s="22"/>
      <c r="K77" s="22"/>
      <c r="L77" s="21"/>
      <c r="M77" s="20"/>
      <c r="N77" s="20"/>
      <c r="O77" s="23"/>
      <c r="P77" s="21"/>
      <c r="Q77" s="20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1"/>
      <c r="AU77" s="25" t="str">
        <f t="shared" si="2"/>
        <v>1Q42</v>
      </c>
      <c r="AV77" t="str">
        <f t="shared" si="3"/>
        <v>1Q42</v>
      </c>
      <c r="BA77">
        <f ca="1">IF(COUNTBLANK(C77)=0,COUNTA(INDIRECT(CONCATENATE("Area!",LEFT(ADDRESS(1,MATCH(C77,Area!$1:$1,0),4),1),"2:",LEFT(ADDRESS(1,MATCH(C77,Area!$1:$1,0),4),1),"99"))),0)</f>
        <v>0</v>
      </c>
      <c r="BB77">
        <f ca="1">IF(COUNTBLANK(D77)=0,COUNTA(INDIRECT(CONCATENATE("Setup!",LEFT(ADDRESS(1,MATCH(CONCATENATE(C77,":",D77),Setup!$1:$1,0),4),1),"2:",LEFT(ADDRESS(1,MATCH(CONCATENATE(C77,":",D77),Setup!$1:$1,0),4),1),"99"))),0)</f>
        <v>0</v>
      </c>
      <c r="BC77">
        <f ca="1">IF(COUNTBLANK(E77)=0,COUNTA(INDIRECT(CONCATENATE("Comp!",SUBSTITUTE(ADDRESS(1,MATCH(CONCATENATE(C77,":",D77,":",E77),Comp!$1:$1,0),4),"1",""),"2:",SUBSTITUTE(ADDRESS(1,MATCH(CONCATENATE(C77,":",D77,":",E77),Comp!$1:$1,0),4),"1",""),"99"))),0)</f>
        <v>0</v>
      </c>
    </row>
    <row r="78" spans="1:55">
      <c r="A78" s="20" t="s">
        <v>73</v>
      </c>
      <c r="B78" s="21"/>
      <c r="C78" s="20"/>
      <c r="D78" s="22"/>
      <c r="E78" s="22"/>
      <c r="F78" s="21"/>
      <c r="G78" s="23"/>
      <c r="H78" s="24"/>
      <c r="I78" s="22"/>
      <c r="J78" s="22"/>
      <c r="K78" s="22"/>
      <c r="L78" s="21"/>
      <c r="M78" s="20"/>
      <c r="N78" s="20"/>
      <c r="O78" s="23"/>
      <c r="P78" s="21"/>
      <c r="Q78" s="20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1"/>
      <c r="AU78" s="25" t="str">
        <f t="shared" si="2"/>
        <v>1Q42</v>
      </c>
      <c r="AV78" t="str">
        <f t="shared" si="3"/>
        <v>1Q42</v>
      </c>
      <c r="BA78">
        <f ca="1">IF(COUNTBLANK(C78)=0,COUNTA(INDIRECT(CONCATENATE("Area!",LEFT(ADDRESS(1,MATCH(C78,Area!$1:$1,0),4),1),"2:",LEFT(ADDRESS(1,MATCH(C78,Area!$1:$1,0),4),1),"99"))),0)</f>
        <v>0</v>
      </c>
      <c r="BB78">
        <f ca="1">IF(COUNTBLANK(D78)=0,COUNTA(INDIRECT(CONCATENATE("Setup!",LEFT(ADDRESS(1,MATCH(CONCATENATE(C78,":",D78),Setup!$1:$1,0),4),1),"2:",LEFT(ADDRESS(1,MATCH(CONCATENATE(C78,":",D78),Setup!$1:$1,0),4),1),"99"))),0)</f>
        <v>0</v>
      </c>
      <c r="BC78">
        <f ca="1">IF(COUNTBLANK(E78)=0,COUNTA(INDIRECT(CONCATENATE("Comp!",SUBSTITUTE(ADDRESS(1,MATCH(CONCATENATE(C78,":",D78,":",E78),Comp!$1:$1,0),4),"1",""),"2:",SUBSTITUTE(ADDRESS(1,MATCH(CONCATENATE(C78,":",D78,":",E78),Comp!$1:$1,0),4),"1",""),"99"))),0)</f>
        <v>0</v>
      </c>
    </row>
    <row r="79" spans="1:55">
      <c r="A79" s="20" t="s">
        <v>73</v>
      </c>
      <c r="B79" s="21"/>
      <c r="C79" s="20"/>
      <c r="D79" s="22"/>
      <c r="E79" s="22"/>
      <c r="F79" s="21"/>
      <c r="G79" s="23"/>
      <c r="H79" s="24"/>
      <c r="I79" s="22"/>
      <c r="J79" s="22"/>
      <c r="K79" s="22"/>
      <c r="L79" s="21"/>
      <c r="M79" s="20"/>
      <c r="N79" s="20"/>
      <c r="O79" s="23"/>
      <c r="P79" s="21"/>
      <c r="Q79" s="20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1"/>
      <c r="AU79" s="25" t="str">
        <f t="shared" si="2"/>
        <v>1Q42</v>
      </c>
      <c r="AV79" t="str">
        <f t="shared" si="3"/>
        <v>1Q42</v>
      </c>
      <c r="BA79">
        <f ca="1">IF(COUNTBLANK(C79)=0,COUNTA(INDIRECT(CONCATENATE("Area!",LEFT(ADDRESS(1,MATCH(C79,Area!$1:$1,0),4),1),"2:",LEFT(ADDRESS(1,MATCH(C79,Area!$1:$1,0),4),1),"99"))),0)</f>
        <v>0</v>
      </c>
      <c r="BB79">
        <f ca="1">IF(COUNTBLANK(D79)=0,COUNTA(INDIRECT(CONCATENATE("Setup!",LEFT(ADDRESS(1,MATCH(CONCATENATE(C79,":",D79),Setup!$1:$1,0),4),1),"2:",LEFT(ADDRESS(1,MATCH(CONCATENATE(C79,":",D79),Setup!$1:$1,0),4),1),"99"))),0)</f>
        <v>0</v>
      </c>
      <c r="BC79">
        <f ca="1">IF(COUNTBLANK(E79)=0,COUNTA(INDIRECT(CONCATENATE("Comp!",SUBSTITUTE(ADDRESS(1,MATCH(CONCATENATE(C79,":",D79,":",E79),Comp!$1:$1,0),4),"1",""),"2:",SUBSTITUTE(ADDRESS(1,MATCH(CONCATENATE(C79,":",D79,":",E79),Comp!$1:$1,0),4),"1",""),"99"))),0)</f>
        <v>0</v>
      </c>
    </row>
    <row r="80" spans="1:55">
      <c r="A80" s="20" t="s">
        <v>73</v>
      </c>
      <c r="B80" s="21"/>
      <c r="C80" s="20"/>
      <c r="D80" s="22"/>
      <c r="E80" s="22"/>
      <c r="F80" s="21"/>
      <c r="G80" s="23"/>
      <c r="H80" s="24"/>
      <c r="I80" s="22"/>
      <c r="J80" s="22"/>
      <c r="K80" s="22"/>
      <c r="L80" s="21"/>
      <c r="M80" s="20"/>
      <c r="N80" s="20"/>
      <c r="O80" s="23"/>
      <c r="P80" s="21"/>
      <c r="Q80" s="20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1"/>
      <c r="AU80" s="25" t="str">
        <f t="shared" si="2"/>
        <v>1Q42</v>
      </c>
      <c r="AV80" t="str">
        <f t="shared" si="3"/>
        <v>1Q42</v>
      </c>
      <c r="BA80">
        <f ca="1">IF(COUNTBLANK(C80)=0,COUNTA(INDIRECT(CONCATENATE("Area!",LEFT(ADDRESS(1,MATCH(C80,Area!$1:$1,0),4),1),"2:",LEFT(ADDRESS(1,MATCH(C80,Area!$1:$1,0),4),1),"99"))),0)</f>
        <v>0</v>
      </c>
      <c r="BB80">
        <f ca="1">IF(COUNTBLANK(D80)=0,COUNTA(INDIRECT(CONCATENATE("Setup!",LEFT(ADDRESS(1,MATCH(CONCATENATE(C80,":",D80),Setup!$1:$1,0),4),1),"2:",LEFT(ADDRESS(1,MATCH(CONCATENATE(C80,":",D80),Setup!$1:$1,0),4),1),"99"))),0)</f>
        <v>0</v>
      </c>
      <c r="BC80">
        <f ca="1">IF(COUNTBLANK(E80)=0,COUNTA(INDIRECT(CONCATENATE("Comp!",SUBSTITUTE(ADDRESS(1,MATCH(CONCATENATE(C80,":",D80,":",E80),Comp!$1:$1,0),4),"1",""),"2:",SUBSTITUTE(ADDRESS(1,MATCH(CONCATENATE(C80,":",D80,":",E80),Comp!$1:$1,0),4),"1",""),"99"))),0)</f>
        <v>0</v>
      </c>
    </row>
    <row r="81" spans="1:55">
      <c r="A81" s="20" t="s">
        <v>73</v>
      </c>
      <c r="B81" s="21"/>
      <c r="C81" s="20"/>
      <c r="D81" s="22"/>
      <c r="E81" s="22"/>
      <c r="F81" s="21"/>
      <c r="G81" s="23"/>
      <c r="H81" s="24"/>
      <c r="I81" s="22"/>
      <c r="J81" s="22"/>
      <c r="K81" s="22"/>
      <c r="L81" s="21"/>
      <c r="M81" s="20"/>
      <c r="N81" s="20"/>
      <c r="O81" s="23"/>
      <c r="P81" s="21"/>
      <c r="Q81" s="20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1"/>
      <c r="AU81" s="25" t="str">
        <f t="shared" si="2"/>
        <v>1Q42</v>
      </c>
      <c r="AV81" t="str">
        <f t="shared" si="3"/>
        <v>1Q42</v>
      </c>
      <c r="BA81">
        <f ca="1">IF(COUNTBLANK(C81)=0,COUNTA(INDIRECT(CONCATENATE("Area!",LEFT(ADDRESS(1,MATCH(C81,Area!$1:$1,0),4),1),"2:",LEFT(ADDRESS(1,MATCH(C81,Area!$1:$1,0),4),1),"99"))),0)</f>
        <v>0</v>
      </c>
      <c r="BB81">
        <f ca="1">IF(COUNTBLANK(D81)=0,COUNTA(INDIRECT(CONCATENATE("Setup!",LEFT(ADDRESS(1,MATCH(CONCATENATE(C81,":",D81),Setup!$1:$1,0),4),1),"2:",LEFT(ADDRESS(1,MATCH(CONCATENATE(C81,":",D81),Setup!$1:$1,0),4),1),"99"))),0)</f>
        <v>0</v>
      </c>
      <c r="BC81">
        <f ca="1">IF(COUNTBLANK(E81)=0,COUNTA(INDIRECT(CONCATENATE("Comp!",SUBSTITUTE(ADDRESS(1,MATCH(CONCATENATE(C81,":",D81,":",E81),Comp!$1:$1,0),4),"1",""),"2:",SUBSTITUTE(ADDRESS(1,MATCH(CONCATENATE(C81,":",D81,":",E81),Comp!$1:$1,0),4),"1",""),"99"))),0)</f>
        <v>0</v>
      </c>
    </row>
    <row r="82" spans="1:55">
      <c r="A82" s="20" t="s">
        <v>73</v>
      </c>
      <c r="B82" s="21"/>
      <c r="C82" s="20"/>
      <c r="D82" s="22"/>
      <c r="E82" s="22"/>
      <c r="F82" s="21"/>
      <c r="G82" s="23"/>
      <c r="H82" s="24"/>
      <c r="I82" s="22"/>
      <c r="J82" s="22"/>
      <c r="K82" s="22"/>
      <c r="L82" s="21"/>
      <c r="M82" s="20"/>
      <c r="N82" s="20"/>
      <c r="O82" s="23"/>
      <c r="P82" s="21"/>
      <c r="Q82" s="20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1"/>
      <c r="AU82" s="25" t="str">
        <f t="shared" si="2"/>
        <v>1Q42</v>
      </c>
      <c r="AV82" t="str">
        <f t="shared" si="3"/>
        <v>1Q42</v>
      </c>
      <c r="BA82">
        <f ca="1">IF(COUNTBLANK(C82)=0,COUNTA(INDIRECT(CONCATENATE("Area!",LEFT(ADDRESS(1,MATCH(C82,Area!$1:$1,0),4),1),"2:",LEFT(ADDRESS(1,MATCH(C82,Area!$1:$1,0),4),1),"99"))),0)</f>
        <v>0</v>
      </c>
      <c r="BB82">
        <f ca="1">IF(COUNTBLANK(D82)=0,COUNTA(INDIRECT(CONCATENATE("Setup!",LEFT(ADDRESS(1,MATCH(CONCATENATE(C82,":",D82),Setup!$1:$1,0),4),1),"2:",LEFT(ADDRESS(1,MATCH(CONCATENATE(C82,":",D82),Setup!$1:$1,0),4),1),"99"))),0)</f>
        <v>0</v>
      </c>
      <c r="BC82">
        <f ca="1">IF(COUNTBLANK(E82)=0,COUNTA(INDIRECT(CONCATENATE("Comp!",SUBSTITUTE(ADDRESS(1,MATCH(CONCATENATE(C82,":",D82,":",E82),Comp!$1:$1,0),4),"1",""),"2:",SUBSTITUTE(ADDRESS(1,MATCH(CONCATENATE(C82,":",D82,":",E82),Comp!$1:$1,0),4),"1",""),"99"))),0)</f>
        <v>0</v>
      </c>
    </row>
    <row r="83" spans="1:55">
      <c r="A83" s="20" t="s">
        <v>73</v>
      </c>
      <c r="B83" s="21"/>
      <c r="C83" s="20"/>
      <c r="D83" s="22"/>
      <c r="E83" s="22"/>
      <c r="F83" s="21"/>
      <c r="G83" s="23"/>
      <c r="H83" s="24"/>
      <c r="I83" s="22"/>
      <c r="J83" s="22"/>
      <c r="K83" s="22"/>
      <c r="L83" s="21"/>
      <c r="M83" s="20"/>
      <c r="N83" s="20"/>
      <c r="O83" s="23"/>
      <c r="P83" s="21"/>
      <c r="Q83" s="20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1"/>
      <c r="AU83" s="25" t="str">
        <f t="shared" si="2"/>
        <v>1Q42</v>
      </c>
      <c r="AV83" t="str">
        <f t="shared" si="3"/>
        <v>1Q42</v>
      </c>
      <c r="BA83">
        <f ca="1">IF(COUNTBLANK(C83)=0,COUNTA(INDIRECT(CONCATENATE("Area!",LEFT(ADDRESS(1,MATCH(C83,Area!$1:$1,0),4),1),"2:",LEFT(ADDRESS(1,MATCH(C83,Area!$1:$1,0),4),1),"99"))),0)</f>
        <v>0</v>
      </c>
      <c r="BB83">
        <f ca="1">IF(COUNTBLANK(D83)=0,COUNTA(INDIRECT(CONCATENATE("Setup!",LEFT(ADDRESS(1,MATCH(CONCATENATE(C83,":",D83),Setup!$1:$1,0),4),1),"2:",LEFT(ADDRESS(1,MATCH(CONCATENATE(C83,":",D83),Setup!$1:$1,0),4),1),"99"))),0)</f>
        <v>0</v>
      </c>
      <c r="BC83">
        <f ca="1">IF(COUNTBLANK(E83)=0,COUNTA(INDIRECT(CONCATENATE("Comp!",SUBSTITUTE(ADDRESS(1,MATCH(CONCATENATE(C83,":",D83,":",E83),Comp!$1:$1,0),4),"1",""),"2:",SUBSTITUTE(ADDRESS(1,MATCH(CONCATENATE(C83,":",D83,":",E83),Comp!$1:$1,0),4),"1",""),"99"))),0)</f>
        <v>0</v>
      </c>
    </row>
    <row r="84" spans="1:55">
      <c r="A84" s="20" t="s">
        <v>73</v>
      </c>
      <c r="B84" s="21"/>
      <c r="C84" s="20"/>
      <c r="D84" s="22"/>
      <c r="E84" s="22"/>
      <c r="F84" s="21"/>
      <c r="G84" s="23"/>
      <c r="H84" s="24"/>
      <c r="I84" s="22"/>
      <c r="J84" s="22"/>
      <c r="K84" s="22"/>
      <c r="L84" s="21"/>
      <c r="M84" s="20"/>
      <c r="N84" s="20"/>
      <c r="O84" s="23"/>
      <c r="P84" s="21"/>
      <c r="Q84" s="20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1"/>
      <c r="AU84" s="25" t="str">
        <f t="shared" si="2"/>
        <v>1Q42</v>
      </c>
      <c r="AV84" t="str">
        <f t="shared" si="3"/>
        <v>1Q42</v>
      </c>
      <c r="BA84">
        <f ca="1">IF(COUNTBLANK(C84)=0,COUNTA(INDIRECT(CONCATENATE("Area!",LEFT(ADDRESS(1,MATCH(C84,Area!$1:$1,0),4),1),"2:",LEFT(ADDRESS(1,MATCH(C84,Area!$1:$1,0),4),1),"99"))),0)</f>
        <v>0</v>
      </c>
      <c r="BB84">
        <f ca="1">IF(COUNTBLANK(D84)=0,COUNTA(INDIRECT(CONCATENATE("Setup!",LEFT(ADDRESS(1,MATCH(CONCATENATE(C84,":",D84),Setup!$1:$1,0),4),1),"2:",LEFT(ADDRESS(1,MATCH(CONCATENATE(C84,":",D84),Setup!$1:$1,0),4),1),"99"))),0)</f>
        <v>0</v>
      </c>
      <c r="BC84">
        <f ca="1">IF(COUNTBLANK(E84)=0,COUNTA(INDIRECT(CONCATENATE("Comp!",SUBSTITUTE(ADDRESS(1,MATCH(CONCATENATE(C84,":",D84,":",E84),Comp!$1:$1,0),4),"1",""),"2:",SUBSTITUTE(ADDRESS(1,MATCH(CONCATENATE(C84,":",D84,":",E84),Comp!$1:$1,0),4),"1",""),"99"))),0)</f>
        <v>0</v>
      </c>
    </row>
    <row r="85" spans="1:55">
      <c r="A85" s="20" t="s">
        <v>73</v>
      </c>
      <c r="B85" s="21"/>
      <c r="C85" s="20"/>
      <c r="D85" s="22"/>
      <c r="E85" s="22"/>
      <c r="F85" s="21"/>
      <c r="G85" s="23"/>
      <c r="H85" s="24"/>
      <c r="I85" s="22"/>
      <c r="J85" s="22"/>
      <c r="K85" s="22"/>
      <c r="L85" s="21"/>
      <c r="M85" s="20"/>
      <c r="N85" s="20"/>
      <c r="O85" s="23"/>
      <c r="P85" s="21"/>
      <c r="Q85" s="20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1"/>
      <c r="AU85" s="25" t="str">
        <f t="shared" si="2"/>
        <v>1Q42</v>
      </c>
      <c r="AV85" t="str">
        <f t="shared" si="3"/>
        <v>1Q42</v>
      </c>
      <c r="BA85">
        <f ca="1">IF(COUNTBLANK(C85)=0,COUNTA(INDIRECT(CONCATENATE("Area!",LEFT(ADDRESS(1,MATCH(C85,Area!$1:$1,0),4),1),"2:",LEFT(ADDRESS(1,MATCH(C85,Area!$1:$1,0),4),1),"99"))),0)</f>
        <v>0</v>
      </c>
      <c r="BB85">
        <f ca="1">IF(COUNTBLANK(D85)=0,COUNTA(INDIRECT(CONCATENATE("Setup!",LEFT(ADDRESS(1,MATCH(CONCATENATE(C85,":",D85),Setup!$1:$1,0),4),1),"2:",LEFT(ADDRESS(1,MATCH(CONCATENATE(C85,":",D85),Setup!$1:$1,0),4),1),"99"))),0)</f>
        <v>0</v>
      </c>
      <c r="BC85">
        <f ca="1">IF(COUNTBLANK(E85)=0,COUNTA(INDIRECT(CONCATENATE("Comp!",SUBSTITUTE(ADDRESS(1,MATCH(CONCATENATE(C85,":",D85,":",E85),Comp!$1:$1,0),4),"1",""),"2:",SUBSTITUTE(ADDRESS(1,MATCH(CONCATENATE(C85,":",D85,":",E85),Comp!$1:$1,0),4),"1",""),"99"))),0)</f>
        <v>0</v>
      </c>
    </row>
    <row r="86" spans="1:55">
      <c r="A86" s="20" t="s">
        <v>73</v>
      </c>
      <c r="B86" s="21"/>
      <c r="C86" s="20"/>
      <c r="D86" s="22"/>
      <c r="E86" s="22"/>
      <c r="F86" s="21"/>
      <c r="G86" s="23"/>
      <c r="H86" s="24"/>
      <c r="I86" s="22"/>
      <c r="J86" s="22"/>
      <c r="K86" s="22"/>
      <c r="L86" s="21"/>
      <c r="M86" s="20"/>
      <c r="N86" s="20"/>
      <c r="O86" s="23"/>
      <c r="P86" s="21"/>
      <c r="Q86" s="20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1"/>
      <c r="AU86" s="25" t="str">
        <f t="shared" si="2"/>
        <v>1Q42</v>
      </c>
      <c r="AV86" t="str">
        <f t="shared" si="3"/>
        <v>1Q42</v>
      </c>
      <c r="BA86">
        <f ca="1">IF(COUNTBLANK(C86)=0,COUNTA(INDIRECT(CONCATENATE("Area!",LEFT(ADDRESS(1,MATCH(C86,Area!$1:$1,0),4),1),"2:",LEFT(ADDRESS(1,MATCH(C86,Area!$1:$1,0),4),1),"99"))),0)</f>
        <v>0</v>
      </c>
      <c r="BB86">
        <f ca="1">IF(COUNTBLANK(D86)=0,COUNTA(INDIRECT(CONCATENATE("Setup!",LEFT(ADDRESS(1,MATCH(CONCATENATE(C86,":",D86),Setup!$1:$1,0),4),1),"2:",LEFT(ADDRESS(1,MATCH(CONCATENATE(C86,":",D86),Setup!$1:$1,0),4),1),"99"))),0)</f>
        <v>0</v>
      </c>
      <c r="BC86">
        <f ca="1">IF(COUNTBLANK(E86)=0,COUNTA(INDIRECT(CONCATENATE("Comp!",SUBSTITUTE(ADDRESS(1,MATCH(CONCATENATE(C86,":",D86,":",E86),Comp!$1:$1,0),4),"1",""),"2:",SUBSTITUTE(ADDRESS(1,MATCH(CONCATENATE(C86,":",D86,":",E86),Comp!$1:$1,0),4),"1",""),"99"))),0)</f>
        <v>0</v>
      </c>
    </row>
    <row r="87" spans="1:55">
      <c r="A87" s="20" t="s">
        <v>73</v>
      </c>
      <c r="B87" s="21"/>
      <c r="C87" s="20"/>
      <c r="D87" s="22"/>
      <c r="E87" s="22"/>
      <c r="F87" s="21"/>
      <c r="G87" s="23"/>
      <c r="H87" s="24"/>
      <c r="I87" s="22"/>
      <c r="J87" s="22"/>
      <c r="K87" s="22"/>
      <c r="L87" s="21"/>
      <c r="M87" s="20"/>
      <c r="N87" s="20"/>
      <c r="O87" s="23"/>
      <c r="P87" s="21"/>
      <c r="Q87" s="20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1"/>
      <c r="AU87" s="25" t="str">
        <f t="shared" si="2"/>
        <v>1Q42</v>
      </c>
      <c r="AV87" t="str">
        <f t="shared" si="3"/>
        <v>1Q42</v>
      </c>
      <c r="BA87">
        <f ca="1">IF(COUNTBLANK(C87)=0,COUNTA(INDIRECT(CONCATENATE("Area!",LEFT(ADDRESS(1,MATCH(C87,Area!$1:$1,0),4),1),"2:",LEFT(ADDRESS(1,MATCH(C87,Area!$1:$1,0),4),1),"99"))),0)</f>
        <v>0</v>
      </c>
      <c r="BB87">
        <f ca="1">IF(COUNTBLANK(D87)=0,COUNTA(INDIRECT(CONCATENATE("Setup!",LEFT(ADDRESS(1,MATCH(CONCATENATE(C87,":",D87),Setup!$1:$1,0),4),1),"2:",LEFT(ADDRESS(1,MATCH(CONCATENATE(C87,":",D87),Setup!$1:$1,0),4),1),"99"))),0)</f>
        <v>0</v>
      </c>
      <c r="BC87">
        <f ca="1">IF(COUNTBLANK(E87)=0,COUNTA(INDIRECT(CONCATENATE("Comp!",SUBSTITUTE(ADDRESS(1,MATCH(CONCATENATE(C87,":",D87,":",E87),Comp!$1:$1,0),4),"1",""),"2:",SUBSTITUTE(ADDRESS(1,MATCH(CONCATENATE(C87,":",D87,":",E87),Comp!$1:$1,0),4),"1",""),"99"))),0)</f>
        <v>0</v>
      </c>
    </row>
    <row r="88" spans="1:55">
      <c r="A88" s="20" t="s">
        <v>73</v>
      </c>
      <c r="B88" s="21"/>
      <c r="C88" s="20"/>
      <c r="D88" s="22"/>
      <c r="E88" s="22"/>
      <c r="F88" s="21"/>
      <c r="G88" s="23"/>
      <c r="H88" s="24"/>
      <c r="I88" s="22"/>
      <c r="J88" s="22"/>
      <c r="K88" s="22"/>
      <c r="L88" s="21"/>
      <c r="M88" s="20"/>
      <c r="N88" s="20"/>
      <c r="O88" s="23"/>
      <c r="P88" s="21"/>
      <c r="Q88" s="20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1"/>
      <c r="AU88" s="25" t="str">
        <f t="shared" si="2"/>
        <v>1Q42</v>
      </c>
      <c r="AV88" t="str">
        <f t="shared" si="3"/>
        <v>1Q42</v>
      </c>
      <c r="BA88">
        <f ca="1">IF(COUNTBLANK(C88)=0,COUNTA(INDIRECT(CONCATENATE("Area!",LEFT(ADDRESS(1,MATCH(C88,Area!$1:$1,0),4),1),"2:",LEFT(ADDRESS(1,MATCH(C88,Area!$1:$1,0),4),1),"99"))),0)</f>
        <v>0</v>
      </c>
      <c r="BB88">
        <f ca="1">IF(COUNTBLANK(D88)=0,COUNTA(INDIRECT(CONCATENATE("Setup!",LEFT(ADDRESS(1,MATCH(CONCATENATE(C88,":",D88),Setup!$1:$1,0),4),1),"2:",LEFT(ADDRESS(1,MATCH(CONCATENATE(C88,":",D88),Setup!$1:$1,0),4),1),"99"))),0)</f>
        <v>0</v>
      </c>
      <c r="BC88">
        <f ca="1">IF(COUNTBLANK(E88)=0,COUNTA(INDIRECT(CONCATENATE("Comp!",SUBSTITUTE(ADDRESS(1,MATCH(CONCATENATE(C88,":",D88,":",E88),Comp!$1:$1,0),4),"1",""),"2:",SUBSTITUTE(ADDRESS(1,MATCH(CONCATENATE(C88,":",D88,":",E88),Comp!$1:$1,0),4),"1",""),"99"))),0)</f>
        <v>0</v>
      </c>
    </row>
    <row r="89" spans="1:55">
      <c r="A89" s="20" t="s">
        <v>73</v>
      </c>
      <c r="B89" s="21"/>
      <c r="C89" s="20"/>
      <c r="D89" s="22"/>
      <c r="E89" s="22"/>
      <c r="F89" s="21"/>
      <c r="G89" s="23"/>
      <c r="H89" s="24"/>
      <c r="I89" s="22"/>
      <c r="J89" s="22"/>
      <c r="K89" s="22"/>
      <c r="L89" s="21"/>
      <c r="M89" s="20"/>
      <c r="N89" s="20"/>
      <c r="O89" s="23"/>
      <c r="P89" s="21"/>
      <c r="Q89" s="20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1"/>
      <c r="AU89" s="25" t="str">
        <f t="shared" si="2"/>
        <v>1Q42</v>
      </c>
      <c r="AV89" t="str">
        <f t="shared" si="3"/>
        <v>1Q42</v>
      </c>
      <c r="BA89">
        <f ca="1">IF(COUNTBLANK(C89)=0,COUNTA(INDIRECT(CONCATENATE("Area!",LEFT(ADDRESS(1,MATCH(C89,Area!$1:$1,0),4),1),"2:",LEFT(ADDRESS(1,MATCH(C89,Area!$1:$1,0),4),1),"99"))),0)</f>
        <v>0</v>
      </c>
      <c r="BB89">
        <f ca="1">IF(COUNTBLANK(D89)=0,COUNTA(INDIRECT(CONCATENATE("Setup!",LEFT(ADDRESS(1,MATCH(CONCATENATE(C89,":",D89),Setup!$1:$1,0),4),1),"2:",LEFT(ADDRESS(1,MATCH(CONCATENATE(C89,":",D89),Setup!$1:$1,0),4),1),"99"))),0)</f>
        <v>0</v>
      </c>
      <c r="BC89">
        <f ca="1">IF(COUNTBLANK(E89)=0,COUNTA(INDIRECT(CONCATENATE("Comp!",SUBSTITUTE(ADDRESS(1,MATCH(CONCATENATE(C89,":",D89,":",E89),Comp!$1:$1,0),4),"1",""),"2:",SUBSTITUTE(ADDRESS(1,MATCH(CONCATENATE(C89,":",D89,":",E89),Comp!$1:$1,0),4),"1",""),"99"))),0)</f>
        <v>0</v>
      </c>
    </row>
    <row r="90" spans="1:55">
      <c r="A90" s="20" t="s">
        <v>73</v>
      </c>
      <c r="B90" s="21"/>
      <c r="C90" s="20"/>
      <c r="D90" s="22"/>
      <c r="E90" s="22"/>
      <c r="F90" s="21"/>
      <c r="G90" s="23"/>
      <c r="H90" s="24"/>
      <c r="I90" s="22"/>
      <c r="J90" s="22"/>
      <c r="K90" s="22"/>
      <c r="L90" s="21"/>
      <c r="M90" s="20"/>
      <c r="N90" s="20"/>
      <c r="O90" s="23"/>
      <c r="P90" s="21"/>
      <c r="Q90" s="20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1"/>
      <c r="AU90" s="25" t="str">
        <f t="shared" si="2"/>
        <v>1Q42</v>
      </c>
      <c r="AV90" t="str">
        <f t="shared" si="3"/>
        <v>1Q42</v>
      </c>
      <c r="BA90">
        <f ca="1">IF(COUNTBLANK(C90)=0,COUNTA(INDIRECT(CONCATENATE("Area!",LEFT(ADDRESS(1,MATCH(C90,Area!$1:$1,0),4),1),"2:",LEFT(ADDRESS(1,MATCH(C90,Area!$1:$1,0),4),1),"99"))),0)</f>
        <v>0</v>
      </c>
      <c r="BB90">
        <f ca="1">IF(COUNTBLANK(D90)=0,COUNTA(INDIRECT(CONCATENATE("Setup!",LEFT(ADDRESS(1,MATCH(CONCATENATE(C90,":",D90),Setup!$1:$1,0),4),1),"2:",LEFT(ADDRESS(1,MATCH(CONCATENATE(C90,":",D90),Setup!$1:$1,0),4),1),"99"))),0)</f>
        <v>0</v>
      </c>
      <c r="BC90">
        <f ca="1">IF(COUNTBLANK(E90)=0,COUNTA(INDIRECT(CONCATENATE("Comp!",SUBSTITUTE(ADDRESS(1,MATCH(CONCATENATE(C90,":",D90,":",E90),Comp!$1:$1,0),4),"1",""),"2:",SUBSTITUTE(ADDRESS(1,MATCH(CONCATENATE(C90,":",D90,":",E90),Comp!$1:$1,0),4),"1",""),"99"))),0)</f>
        <v>0</v>
      </c>
    </row>
    <row r="91" spans="1:55">
      <c r="A91" s="20" t="s">
        <v>73</v>
      </c>
      <c r="B91" s="21"/>
      <c r="C91" s="20"/>
      <c r="D91" s="22"/>
      <c r="E91" s="22"/>
      <c r="F91" s="21"/>
      <c r="G91" s="23"/>
      <c r="H91" s="24"/>
      <c r="I91" s="22"/>
      <c r="J91" s="22"/>
      <c r="K91" s="22"/>
      <c r="L91" s="21"/>
      <c r="M91" s="20"/>
      <c r="N91" s="20"/>
      <c r="O91" s="23"/>
      <c r="P91" s="21"/>
      <c r="Q91" s="20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1"/>
      <c r="AU91" s="25" t="str">
        <f t="shared" si="2"/>
        <v>1Q42</v>
      </c>
      <c r="AV91" t="str">
        <f t="shared" si="3"/>
        <v>1Q42</v>
      </c>
      <c r="BA91">
        <f ca="1">IF(COUNTBLANK(C91)=0,COUNTA(INDIRECT(CONCATENATE("Area!",LEFT(ADDRESS(1,MATCH(C91,Area!$1:$1,0),4),1),"2:",LEFT(ADDRESS(1,MATCH(C91,Area!$1:$1,0),4),1),"99"))),0)</f>
        <v>0</v>
      </c>
      <c r="BB91">
        <f ca="1">IF(COUNTBLANK(D91)=0,COUNTA(INDIRECT(CONCATENATE("Setup!",LEFT(ADDRESS(1,MATCH(CONCATENATE(C91,":",D91),Setup!$1:$1,0),4),1),"2:",LEFT(ADDRESS(1,MATCH(CONCATENATE(C91,":",D91),Setup!$1:$1,0),4),1),"99"))),0)</f>
        <v>0</v>
      </c>
      <c r="BC91">
        <f ca="1">IF(COUNTBLANK(E91)=0,COUNTA(INDIRECT(CONCATENATE("Comp!",SUBSTITUTE(ADDRESS(1,MATCH(CONCATENATE(C91,":",D91,":",E91),Comp!$1:$1,0),4),"1",""),"2:",SUBSTITUTE(ADDRESS(1,MATCH(CONCATENATE(C91,":",D91,":",E91),Comp!$1:$1,0),4),"1",""),"99"))),0)</f>
        <v>0</v>
      </c>
    </row>
    <row r="92" spans="1:55">
      <c r="A92" s="20" t="s">
        <v>73</v>
      </c>
      <c r="B92" s="21"/>
      <c r="C92" s="20"/>
      <c r="D92" s="22"/>
      <c r="E92" s="22"/>
      <c r="F92" s="21"/>
      <c r="G92" s="23"/>
      <c r="H92" s="24"/>
      <c r="I92" s="22"/>
      <c r="J92" s="22"/>
      <c r="K92" s="22"/>
      <c r="L92" s="21"/>
      <c r="M92" s="20"/>
      <c r="N92" s="20"/>
      <c r="O92" s="23"/>
      <c r="P92" s="21"/>
      <c r="Q92" s="20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1"/>
      <c r="AU92" s="25" t="str">
        <f t="shared" si="2"/>
        <v>1Q42</v>
      </c>
      <c r="AV92" t="str">
        <f t="shared" si="3"/>
        <v>1Q42</v>
      </c>
      <c r="BA92">
        <f ca="1">IF(COUNTBLANK(C92)=0,COUNTA(INDIRECT(CONCATENATE("Area!",LEFT(ADDRESS(1,MATCH(C92,Area!$1:$1,0),4),1),"2:",LEFT(ADDRESS(1,MATCH(C92,Area!$1:$1,0),4),1),"99"))),0)</f>
        <v>0</v>
      </c>
      <c r="BB92">
        <f ca="1">IF(COUNTBLANK(D92)=0,COUNTA(INDIRECT(CONCATENATE("Setup!",LEFT(ADDRESS(1,MATCH(CONCATENATE(C92,":",D92),Setup!$1:$1,0),4),1),"2:",LEFT(ADDRESS(1,MATCH(CONCATENATE(C92,":",D92),Setup!$1:$1,0),4),1),"99"))),0)</f>
        <v>0</v>
      </c>
      <c r="BC92">
        <f ca="1">IF(COUNTBLANK(E92)=0,COUNTA(INDIRECT(CONCATENATE("Comp!",SUBSTITUTE(ADDRESS(1,MATCH(CONCATENATE(C92,":",D92,":",E92),Comp!$1:$1,0),4),"1",""),"2:",SUBSTITUTE(ADDRESS(1,MATCH(CONCATENATE(C92,":",D92,":",E92),Comp!$1:$1,0),4),"1",""),"99"))),0)</f>
        <v>0</v>
      </c>
    </row>
    <row r="93" spans="1:55">
      <c r="A93" s="20" t="s">
        <v>73</v>
      </c>
      <c r="B93" s="21"/>
      <c r="C93" s="20"/>
      <c r="D93" s="22"/>
      <c r="E93" s="22"/>
      <c r="F93" s="21"/>
      <c r="G93" s="23"/>
      <c r="H93" s="24"/>
      <c r="I93" s="22"/>
      <c r="J93" s="22"/>
      <c r="K93" s="22"/>
      <c r="L93" s="21"/>
      <c r="M93" s="20"/>
      <c r="N93" s="20"/>
      <c r="O93" s="23"/>
      <c r="P93" s="21"/>
      <c r="Q93" s="20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1"/>
      <c r="AU93" s="25" t="str">
        <f t="shared" si="2"/>
        <v>1Q42</v>
      </c>
      <c r="AV93" t="str">
        <f t="shared" si="3"/>
        <v>1Q42</v>
      </c>
      <c r="BA93">
        <f ca="1">IF(COUNTBLANK(C93)=0,COUNTA(INDIRECT(CONCATENATE("Area!",LEFT(ADDRESS(1,MATCH(C93,Area!$1:$1,0),4),1),"2:",LEFT(ADDRESS(1,MATCH(C93,Area!$1:$1,0),4),1),"99"))),0)</f>
        <v>0</v>
      </c>
      <c r="BB93">
        <f ca="1">IF(COUNTBLANK(D93)=0,COUNTA(INDIRECT(CONCATENATE("Setup!",LEFT(ADDRESS(1,MATCH(CONCATENATE(C93,":",D93),Setup!$1:$1,0),4),1),"2:",LEFT(ADDRESS(1,MATCH(CONCATENATE(C93,":",D93),Setup!$1:$1,0),4),1),"99"))),0)</f>
        <v>0</v>
      </c>
      <c r="BC93">
        <f ca="1">IF(COUNTBLANK(E93)=0,COUNTA(INDIRECT(CONCATENATE("Comp!",SUBSTITUTE(ADDRESS(1,MATCH(CONCATENATE(C93,":",D93,":",E93),Comp!$1:$1,0),4),"1",""),"2:",SUBSTITUTE(ADDRESS(1,MATCH(CONCATENATE(C93,":",D93,":",E93),Comp!$1:$1,0),4),"1",""),"99"))),0)</f>
        <v>0</v>
      </c>
    </row>
    <row r="94" spans="1:55">
      <c r="A94" s="20" t="s">
        <v>73</v>
      </c>
      <c r="B94" s="21"/>
      <c r="C94" s="20"/>
      <c r="D94" s="22"/>
      <c r="E94" s="22"/>
      <c r="F94" s="21"/>
      <c r="G94" s="23"/>
      <c r="H94" s="24"/>
      <c r="I94" s="22"/>
      <c r="J94" s="22"/>
      <c r="K94" s="22"/>
      <c r="L94" s="21"/>
      <c r="M94" s="20"/>
      <c r="N94" s="20"/>
      <c r="O94" s="23"/>
      <c r="P94" s="21"/>
      <c r="Q94" s="20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1"/>
      <c r="AU94" s="25" t="str">
        <f t="shared" si="2"/>
        <v>1Q42</v>
      </c>
      <c r="AV94" t="str">
        <f t="shared" si="3"/>
        <v>1Q42</v>
      </c>
      <c r="BA94">
        <f ca="1">IF(COUNTBLANK(C94)=0,COUNTA(INDIRECT(CONCATENATE("Area!",LEFT(ADDRESS(1,MATCH(C94,Area!$1:$1,0),4),1),"2:",LEFT(ADDRESS(1,MATCH(C94,Area!$1:$1,0),4),1),"99"))),0)</f>
        <v>0</v>
      </c>
      <c r="BB94">
        <f ca="1">IF(COUNTBLANK(D94)=0,COUNTA(INDIRECT(CONCATENATE("Setup!",LEFT(ADDRESS(1,MATCH(CONCATENATE(C94,":",D94),Setup!$1:$1,0),4),1),"2:",LEFT(ADDRESS(1,MATCH(CONCATENATE(C94,":",D94),Setup!$1:$1,0),4),1),"99"))),0)</f>
        <v>0</v>
      </c>
      <c r="BC94">
        <f ca="1">IF(COUNTBLANK(E94)=0,COUNTA(INDIRECT(CONCATENATE("Comp!",SUBSTITUTE(ADDRESS(1,MATCH(CONCATENATE(C94,":",D94,":",E94),Comp!$1:$1,0),4),"1",""),"2:",SUBSTITUTE(ADDRESS(1,MATCH(CONCATENATE(C94,":",D94,":",E94),Comp!$1:$1,0),4),"1",""),"99"))),0)</f>
        <v>0</v>
      </c>
    </row>
    <row r="95" spans="1:55">
      <c r="A95" s="20" t="s">
        <v>73</v>
      </c>
      <c r="B95" s="21"/>
      <c r="C95" s="20"/>
      <c r="D95" s="22"/>
      <c r="E95" s="22"/>
      <c r="F95" s="21"/>
      <c r="G95" s="23"/>
      <c r="H95" s="24"/>
      <c r="I95" s="22"/>
      <c r="J95" s="22"/>
      <c r="K95" s="22"/>
      <c r="L95" s="21"/>
      <c r="M95" s="20"/>
      <c r="N95" s="20"/>
      <c r="O95" s="23"/>
      <c r="P95" s="21"/>
      <c r="Q95" s="20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1"/>
      <c r="AU95" s="25" t="str">
        <f t="shared" si="2"/>
        <v>1Q42</v>
      </c>
      <c r="AV95" t="str">
        <f t="shared" si="3"/>
        <v>1Q42</v>
      </c>
      <c r="BA95">
        <f ca="1">IF(COUNTBLANK(C95)=0,COUNTA(INDIRECT(CONCATENATE("Area!",LEFT(ADDRESS(1,MATCH(C95,Area!$1:$1,0),4),1),"2:",LEFT(ADDRESS(1,MATCH(C95,Area!$1:$1,0),4),1),"99"))),0)</f>
        <v>0</v>
      </c>
      <c r="BB95">
        <f ca="1">IF(COUNTBLANK(D95)=0,COUNTA(INDIRECT(CONCATENATE("Setup!",LEFT(ADDRESS(1,MATCH(CONCATENATE(C95,":",D95),Setup!$1:$1,0),4),1),"2:",LEFT(ADDRESS(1,MATCH(CONCATENATE(C95,":",D95),Setup!$1:$1,0),4),1),"99"))),0)</f>
        <v>0</v>
      </c>
      <c r="BC95">
        <f ca="1">IF(COUNTBLANK(E95)=0,COUNTA(INDIRECT(CONCATENATE("Comp!",SUBSTITUTE(ADDRESS(1,MATCH(CONCATENATE(C95,":",D95,":",E95),Comp!$1:$1,0),4),"1",""),"2:",SUBSTITUTE(ADDRESS(1,MATCH(CONCATENATE(C95,":",D95,":",E95),Comp!$1:$1,0),4),"1",""),"99"))),0)</f>
        <v>0</v>
      </c>
    </row>
    <row r="96" spans="1:55">
      <c r="A96" s="20" t="s">
        <v>73</v>
      </c>
      <c r="B96" s="21"/>
      <c r="C96" s="20"/>
      <c r="D96" s="22"/>
      <c r="E96" s="22"/>
      <c r="F96" s="21"/>
      <c r="G96" s="23"/>
      <c r="H96" s="24"/>
      <c r="I96" s="22"/>
      <c r="J96" s="22"/>
      <c r="K96" s="22"/>
      <c r="L96" s="21"/>
      <c r="M96" s="20"/>
      <c r="N96" s="20"/>
      <c r="O96" s="23"/>
      <c r="P96" s="21"/>
      <c r="Q96" s="20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1"/>
      <c r="AU96" s="25" t="str">
        <f t="shared" si="2"/>
        <v>1Q42</v>
      </c>
      <c r="AV96" t="str">
        <f t="shared" si="3"/>
        <v>1Q42</v>
      </c>
      <c r="BA96">
        <f ca="1">IF(COUNTBLANK(C96)=0,COUNTA(INDIRECT(CONCATENATE("Area!",LEFT(ADDRESS(1,MATCH(C96,Area!$1:$1,0),4),1),"2:",LEFT(ADDRESS(1,MATCH(C96,Area!$1:$1,0),4),1),"99"))),0)</f>
        <v>0</v>
      </c>
      <c r="BB96">
        <f ca="1">IF(COUNTBLANK(D96)=0,COUNTA(INDIRECT(CONCATENATE("Setup!",LEFT(ADDRESS(1,MATCH(CONCATENATE(C96,":",D96),Setup!$1:$1,0),4),1),"2:",LEFT(ADDRESS(1,MATCH(CONCATENATE(C96,":",D96),Setup!$1:$1,0),4),1),"99"))),0)</f>
        <v>0</v>
      </c>
      <c r="BC96">
        <f ca="1">IF(COUNTBLANK(E96)=0,COUNTA(INDIRECT(CONCATENATE("Comp!",SUBSTITUTE(ADDRESS(1,MATCH(CONCATENATE(C96,":",D96,":",E96),Comp!$1:$1,0),4),"1",""),"2:",SUBSTITUTE(ADDRESS(1,MATCH(CONCATENATE(C96,":",D96,":",E96),Comp!$1:$1,0),4),"1",""),"99"))),0)</f>
        <v>0</v>
      </c>
    </row>
    <row r="97" spans="1:55">
      <c r="A97" s="20" t="s">
        <v>73</v>
      </c>
      <c r="B97" s="21"/>
      <c r="C97" s="20"/>
      <c r="D97" s="22"/>
      <c r="E97" s="22"/>
      <c r="F97" s="21"/>
      <c r="G97" s="23"/>
      <c r="H97" s="24"/>
      <c r="I97" s="22"/>
      <c r="J97" s="22"/>
      <c r="K97" s="22"/>
      <c r="L97" s="21"/>
      <c r="M97" s="20"/>
      <c r="N97" s="20"/>
      <c r="O97" s="23"/>
      <c r="P97" s="21"/>
      <c r="Q97" s="20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1"/>
      <c r="AU97" s="25" t="str">
        <f t="shared" si="2"/>
        <v>1Q42</v>
      </c>
      <c r="AV97" t="str">
        <f t="shared" si="3"/>
        <v>1Q42</v>
      </c>
      <c r="BA97">
        <f ca="1">IF(COUNTBLANK(C97)=0,COUNTA(INDIRECT(CONCATENATE("Area!",LEFT(ADDRESS(1,MATCH(C97,Area!$1:$1,0),4),1),"2:",LEFT(ADDRESS(1,MATCH(C97,Area!$1:$1,0),4),1),"99"))),0)</f>
        <v>0</v>
      </c>
      <c r="BB97">
        <f ca="1">IF(COUNTBLANK(D97)=0,COUNTA(INDIRECT(CONCATENATE("Setup!",LEFT(ADDRESS(1,MATCH(CONCATENATE(C97,":",D97),Setup!$1:$1,0),4),1),"2:",LEFT(ADDRESS(1,MATCH(CONCATENATE(C97,":",D97),Setup!$1:$1,0),4),1),"99"))),0)</f>
        <v>0</v>
      </c>
      <c r="BC97">
        <f ca="1">IF(COUNTBLANK(E97)=0,COUNTA(INDIRECT(CONCATENATE("Comp!",SUBSTITUTE(ADDRESS(1,MATCH(CONCATENATE(C97,":",D97,":",E97),Comp!$1:$1,0),4),"1",""),"2:",SUBSTITUTE(ADDRESS(1,MATCH(CONCATENATE(C97,":",D97,":",E97),Comp!$1:$1,0),4),"1",""),"99"))),0)</f>
        <v>0</v>
      </c>
    </row>
    <row r="98" spans="1:55">
      <c r="A98" s="20" t="s">
        <v>73</v>
      </c>
      <c r="B98" s="21"/>
      <c r="C98" s="20"/>
      <c r="D98" s="22"/>
      <c r="E98" s="22"/>
      <c r="F98" s="21"/>
      <c r="G98" s="23"/>
      <c r="H98" s="24"/>
      <c r="I98" s="22"/>
      <c r="J98" s="22"/>
      <c r="K98" s="22"/>
      <c r="L98" s="21"/>
      <c r="M98" s="20"/>
      <c r="N98" s="20"/>
      <c r="O98" s="23"/>
      <c r="P98" s="21"/>
      <c r="Q98" s="20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1"/>
      <c r="AU98" s="25" t="str">
        <f t="shared" si="2"/>
        <v>1Q42</v>
      </c>
      <c r="AV98" t="str">
        <f t="shared" si="3"/>
        <v>1Q42</v>
      </c>
      <c r="BA98">
        <f ca="1">IF(COUNTBLANK(C98)=0,COUNTA(INDIRECT(CONCATENATE("Area!",LEFT(ADDRESS(1,MATCH(C98,Area!$1:$1,0),4),1),"2:",LEFT(ADDRESS(1,MATCH(C98,Area!$1:$1,0),4),1),"99"))),0)</f>
        <v>0</v>
      </c>
      <c r="BB98">
        <f ca="1">IF(COUNTBLANK(D98)=0,COUNTA(INDIRECT(CONCATENATE("Setup!",LEFT(ADDRESS(1,MATCH(CONCATENATE(C98,":",D98),Setup!$1:$1,0),4),1),"2:",LEFT(ADDRESS(1,MATCH(CONCATENATE(C98,":",D98),Setup!$1:$1,0),4),1),"99"))),0)</f>
        <v>0</v>
      </c>
      <c r="BC98">
        <f ca="1">IF(COUNTBLANK(E98)=0,COUNTA(INDIRECT(CONCATENATE("Comp!",SUBSTITUTE(ADDRESS(1,MATCH(CONCATENATE(C98,":",D98,":",E98),Comp!$1:$1,0),4),"1",""),"2:",SUBSTITUTE(ADDRESS(1,MATCH(CONCATENATE(C98,":",D98,":",E98),Comp!$1:$1,0),4),"1",""),"99"))),0)</f>
        <v>0</v>
      </c>
    </row>
    <row r="99" spans="1:55">
      <c r="A99" s="20" t="s">
        <v>73</v>
      </c>
      <c r="B99" s="21"/>
      <c r="C99" s="20"/>
      <c r="D99" s="22"/>
      <c r="E99" s="22"/>
      <c r="F99" s="21"/>
      <c r="G99" s="23"/>
      <c r="H99" s="24"/>
      <c r="I99" s="22"/>
      <c r="J99" s="22"/>
      <c r="K99" s="22"/>
      <c r="L99" s="21"/>
      <c r="M99" s="20"/>
      <c r="N99" s="20"/>
      <c r="O99" s="23"/>
      <c r="P99" s="21"/>
      <c r="Q99" s="20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1"/>
      <c r="AU99" s="25" t="str">
        <f t="shared" si="2"/>
        <v>1Q42</v>
      </c>
      <c r="AV99" t="str">
        <f t="shared" si="3"/>
        <v>1Q42</v>
      </c>
      <c r="BA99">
        <f ca="1">IF(COUNTBLANK(C99)=0,COUNTA(INDIRECT(CONCATENATE("Area!",LEFT(ADDRESS(1,MATCH(C99,Area!$1:$1,0),4),1),"2:",LEFT(ADDRESS(1,MATCH(C99,Area!$1:$1,0),4),1),"99"))),0)</f>
        <v>0</v>
      </c>
      <c r="BB99">
        <f ca="1">IF(COUNTBLANK(D99)=0,COUNTA(INDIRECT(CONCATENATE("Setup!",LEFT(ADDRESS(1,MATCH(CONCATENATE(C99,":",D99),Setup!$1:$1,0),4),1),"2:",LEFT(ADDRESS(1,MATCH(CONCATENATE(C99,":",D99),Setup!$1:$1,0),4),1),"99"))),0)</f>
        <v>0</v>
      </c>
      <c r="BC99">
        <f ca="1">IF(COUNTBLANK(E99)=0,COUNTA(INDIRECT(CONCATENATE("Comp!",SUBSTITUTE(ADDRESS(1,MATCH(CONCATENATE(C99,":",D99,":",E99),Comp!$1:$1,0),4),"1",""),"2:",SUBSTITUTE(ADDRESS(1,MATCH(CONCATENATE(C99,":",D99,":",E99),Comp!$1:$1,0),4),"1",""),"99"))),0)</f>
        <v>0</v>
      </c>
    </row>
    <row r="100" spans="1:55">
      <c r="A100" s="20" t="s">
        <v>73</v>
      </c>
      <c r="B100" s="21"/>
      <c r="C100" s="20"/>
      <c r="D100" s="22"/>
      <c r="E100" s="22"/>
      <c r="F100" s="21"/>
      <c r="G100" s="23"/>
      <c r="H100" s="24"/>
      <c r="I100" s="22"/>
      <c r="J100" s="22"/>
      <c r="K100" s="22"/>
      <c r="L100" s="21"/>
      <c r="M100" s="20"/>
      <c r="N100" s="20"/>
      <c r="O100" s="23"/>
      <c r="P100" s="21"/>
      <c r="Q100" s="20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1"/>
      <c r="AU100" s="25" t="str">
        <f t="shared" si="2"/>
        <v>1Q42</v>
      </c>
      <c r="AV100" t="str">
        <f t="shared" si="3"/>
        <v>1Q42</v>
      </c>
      <c r="BA100">
        <f ca="1">IF(COUNTBLANK(C100)=0,COUNTA(INDIRECT(CONCATENATE("Area!",LEFT(ADDRESS(1,MATCH(C100,Area!$1:$1,0),4),1),"2:",LEFT(ADDRESS(1,MATCH(C100,Area!$1:$1,0),4),1),"99"))),0)</f>
        <v>0</v>
      </c>
      <c r="BB100">
        <f ca="1">IF(COUNTBLANK(D100)=0,COUNTA(INDIRECT(CONCATENATE("Setup!",LEFT(ADDRESS(1,MATCH(CONCATENATE(C100,":",D100),Setup!$1:$1,0),4),1),"2:",LEFT(ADDRESS(1,MATCH(CONCATENATE(C100,":",D100),Setup!$1:$1,0),4),1),"99"))),0)</f>
        <v>0</v>
      </c>
      <c r="BC100">
        <f ca="1">IF(COUNTBLANK(E100)=0,COUNTA(INDIRECT(CONCATENATE("Comp!",SUBSTITUTE(ADDRESS(1,MATCH(CONCATENATE(C100,":",D100,":",E100),Comp!$1:$1,0),4),"1",""),"2:",SUBSTITUTE(ADDRESS(1,MATCH(CONCATENATE(C100,":",D100,":",E100),Comp!$1:$1,0),4),"1",""),"99"))),0)</f>
        <v>0</v>
      </c>
    </row>
    <row r="101" spans="1:55">
      <c r="A101" s="20" t="s">
        <v>73</v>
      </c>
      <c r="B101" s="21"/>
      <c r="C101" s="20"/>
      <c r="D101" s="22"/>
      <c r="E101" s="22"/>
      <c r="F101" s="21"/>
      <c r="G101" s="23"/>
      <c r="H101" s="24"/>
      <c r="I101" s="22"/>
      <c r="J101" s="22"/>
      <c r="K101" s="22"/>
      <c r="L101" s="21"/>
      <c r="M101" s="20"/>
      <c r="N101" s="20"/>
      <c r="O101" s="23"/>
      <c r="P101" s="21"/>
      <c r="Q101" s="20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1"/>
      <c r="AU101" s="25" t="str">
        <f t="shared" si="2"/>
        <v>1Q42</v>
      </c>
      <c r="AV101" t="str">
        <f t="shared" si="3"/>
        <v>1Q42</v>
      </c>
      <c r="BA101">
        <f ca="1">IF(COUNTBLANK(C101)=0,COUNTA(INDIRECT(CONCATENATE("Area!",LEFT(ADDRESS(1,MATCH(C101,Area!$1:$1,0),4),1),"2:",LEFT(ADDRESS(1,MATCH(C101,Area!$1:$1,0),4),1),"99"))),0)</f>
        <v>0</v>
      </c>
      <c r="BB101">
        <f ca="1">IF(COUNTBLANK(D101)=0,COUNTA(INDIRECT(CONCATENATE("Setup!",LEFT(ADDRESS(1,MATCH(CONCATENATE(C101,":",D101),Setup!$1:$1,0),4),1),"2:",LEFT(ADDRESS(1,MATCH(CONCATENATE(C101,":",D101),Setup!$1:$1,0),4),1),"99"))),0)</f>
        <v>0</v>
      </c>
      <c r="BC101">
        <f ca="1">IF(COUNTBLANK(E101)=0,COUNTA(INDIRECT(CONCATENATE("Comp!",SUBSTITUTE(ADDRESS(1,MATCH(CONCATENATE(C101,":",D101,":",E101),Comp!$1:$1,0),4),"1",""),"2:",SUBSTITUTE(ADDRESS(1,MATCH(CONCATENATE(C101,":",D101,":",E101),Comp!$1:$1,0),4),"1",""),"99"))),0)</f>
        <v>0</v>
      </c>
    </row>
    <row r="102" spans="1:55">
      <c r="A102" s="20" t="s">
        <v>73</v>
      </c>
      <c r="B102" s="21"/>
      <c r="C102" s="20"/>
      <c r="D102" s="22"/>
      <c r="E102" s="22"/>
      <c r="F102" s="21"/>
      <c r="G102" s="23"/>
      <c r="H102" s="24"/>
      <c r="I102" s="22"/>
      <c r="J102" s="22"/>
      <c r="K102" s="22"/>
      <c r="L102" s="21"/>
      <c r="M102" s="20"/>
      <c r="N102" s="20"/>
      <c r="O102" s="23"/>
      <c r="P102" s="21"/>
      <c r="Q102" s="20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1"/>
      <c r="AU102" s="25" t="str">
        <f t="shared" si="2"/>
        <v>1Q42</v>
      </c>
      <c r="AV102" t="str">
        <f t="shared" si="3"/>
        <v>1Q42</v>
      </c>
      <c r="BA102">
        <f ca="1">IF(COUNTBLANK(C102)=0,COUNTA(INDIRECT(CONCATENATE("Area!",LEFT(ADDRESS(1,MATCH(C102,Area!$1:$1,0),4),1),"2:",LEFT(ADDRESS(1,MATCH(C102,Area!$1:$1,0),4),1),"99"))),0)</f>
        <v>0</v>
      </c>
      <c r="BB102">
        <f ca="1">IF(COUNTBLANK(D102)=0,COUNTA(INDIRECT(CONCATENATE("Setup!",LEFT(ADDRESS(1,MATCH(CONCATENATE(C102,":",D102),Setup!$1:$1,0),4),1),"2:",LEFT(ADDRESS(1,MATCH(CONCATENATE(C102,":",D102),Setup!$1:$1,0),4),1),"99"))),0)</f>
        <v>0</v>
      </c>
      <c r="BC102">
        <f ca="1">IF(COUNTBLANK(E102)=0,COUNTA(INDIRECT(CONCATENATE("Comp!",SUBSTITUTE(ADDRESS(1,MATCH(CONCATENATE(C102,":",D102,":",E102),Comp!$1:$1,0),4),"1",""),"2:",SUBSTITUTE(ADDRESS(1,MATCH(CONCATENATE(C102,":",D102,":",E102),Comp!$1:$1,0),4),"1",""),"99"))),0)</f>
        <v>0</v>
      </c>
    </row>
    <row r="103" spans="1:55">
      <c r="A103" s="20" t="s">
        <v>73</v>
      </c>
      <c r="B103" s="21"/>
      <c r="C103" s="20"/>
      <c r="D103" s="22"/>
      <c r="E103" s="22"/>
      <c r="F103" s="21"/>
      <c r="G103" s="23"/>
      <c r="H103" s="24"/>
      <c r="I103" s="22"/>
      <c r="J103" s="22"/>
      <c r="K103" s="22"/>
      <c r="L103" s="21"/>
      <c r="M103" s="20"/>
      <c r="N103" s="20"/>
      <c r="O103" s="23"/>
      <c r="P103" s="21"/>
      <c r="Q103" s="20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1"/>
      <c r="AU103" s="25" t="str">
        <f t="shared" si="2"/>
        <v>1Q42</v>
      </c>
      <c r="AV103" t="str">
        <f t="shared" si="3"/>
        <v>1Q42</v>
      </c>
      <c r="BA103">
        <f ca="1">IF(COUNTBLANK(C103)=0,COUNTA(INDIRECT(CONCATENATE("Area!",LEFT(ADDRESS(1,MATCH(C103,Area!$1:$1,0),4),1),"2:",LEFT(ADDRESS(1,MATCH(C103,Area!$1:$1,0),4),1),"99"))),0)</f>
        <v>0</v>
      </c>
      <c r="BB103">
        <f ca="1">IF(COUNTBLANK(D103)=0,COUNTA(INDIRECT(CONCATENATE("Setup!",LEFT(ADDRESS(1,MATCH(CONCATENATE(C103,":",D103),Setup!$1:$1,0),4),1),"2:",LEFT(ADDRESS(1,MATCH(CONCATENATE(C103,":",D103),Setup!$1:$1,0),4),1),"99"))),0)</f>
        <v>0</v>
      </c>
      <c r="BC103">
        <f ca="1">IF(COUNTBLANK(E103)=0,COUNTA(INDIRECT(CONCATENATE("Comp!",SUBSTITUTE(ADDRESS(1,MATCH(CONCATENATE(C103,":",D103,":",E103),Comp!$1:$1,0),4),"1",""),"2:",SUBSTITUTE(ADDRESS(1,MATCH(CONCATENATE(C103,":",D103,":",E103),Comp!$1:$1,0),4),"1",""),"99"))),0)</f>
        <v>0</v>
      </c>
    </row>
    <row r="104" spans="1:55">
      <c r="A104" s="20" t="s">
        <v>73</v>
      </c>
      <c r="B104" s="21"/>
      <c r="C104" s="20"/>
      <c r="D104" s="22"/>
      <c r="E104" s="22"/>
      <c r="F104" s="21"/>
      <c r="G104" s="23"/>
      <c r="H104" s="24"/>
      <c r="I104" s="22"/>
      <c r="J104" s="22"/>
      <c r="K104" s="22"/>
      <c r="L104" s="21"/>
      <c r="M104" s="20"/>
      <c r="N104" s="20"/>
      <c r="O104" s="23"/>
      <c r="P104" s="21"/>
      <c r="Q104" s="20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1"/>
      <c r="AU104" s="25" t="str">
        <f t="shared" si="2"/>
        <v>1Q42</v>
      </c>
      <c r="AV104" t="str">
        <f t="shared" si="3"/>
        <v>1Q42</v>
      </c>
      <c r="BA104">
        <f ca="1">IF(COUNTBLANK(C104)=0,COUNTA(INDIRECT(CONCATENATE("Area!",LEFT(ADDRESS(1,MATCH(C104,Area!$1:$1,0),4),1),"2:",LEFT(ADDRESS(1,MATCH(C104,Area!$1:$1,0),4),1),"99"))),0)</f>
        <v>0</v>
      </c>
      <c r="BB104">
        <f ca="1">IF(COUNTBLANK(D104)=0,COUNTA(INDIRECT(CONCATENATE("Setup!",LEFT(ADDRESS(1,MATCH(CONCATENATE(C104,":",D104),Setup!$1:$1,0),4),1),"2:",LEFT(ADDRESS(1,MATCH(CONCATENATE(C104,":",D104),Setup!$1:$1,0),4),1),"99"))),0)</f>
        <v>0</v>
      </c>
      <c r="BC104">
        <f ca="1">IF(COUNTBLANK(E104)=0,COUNTA(INDIRECT(CONCATENATE("Comp!",SUBSTITUTE(ADDRESS(1,MATCH(CONCATENATE(C104,":",D104,":",E104),Comp!$1:$1,0),4),"1",""),"2:",SUBSTITUTE(ADDRESS(1,MATCH(CONCATENATE(C104,":",D104,":",E104),Comp!$1:$1,0),4),"1",""),"99"))),0)</f>
        <v>0</v>
      </c>
    </row>
    <row r="105" spans="1:55">
      <c r="A105" s="20" t="s">
        <v>73</v>
      </c>
      <c r="B105" s="21"/>
      <c r="C105" s="20"/>
      <c r="D105" s="22"/>
      <c r="E105" s="22"/>
      <c r="F105" s="21"/>
      <c r="G105" s="23"/>
      <c r="H105" s="24"/>
      <c r="I105" s="22"/>
      <c r="J105" s="22"/>
      <c r="K105" s="22"/>
      <c r="L105" s="21"/>
      <c r="M105" s="20"/>
      <c r="N105" s="20"/>
      <c r="O105" s="23"/>
      <c r="P105" s="21"/>
      <c r="Q105" s="20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1"/>
      <c r="AU105" s="25" t="str">
        <f t="shared" si="2"/>
        <v>1Q42</v>
      </c>
      <c r="AV105" t="str">
        <f t="shared" si="3"/>
        <v>1Q42</v>
      </c>
      <c r="BA105">
        <f ca="1">IF(COUNTBLANK(C105)=0,COUNTA(INDIRECT(CONCATENATE("Area!",LEFT(ADDRESS(1,MATCH(C105,Area!$1:$1,0),4),1),"2:",LEFT(ADDRESS(1,MATCH(C105,Area!$1:$1,0),4),1),"99"))),0)</f>
        <v>0</v>
      </c>
      <c r="BB105">
        <f ca="1">IF(COUNTBLANK(D105)=0,COUNTA(INDIRECT(CONCATENATE("Setup!",LEFT(ADDRESS(1,MATCH(CONCATENATE(C105,":",D105),Setup!$1:$1,0),4),1),"2:",LEFT(ADDRESS(1,MATCH(CONCATENATE(C105,":",D105),Setup!$1:$1,0),4),1),"99"))),0)</f>
        <v>0</v>
      </c>
      <c r="BC105">
        <f ca="1">IF(COUNTBLANK(E105)=0,COUNTA(INDIRECT(CONCATENATE("Comp!",SUBSTITUTE(ADDRESS(1,MATCH(CONCATENATE(C105,":",D105,":",E105),Comp!$1:$1,0),4),"1",""),"2:",SUBSTITUTE(ADDRESS(1,MATCH(CONCATENATE(C105,":",D105,":",E105),Comp!$1:$1,0),4),"1",""),"99"))),0)</f>
        <v>0</v>
      </c>
    </row>
    <row r="106" spans="1:55">
      <c r="A106" s="20" t="s">
        <v>73</v>
      </c>
      <c r="B106" s="21"/>
      <c r="C106" s="20"/>
      <c r="D106" s="22"/>
      <c r="E106" s="22"/>
      <c r="F106" s="21"/>
      <c r="G106" s="23"/>
      <c r="H106" s="24"/>
      <c r="I106" s="22"/>
      <c r="J106" s="22"/>
      <c r="K106" s="22"/>
      <c r="L106" s="21"/>
      <c r="M106" s="20"/>
      <c r="N106" s="20"/>
      <c r="O106" s="23"/>
      <c r="P106" s="21"/>
      <c r="Q106" s="20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1"/>
      <c r="AU106" s="25" t="str">
        <f t="shared" si="2"/>
        <v>1Q42</v>
      </c>
      <c r="AV106" t="str">
        <f t="shared" si="3"/>
        <v>1Q42</v>
      </c>
      <c r="BA106">
        <f ca="1">IF(COUNTBLANK(C106)=0,COUNTA(INDIRECT(CONCATENATE("Area!",LEFT(ADDRESS(1,MATCH(C106,Area!$1:$1,0),4),1),"2:",LEFT(ADDRESS(1,MATCH(C106,Area!$1:$1,0),4),1),"99"))),0)</f>
        <v>0</v>
      </c>
      <c r="BB106">
        <f ca="1">IF(COUNTBLANK(D106)=0,COUNTA(INDIRECT(CONCATENATE("Setup!",LEFT(ADDRESS(1,MATCH(CONCATENATE(C106,":",D106),Setup!$1:$1,0),4),1),"2:",LEFT(ADDRESS(1,MATCH(CONCATENATE(C106,":",D106),Setup!$1:$1,0),4),1),"99"))),0)</f>
        <v>0</v>
      </c>
      <c r="BC106">
        <f ca="1">IF(COUNTBLANK(E106)=0,COUNTA(INDIRECT(CONCATENATE("Comp!",SUBSTITUTE(ADDRESS(1,MATCH(CONCATENATE(C106,":",D106,":",E106),Comp!$1:$1,0),4),"1",""),"2:",SUBSTITUTE(ADDRESS(1,MATCH(CONCATENATE(C106,":",D106,":",E106),Comp!$1:$1,0),4),"1",""),"99"))),0)</f>
        <v>0</v>
      </c>
    </row>
    <row r="107" spans="1:55">
      <c r="A107" s="20" t="s">
        <v>73</v>
      </c>
      <c r="B107" s="21"/>
      <c r="C107" s="20"/>
      <c r="D107" s="22"/>
      <c r="E107" s="22"/>
      <c r="F107" s="21"/>
      <c r="G107" s="23"/>
      <c r="H107" s="24"/>
      <c r="I107" s="22"/>
      <c r="J107" s="22"/>
      <c r="K107" s="22"/>
      <c r="L107" s="21"/>
      <c r="M107" s="20"/>
      <c r="N107" s="20"/>
      <c r="O107" s="23"/>
      <c r="P107" s="21"/>
      <c r="Q107" s="20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1"/>
      <c r="AU107" s="25" t="str">
        <f t="shared" si="2"/>
        <v>1Q42</v>
      </c>
      <c r="AV107" t="str">
        <f t="shared" si="3"/>
        <v>1Q42</v>
      </c>
      <c r="BA107">
        <f ca="1">IF(COUNTBLANK(C107)=0,COUNTA(INDIRECT(CONCATENATE("Area!",LEFT(ADDRESS(1,MATCH(C107,Area!$1:$1,0),4),1),"2:",LEFT(ADDRESS(1,MATCH(C107,Area!$1:$1,0),4),1),"99"))),0)</f>
        <v>0</v>
      </c>
      <c r="BB107">
        <f ca="1">IF(COUNTBLANK(D107)=0,COUNTA(INDIRECT(CONCATENATE("Setup!",LEFT(ADDRESS(1,MATCH(CONCATENATE(C107,":",D107),Setup!$1:$1,0),4),1),"2:",LEFT(ADDRESS(1,MATCH(CONCATENATE(C107,":",D107),Setup!$1:$1,0),4),1),"99"))),0)</f>
        <v>0</v>
      </c>
      <c r="BC107">
        <f ca="1">IF(COUNTBLANK(E107)=0,COUNTA(INDIRECT(CONCATENATE("Comp!",SUBSTITUTE(ADDRESS(1,MATCH(CONCATENATE(C107,":",D107,":",E107),Comp!$1:$1,0),4),"1",""),"2:",SUBSTITUTE(ADDRESS(1,MATCH(CONCATENATE(C107,":",D107,":",E107),Comp!$1:$1,0),4),"1",""),"99"))),0)</f>
        <v>0</v>
      </c>
    </row>
    <row r="108" spans="1:55">
      <c r="A108" s="20" t="s">
        <v>73</v>
      </c>
      <c r="B108" s="21"/>
      <c r="C108" s="20"/>
      <c r="D108" s="22"/>
      <c r="E108" s="22"/>
      <c r="F108" s="21"/>
      <c r="G108" s="23"/>
      <c r="H108" s="24"/>
      <c r="I108" s="22"/>
      <c r="J108" s="22"/>
      <c r="K108" s="22"/>
      <c r="L108" s="21"/>
      <c r="M108" s="20"/>
      <c r="N108" s="20"/>
      <c r="O108" s="23"/>
      <c r="P108" s="21"/>
      <c r="Q108" s="20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1"/>
      <c r="AU108" s="25" t="str">
        <f t="shared" si="2"/>
        <v>1Q42</v>
      </c>
      <c r="AV108" t="str">
        <f t="shared" si="3"/>
        <v>1Q42</v>
      </c>
      <c r="BA108">
        <f ca="1">IF(COUNTBLANK(C108)=0,COUNTA(INDIRECT(CONCATENATE("Area!",LEFT(ADDRESS(1,MATCH(C108,Area!$1:$1,0),4),1),"2:",LEFT(ADDRESS(1,MATCH(C108,Area!$1:$1,0),4),1),"99"))),0)</f>
        <v>0</v>
      </c>
      <c r="BB108">
        <f ca="1">IF(COUNTBLANK(D108)=0,COUNTA(INDIRECT(CONCATENATE("Setup!",LEFT(ADDRESS(1,MATCH(CONCATENATE(C108,":",D108),Setup!$1:$1,0),4),1),"2:",LEFT(ADDRESS(1,MATCH(CONCATENATE(C108,":",D108),Setup!$1:$1,0),4),1),"99"))),0)</f>
        <v>0</v>
      </c>
      <c r="BC108">
        <f ca="1">IF(COUNTBLANK(E108)=0,COUNTA(INDIRECT(CONCATENATE("Comp!",SUBSTITUTE(ADDRESS(1,MATCH(CONCATENATE(C108,":",D108,":",E108),Comp!$1:$1,0),4),"1",""),"2:",SUBSTITUTE(ADDRESS(1,MATCH(CONCATENATE(C108,":",D108,":",E108),Comp!$1:$1,0),4),"1",""),"99"))),0)</f>
        <v>0</v>
      </c>
    </row>
    <row r="109" spans="1:55">
      <c r="A109" s="20" t="s">
        <v>73</v>
      </c>
      <c r="B109" s="21"/>
      <c r="C109" s="20"/>
      <c r="D109" s="22"/>
      <c r="E109" s="22"/>
      <c r="F109" s="21"/>
      <c r="G109" s="23"/>
      <c r="H109" s="24"/>
      <c r="I109" s="22"/>
      <c r="J109" s="22"/>
      <c r="K109" s="22"/>
      <c r="L109" s="21"/>
      <c r="M109" s="20"/>
      <c r="N109" s="20"/>
      <c r="O109" s="23"/>
      <c r="P109" s="21"/>
      <c r="Q109" s="20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1"/>
      <c r="AU109" s="25" t="str">
        <f t="shared" si="2"/>
        <v>1Q42</v>
      </c>
      <c r="AV109" t="str">
        <f t="shared" si="3"/>
        <v>1Q42</v>
      </c>
      <c r="BA109">
        <f ca="1">IF(COUNTBLANK(C109)=0,COUNTA(INDIRECT(CONCATENATE("Area!",LEFT(ADDRESS(1,MATCH(C109,Area!$1:$1,0),4),1),"2:",LEFT(ADDRESS(1,MATCH(C109,Area!$1:$1,0),4),1),"99"))),0)</f>
        <v>0</v>
      </c>
      <c r="BB109">
        <f ca="1">IF(COUNTBLANK(D109)=0,COUNTA(INDIRECT(CONCATENATE("Setup!",LEFT(ADDRESS(1,MATCH(CONCATENATE(C109,":",D109),Setup!$1:$1,0),4),1),"2:",LEFT(ADDRESS(1,MATCH(CONCATENATE(C109,":",D109),Setup!$1:$1,0),4),1),"99"))),0)</f>
        <v>0</v>
      </c>
      <c r="BC109">
        <f ca="1">IF(COUNTBLANK(E109)=0,COUNTA(INDIRECT(CONCATENATE("Comp!",SUBSTITUTE(ADDRESS(1,MATCH(CONCATENATE(C109,":",D109,":",E109),Comp!$1:$1,0),4),"1",""),"2:",SUBSTITUTE(ADDRESS(1,MATCH(CONCATENATE(C109,":",D109,":",E109),Comp!$1:$1,0),4),"1",""),"99"))),0)</f>
        <v>0</v>
      </c>
    </row>
    <row r="110" spans="1:55">
      <c r="A110" s="20" t="s">
        <v>73</v>
      </c>
      <c r="B110" s="21"/>
      <c r="C110" s="20"/>
      <c r="D110" s="22"/>
      <c r="E110" s="22"/>
      <c r="F110" s="21"/>
      <c r="G110" s="23"/>
      <c r="H110" s="24"/>
      <c r="I110" s="22"/>
      <c r="J110" s="22"/>
      <c r="K110" s="22"/>
      <c r="L110" s="21"/>
      <c r="M110" s="20"/>
      <c r="N110" s="20"/>
      <c r="O110" s="23"/>
      <c r="P110" s="21"/>
      <c r="Q110" s="20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1"/>
      <c r="AU110" s="25" t="str">
        <f t="shared" si="2"/>
        <v>1Q42</v>
      </c>
      <c r="AV110" t="str">
        <f t="shared" si="3"/>
        <v>1Q42</v>
      </c>
      <c r="BA110">
        <f ca="1">IF(COUNTBLANK(C110)=0,COUNTA(INDIRECT(CONCATENATE("Area!",LEFT(ADDRESS(1,MATCH(C110,Area!$1:$1,0),4),1),"2:",LEFT(ADDRESS(1,MATCH(C110,Area!$1:$1,0),4),1),"99"))),0)</f>
        <v>0</v>
      </c>
      <c r="BB110">
        <f ca="1">IF(COUNTBLANK(D110)=0,COUNTA(INDIRECT(CONCATENATE("Setup!",LEFT(ADDRESS(1,MATCH(CONCATENATE(C110,":",D110),Setup!$1:$1,0),4),1),"2:",LEFT(ADDRESS(1,MATCH(CONCATENATE(C110,":",D110),Setup!$1:$1,0),4),1),"99"))),0)</f>
        <v>0</v>
      </c>
      <c r="BC110">
        <f ca="1">IF(COUNTBLANK(E110)=0,COUNTA(INDIRECT(CONCATENATE("Comp!",SUBSTITUTE(ADDRESS(1,MATCH(CONCATENATE(C110,":",D110,":",E110),Comp!$1:$1,0),4),"1",""),"2:",SUBSTITUTE(ADDRESS(1,MATCH(CONCATENATE(C110,":",D110,":",E110),Comp!$1:$1,0),4),"1",""),"99"))),0)</f>
        <v>0</v>
      </c>
    </row>
    <row r="111" spans="1:55">
      <c r="A111" s="20" t="s">
        <v>73</v>
      </c>
      <c r="B111" s="21"/>
      <c r="C111" s="20"/>
      <c r="D111" s="22"/>
      <c r="E111" s="22"/>
      <c r="F111" s="21"/>
      <c r="G111" s="23"/>
      <c r="H111" s="24"/>
      <c r="I111" s="22"/>
      <c r="J111" s="22"/>
      <c r="K111" s="22"/>
      <c r="L111" s="21"/>
      <c r="M111" s="20"/>
      <c r="N111" s="20"/>
      <c r="O111" s="23"/>
      <c r="P111" s="21"/>
      <c r="Q111" s="20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1"/>
      <c r="AU111" s="25" t="str">
        <f t="shared" si="2"/>
        <v>1Q42</v>
      </c>
      <c r="AV111" t="str">
        <f t="shared" si="3"/>
        <v>1Q42</v>
      </c>
      <c r="BA111">
        <f ca="1">IF(COUNTBLANK(C111)=0,COUNTA(INDIRECT(CONCATENATE("Area!",LEFT(ADDRESS(1,MATCH(C111,Area!$1:$1,0),4),1),"2:",LEFT(ADDRESS(1,MATCH(C111,Area!$1:$1,0),4),1),"99"))),0)</f>
        <v>0</v>
      </c>
      <c r="BB111">
        <f ca="1">IF(COUNTBLANK(D111)=0,COUNTA(INDIRECT(CONCATENATE("Setup!",LEFT(ADDRESS(1,MATCH(CONCATENATE(C111,":",D111),Setup!$1:$1,0),4),1),"2:",LEFT(ADDRESS(1,MATCH(CONCATENATE(C111,":",D111),Setup!$1:$1,0),4),1),"99"))),0)</f>
        <v>0</v>
      </c>
      <c r="BC111">
        <f ca="1">IF(COUNTBLANK(E111)=0,COUNTA(INDIRECT(CONCATENATE("Comp!",SUBSTITUTE(ADDRESS(1,MATCH(CONCATENATE(C111,":",D111,":",E111),Comp!$1:$1,0),4),"1",""),"2:",SUBSTITUTE(ADDRESS(1,MATCH(CONCATENATE(C111,":",D111,":",E111),Comp!$1:$1,0),4),"1",""),"99"))),0)</f>
        <v>0</v>
      </c>
    </row>
    <row r="112" spans="1:55">
      <c r="A112" s="20" t="s">
        <v>73</v>
      </c>
      <c r="B112" s="21"/>
      <c r="C112" s="20"/>
      <c r="D112" s="22"/>
      <c r="E112" s="22"/>
      <c r="F112" s="21"/>
      <c r="G112" s="23"/>
      <c r="H112" s="24"/>
      <c r="I112" s="22"/>
      <c r="J112" s="22"/>
      <c r="K112" s="22"/>
      <c r="L112" s="21"/>
      <c r="M112" s="20"/>
      <c r="N112" s="20"/>
      <c r="O112" s="23"/>
      <c r="P112" s="21"/>
      <c r="Q112" s="20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1"/>
      <c r="AU112" s="25" t="str">
        <f t="shared" si="2"/>
        <v>1Q42</v>
      </c>
      <c r="AV112" t="str">
        <f t="shared" si="3"/>
        <v>1Q42</v>
      </c>
      <c r="BA112">
        <f ca="1">IF(COUNTBLANK(C112)=0,COUNTA(INDIRECT(CONCATENATE("Area!",LEFT(ADDRESS(1,MATCH(C112,Area!$1:$1,0),4),1),"2:",LEFT(ADDRESS(1,MATCH(C112,Area!$1:$1,0),4),1),"99"))),0)</f>
        <v>0</v>
      </c>
      <c r="BB112">
        <f ca="1">IF(COUNTBLANK(D112)=0,COUNTA(INDIRECT(CONCATENATE("Setup!",LEFT(ADDRESS(1,MATCH(CONCATENATE(C112,":",D112),Setup!$1:$1,0),4),1),"2:",LEFT(ADDRESS(1,MATCH(CONCATENATE(C112,":",D112),Setup!$1:$1,0),4),1),"99"))),0)</f>
        <v>0</v>
      </c>
      <c r="BC112">
        <f ca="1">IF(COUNTBLANK(E112)=0,COUNTA(INDIRECT(CONCATENATE("Comp!",SUBSTITUTE(ADDRESS(1,MATCH(CONCATENATE(C112,":",D112,":",E112),Comp!$1:$1,0),4),"1",""),"2:",SUBSTITUTE(ADDRESS(1,MATCH(CONCATENATE(C112,":",D112,":",E112),Comp!$1:$1,0),4),"1",""),"99"))),0)</f>
        <v>0</v>
      </c>
    </row>
    <row r="113" spans="1:55">
      <c r="A113" s="20" t="s">
        <v>73</v>
      </c>
      <c r="B113" s="21"/>
      <c r="C113" s="20"/>
      <c r="D113" s="22"/>
      <c r="E113" s="22"/>
      <c r="F113" s="21"/>
      <c r="G113" s="23"/>
      <c r="H113" s="24"/>
      <c r="I113" s="22"/>
      <c r="J113" s="22"/>
      <c r="K113" s="22"/>
      <c r="L113" s="21"/>
      <c r="M113" s="20"/>
      <c r="N113" s="20"/>
      <c r="O113" s="23"/>
      <c r="P113" s="21"/>
      <c r="Q113" s="20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1"/>
      <c r="AU113" s="25" t="str">
        <f t="shared" si="2"/>
        <v>1Q42</v>
      </c>
      <c r="AV113" t="str">
        <f t="shared" si="3"/>
        <v>1Q42</v>
      </c>
      <c r="BA113">
        <f ca="1">IF(COUNTBLANK(C113)=0,COUNTA(INDIRECT(CONCATENATE("Area!",LEFT(ADDRESS(1,MATCH(C113,Area!$1:$1,0),4),1),"2:",LEFT(ADDRESS(1,MATCH(C113,Area!$1:$1,0),4),1),"99"))),0)</f>
        <v>0</v>
      </c>
      <c r="BB113">
        <f ca="1">IF(COUNTBLANK(D113)=0,COUNTA(INDIRECT(CONCATENATE("Setup!",LEFT(ADDRESS(1,MATCH(CONCATENATE(C113,":",D113),Setup!$1:$1,0),4),1),"2:",LEFT(ADDRESS(1,MATCH(CONCATENATE(C113,":",D113),Setup!$1:$1,0),4),1),"99"))),0)</f>
        <v>0</v>
      </c>
      <c r="BC113">
        <f ca="1">IF(COUNTBLANK(E113)=0,COUNTA(INDIRECT(CONCATENATE("Comp!",SUBSTITUTE(ADDRESS(1,MATCH(CONCATENATE(C113,":",D113,":",E113),Comp!$1:$1,0),4),"1",""),"2:",SUBSTITUTE(ADDRESS(1,MATCH(CONCATENATE(C113,":",D113,":",E113),Comp!$1:$1,0),4),"1",""),"99"))),0)</f>
        <v>0</v>
      </c>
    </row>
    <row r="114" spans="1:55">
      <c r="A114" s="20" t="s">
        <v>73</v>
      </c>
      <c r="B114" s="21"/>
      <c r="C114" s="20"/>
      <c r="D114" s="22"/>
      <c r="E114" s="22"/>
      <c r="F114" s="21"/>
      <c r="G114" s="23"/>
      <c r="H114" s="24"/>
      <c r="I114" s="22"/>
      <c r="J114" s="22"/>
      <c r="K114" s="22"/>
      <c r="L114" s="21"/>
      <c r="M114" s="20"/>
      <c r="N114" s="20"/>
      <c r="O114" s="23"/>
      <c r="P114" s="21"/>
      <c r="Q114" s="20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1"/>
      <c r="AU114" s="25" t="str">
        <f t="shared" si="2"/>
        <v>1Q42</v>
      </c>
      <c r="AV114" t="str">
        <f t="shared" si="3"/>
        <v>1Q42</v>
      </c>
      <c r="BA114">
        <f ca="1">IF(COUNTBLANK(C114)=0,COUNTA(INDIRECT(CONCATENATE("Area!",LEFT(ADDRESS(1,MATCH(C114,Area!$1:$1,0),4),1),"2:",LEFT(ADDRESS(1,MATCH(C114,Area!$1:$1,0),4),1),"99"))),0)</f>
        <v>0</v>
      </c>
      <c r="BB114">
        <f ca="1">IF(COUNTBLANK(D114)=0,COUNTA(INDIRECT(CONCATENATE("Setup!",LEFT(ADDRESS(1,MATCH(CONCATENATE(C114,":",D114),Setup!$1:$1,0),4),1),"2:",LEFT(ADDRESS(1,MATCH(CONCATENATE(C114,":",D114),Setup!$1:$1,0),4),1),"99"))),0)</f>
        <v>0</v>
      </c>
      <c r="BC114">
        <f ca="1">IF(COUNTBLANK(E114)=0,COUNTA(INDIRECT(CONCATENATE("Comp!",SUBSTITUTE(ADDRESS(1,MATCH(CONCATENATE(C114,":",D114,":",E114),Comp!$1:$1,0),4),"1",""),"2:",SUBSTITUTE(ADDRESS(1,MATCH(CONCATENATE(C114,":",D114,":",E114),Comp!$1:$1,0),4),"1",""),"99"))),0)</f>
        <v>0</v>
      </c>
    </row>
    <row r="115" spans="1:55">
      <c r="A115" s="20" t="s">
        <v>73</v>
      </c>
      <c r="B115" s="21"/>
      <c r="C115" s="20"/>
      <c r="D115" s="22"/>
      <c r="E115" s="22"/>
      <c r="F115" s="21"/>
      <c r="G115" s="23"/>
      <c r="H115" s="24"/>
      <c r="I115" s="22"/>
      <c r="J115" s="22"/>
      <c r="K115" s="22"/>
      <c r="L115" s="21"/>
      <c r="M115" s="20"/>
      <c r="N115" s="20"/>
      <c r="O115" s="23"/>
      <c r="P115" s="21"/>
      <c r="Q115" s="20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1"/>
      <c r="AU115" s="25" t="str">
        <f t="shared" si="2"/>
        <v>1Q42</v>
      </c>
      <c r="AV115" t="str">
        <f t="shared" si="3"/>
        <v>1Q42</v>
      </c>
      <c r="BA115">
        <f ca="1">IF(COUNTBLANK(C115)=0,COUNTA(INDIRECT(CONCATENATE("Area!",LEFT(ADDRESS(1,MATCH(C115,Area!$1:$1,0),4),1),"2:",LEFT(ADDRESS(1,MATCH(C115,Area!$1:$1,0),4),1),"99"))),0)</f>
        <v>0</v>
      </c>
      <c r="BB115">
        <f ca="1">IF(COUNTBLANK(D115)=0,COUNTA(INDIRECT(CONCATENATE("Setup!",LEFT(ADDRESS(1,MATCH(CONCATENATE(C115,":",D115),Setup!$1:$1,0),4),1),"2:",LEFT(ADDRESS(1,MATCH(CONCATENATE(C115,":",D115),Setup!$1:$1,0),4),1),"99"))),0)</f>
        <v>0</v>
      </c>
      <c r="BC115">
        <f ca="1">IF(COUNTBLANK(E115)=0,COUNTA(INDIRECT(CONCATENATE("Comp!",SUBSTITUTE(ADDRESS(1,MATCH(CONCATENATE(C115,":",D115,":",E115),Comp!$1:$1,0),4),"1",""),"2:",SUBSTITUTE(ADDRESS(1,MATCH(CONCATENATE(C115,":",D115,":",E115),Comp!$1:$1,0),4),"1",""),"99"))),0)</f>
        <v>0</v>
      </c>
    </row>
    <row r="116" spans="1:55">
      <c r="A116" s="20" t="s">
        <v>73</v>
      </c>
      <c r="B116" s="21"/>
      <c r="C116" s="20"/>
      <c r="D116" s="22"/>
      <c r="E116" s="22"/>
      <c r="F116" s="21"/>
      <c r="G116" s="23"/>
      <c r="H116" s="24"/>
      <c r="I116" s="22"/>
      <c r="J116" s="22"/>
      <c r="K116" s="22"/>
      <c r="L116" s="21"/>
      <c r="M116" s="20"/>
      <c r="N116" s="20"/>
      <c r="O116" s="23"/>
      <c r="P116" s="21"/>
      <c r="Q116" s="20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1"/>
      <c r="AU116" s="25" t="str">
        <f t="shared" si="2"/>
        <v>1Q42</v>
      </c>
      <c r="AV116" t="str">
        <f t="shared" si="3"/>
        <v>1Q42</v>
      </c>
      <c r="BA116">
        <f ca="1">IF(COUNTBLANK(C116)=0,COUNTA(INDIRECT(CONCATENATE("Area!",LEFT(ADDRESS(1,MATCH(C116,Area!$1:$1,0),4),1),"2:",LEFT(ADDRESS(1,MATCH(C116,Area!$1:$1,0),4),1),"99"))),0)</f>
        <v>0</v>
      </c>
      <c r="BB116">
        <f ca="1">IF(COUNTBLANK(D116)=0,COUNTA(INDIRECT(CONCATENATE("Setup!",LEFT(ADDRESS(1,MATCH(CONCATENATE(C116,":",D116),Setup!$1:$1,0),4),1),"2:",LEFT(ADDRESS(1,MATCH(CONCATENATE(C116,":",D116),Setup!$1:$1,0),4),1),"99"))),0)</f>
        <v>0</v>
      </c>
      <c r="BC116">
        <f ca="1">IF(COUNTBLANK(E116)=0,COUNTA(INDIRECT(CONCATENATE("Comp!",SUBSTITUTE(ADDRESS(1,MATCH(CONCATENATE(C116,":",D116,":",E116),Comp!$1:$1,0),4),"1",""),"2:",SUBSTITUTE(ADDRESS(1,MATCH(CONCATENATE(C116,":",D116,":",E116),Comp!$1:$1,0),4),"1",""),"99"))),0)</f>
        <v>0</v>
      </c>
    </row>
    <row r="117" spans="1:55">
      <c r="A117" s="20" t="s">
        <v>73</v>
      </c>
      <c r="B117" s="21"/>
      <c r="C117" s="20"/>
      <c r="D117" s="22"/>
      <c r="E117" s="22"/>
      <c r="F117" s="21"/>
      <c r="G117" s="23"/>
      <c r="H117" s="24"/>
      <c r="I117" s="22"/>
      <c r="J117" s="22"/>
      <c r="K117" s="22"/>
      <c r="L117" s="21"/>
      <c r="M117" s="20"/>
      <c r="N117" s="20"/>
      <c r="O117" s="23"/>
      <c r="P117" s="21"/>
      <c r="Q117" s="20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1"/>
      <c r="AU117" s="25" t="str">
        <f t="shared" si="2"/>
        <v>1Q42</v>
      </c>
      <c r="AV117" t="str">
        <f t="shared" si="3"/>
        <v>1Q42</v>
      </c>
      <c r="BA117">
        <f ca="1">IF(COUNTBLANK(C117)=0,COUNTA(INDIRECT(CONCATENATE("Area!",LEFT(ADDRESS(1,MATCH(C117,Area!$1:$1,0),4),1),"2:",LEFT(ADDRESS(1,MATCH(C117,Area!$1:$1,0),4),1),"99"))),0)</f>
        <v>0</v>
      </c>
      <c r="BB117">
        <f ca="1">IF(COUNTBLANK(D117)=0,COUNTA(INDIRECT(CONCATENATE("Setup!",LEFT(ADDRESS(1,MATCH(CONCATENATE(C117,":",D117),Setup!$1:$1,0),4),1),"2:",LEFT(ADDRESS(1,MATCH(CONCATENATE(C117,":",D117),Setup!$1:$1,0),4),1),"99"))),0)</f>
        <v>0</v>
      </c>
      <c r="BC117">
        <f ca="1">IF(COUNTBLANK(E117)=0,COUNTA(INDIRECT(CONCATENATE("Comp!",SUBSTITUTE(ADDRESS(1,MATCH(CONCATENATE(C117,":",D117,":",E117),Comp!$1:$1,0),4),"1",""),"2:",SUBSTITUTE(ADDRESS(1,MATCH(CONCATENATE(C117,":",D117,":",E117),Comp!$1:$1,0),4),"1",""),"99"))),0)</f>
        <v>0</v>
      </c>
    </row>
    <row r="118" spans="1:55">
      <c r="A118" s="20" t="s">
        <v>73</v>
      </c>
      <c r="B118" s="21"/>
      <c r="C118" s="20"/>
      <c r="D118" s="22"/>
      <c r="E118" s="22"/>
      <c r="F118" s="21"/>
      <c r="G118" s="23"/>
      <c r="H118" s="24"/>
      <c r="I118" s="22"/>
      <c r="J118" s="22"/>
      <c r="K118" s="22"/>
      <c r="L118" s="21"/>
      <c r="M118" s="20"/>
      <c r="N118" s="20"/>
      <c r="O118" s="23"/>
      <c r="P118" s="21"/>
      <c r="Q118" s="20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1"/>
      <c r="AU118" s="25" t="str">
        <f t="shared" si="2"/>
        <v>1Q42</v>
      </c>
      <c r="AV118" t="str">
        <f t="shared" si="3"/>
        <v>1Q42</v>
      </c>
      <c r="BA118">
        <f ca="1">IF(COUNTBLANK(C118)=0,COUNTA(INDIRECT(CONCATENATE("Area!",LEFT(ADDRESS(1,MATCH(C118,Area!$1:$1,0),4),1),"2:",LEFT(ADDRESS(1,MATCH(C118,Area!$1:$1,0),4),1),"99"))),0)</f>
        <v>0</v>
      </c>
      <c r="BB118">
        <f ca="1">IF(COUNTBLANK(D118)=0,COUNTA(INDIRECT(CONCATENATE("Setup!",LEFT(ADDRESS(1,MATCH(CONCATENATE(C118,":",D118),Setup!$1:$1,0),4),1),"2:",LEFT(ADDRESS(1,MATCH(CONCATENATE(C118,":",D118),Setup!$1:$1,0),4),1),"99"))),0)</f>
        <v>0</v>
      </c>
      <c r="BC118">
        <f ca="1">IF(COUNTBLANK(E118)=0,COUNTA(INDIRECT(CONCATENATE("Comp!",SUBSTITUTE(ADDRESS(1,MATCH(CONCATENATE(C118,":",D118,":",E118),Comp!$1:$1,0),4),"1",""),"2:",SUBSTITUTE(ADDRESS(1,MATCH(CONCATENATE(C118,":",D118,":",E118),Comp!$1:$1,0),4),"1",""),"99"))),0)</f>
        <v>0</v>
      </c>
    </row>
    <row r="119" spans="1:55">
      <c r="A119" s="20" t="s">
        <v>73</v>
      </c>
      <c r="B119" s="21"/>
      <c r="C119" s="20"/>
      <c r="D119" s="22"/>
      <c r="E119" s="22"/>
      <c r="F119" s="21"/>
      <c r="G119" s="23"/>
      <c r="H119" s="24"/>
      <c r="I119" s="22"/>
      <c r="J119" s="22"/>
      <c r="K119" s="22"/>
      <c r="L119" s="21"/>
      <c r="M119" s="20"/>
      <c r="N119" s="20"/>
      <c r="O119" s="23"/>
      <c r="P119" s="21"/>
      <c r="Q119" s="20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1"/>
      <c r="AU119" s="25" t="str">
        <f t="shared" si="2"/>
        <v>1Q42</v>
      </c>
      <c r="AV119" t="str">
        <f t="shared" si="3"/>
        <v>1Q42</v>
      </c>
      <c r="BA119">
        <f ca="1">IF(COUNTBLANK(C119)=0,COUNTA(INDIRECT(CONCATENATE("Area!",LEFT(ADDRESS(1,MATCH(C119,Area!$1:$1,0),4),1),"2:",LEFT(ADDRESS(1,MATCH(C119,Area!$1:$1,0),4),1),"99"))),0)</f>
        <v>0</v>
      </c>
      <c r="BB119">
        <f ca="1">IF(COUNTBLANK(D119)=0,COUNTA(INDIRECT(CONCATENATE("Setup!",LEFT(ADDRESS(1,MATCH(CONCATENATE(C119,":",D119),Setup!$1:$1,0),4),1),"2:",LEFT(ADDRESS(1,MATCH(CONCATENATE(C119,":",D119),Setup!$1:$1,0),4),1),"99"))),0)</f>
        <v>0</v>
      </c>
      <c r="BC119">
        <f ca="1">IF(COUNTBLANK(E119)=0,COUNTA(INDIRECT(CONCATENATE("Comp!",SUBSTITUTE(ADDRESS(1,MATCH(CONCATENATE(C119,":",D119,":",E119),Comp!$1:$1,0),4),"1",""),"2:",SUBSTITUTE(ADDRESS(1,MATCH(CONCATENATE(C119,":",D119,":",E119),Comp!$1:$1,0),4),"1",""),"99"))),0)</f>
        <v>0</v>
      </c>
    </row>
    <row r="120" spans="1:55">
      <c r="A120" s="20" t="s">
        <v>73</v>
      </c>
      <c r="B120" s="21"/>
      <c r="C120" s="20"/>
      <c r="D120" s="22"/>
      <c r="E120" s="22"/>
      <c r="F120" s="21"/>
      <c r="G120" s="23"/>
      <c r="H120" s="24"/>
      <c r="I120" s="22"/>
      <c r="J120" s="22"/>
      <c r="K120" s="22"/>
      <c r="L120" s="21"/>
      <c r="M120" s="20"/>
      <c r="N120" s="20"/>
      <c r="O120" s="23"/>
      <c r="P120" s="21"/>
      <c r="Q120" s="20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1"/>
      <c r="AU120" s="25" t="str">
        <f t="shared" si="2"/>
        <v>1Q42</v>
      </c>
      <c r="AV120" t="str">
        <f t="shared" si="3"/>
        <v>1Q42</v>
      </c>
      <c r="BA120">
        <f ca="1">IF(COUNTBLANK(C120)=0,COUNTA(INDIRECT(CONCATENATE("Area!",LEFT(ADDRESS(1,MATCH(C120,Area!$1:$1,0),4),1),"2:",LEFT(ADDRESS(1,MATCH(C120,Area!$1:$1,0),4),1),"99"))),0)</f>
        <v>0</v>
      </c>
      <c r="BB120">
        <f ca="1">IF(COUNTBLANK(D120)=0,COUNTA(INDIRECT(CONCATENATE("Setup!",LEFT(ADDRESS(1,MATCH(CONCATENATE(C120,":",D120),Setup!$1:$1,0),4),1),"2:",LEFT(ADDRESS(1,MATCH(CONCATENATE(C120,":",D120),Setup!$1:$1,0),4),1),"99"))),0)</f>
        <v>0</v>
      </c>
      <c r="BC120">
        <f ca="1">IF(COUNTBLANK(E120)=0,COUNTA(INDIRECT(CONCATENATE("Comp!",SUBSTITUTE(ADDRESS(1,MATCH(CONCATENATE(C120,":",D120,":",E120),Comp!$1:$1,0),4),"1",""),"2:",SUBSTITUTE(ADDRESS(1,MATCH(CONCATENATE(C120,":",D120,":",E120),Comp!$1:$1,0),4),"1",""),"99"))),0)</f>
        <v>0</v>
      </c>
    </row>
    <row r="121" spans="1:55">
      <c r="A121" s="20" t="s">
        <v>73</v>
      </c>
      <c r="B121" s="21"/>
      <c r="C121" s="20"/>
      <c r="D121" s="22"/>
      <c r="E121" s="22"/>
      <c r="F121" s="21"/>
      <c r="G121" s="23"/>
      <c r="H121" s="24"/>
      <c r="I121" s="22"/>
      <c r="J121" s="22"/>
      <c r="K121" s="22"/>
      <c r="L121" s="21"/>
      <c r="M121" s="20"/>
      <c r="N121" s="20"/>
      <c r="O121" s="23"/>
      <c r="P121" s="21"/>
      <c r="Q121" s="20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1"/>
      <c r="AU121" s="25" t="str">
        <f t="shared" si="2"/>
        <v>1Q42</v>
      </c>
      <c r="AV121" t="str">
        <f t="shared" si="3"/>
        <v>1Q42</v>
      </c>
      <c r="BA121">
        <f ca="1">IF(COUNTBLANK(C121)=0,COUNTA(INDIRECT(CONCATENATE("Area!",LEFT(ADDRESS(1,MATCH(C121,Area!$1:$1,0),4),1),"2:",LEFT(ADDRESS(1,MATCH(C121,Area!$1:$1,0),4),1),"99"))),0)</f>
        <v>0</v>
      </c>
      <c r="BB121">
        <f ca="1">IF(COUNTBLANK(D121)=0,COUNTA(INDIRECT(CONCATENATE("Setup!",LEFT(ADDRESS(1,MATCH(CONCATENATE(C121,":",D121),Setup!$1:$1,0),4),1),"2:",LEFT(ADDRESS(1,MATCH(CONCATENATE(C121,":",D121),Setup!$1:$1,0),4),1),"99"))),0)</f>
        <v>0</v>
      </c>
      <c r="BC121">
        <f ca="1">IF(COUNTBLANK(E121)=0,COUNTA(INDIRECT(CONCATENATE("Comp!",SUBSTITUTE(ADDRESS(1,MATCH(CONCATENATE(C121,":",D121,":",E121),Comp!$1:$1,0),4),"1",""),"2:",SUBSTITUTE(ADDRESS(1,MATCH(CONCATENATE(C121,":",D121,":",E121),Comp!$1:$1,0),4),"1",""),"99"))),0)</f>
        <v>0</v>
      </c>
    </row>
    <row r="122" spans="1:55">
      <c r="A122" s="20" t="s">
        <v>73</v>
      </c>
      <c r="B122" s="21"/>
      <c r="C122" s="20"/>
      <c r="D122" s="22"/>
      <c r="E122" s="22"/>
      <c r="F122" s="21"/>
      <c r="G122" s="23"/>
      <c r="H122" s="24"/>
      <c r="I122" s="22"/>
      <c r="J122" s="22"/>
      <c r="K122" s="22"/>
      <c r="L122" s="21"/>
      <c r="M122" s="20"/>
      <c r="N122" s="20"/>
      <c r="O122" s="23"/>
      <c r="P122" s="21"/>
      <c r="Q122" s="20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1"/>
      <c r="AU122" s="25" t="str">
        <f t="shared" si="2"/>
        <v>1Q42</v>
      </c>
      <c r="AV122" t="str">
        <f t="shared" si="3"/>
        <v>1Q42</v>
      </c>
      <c r="BA122">
        <f ca="1">IF(COUNTBLANK(C122)=0,COUNTA(INDIRECT(CONCATENATE("Area!",LEFT(ADDRESS(1,MATCH(C122,Area!$1:$1,0),4),1),"2:",LEFT(ADDRESS(1,MATCH(C122,Area!$1:$1,0),4),1),"99"))),0)</f>
        <v>0</v>
      </c>
      <c r="BB122">
        <f ca="1">IF(COUNTBLANK(D122)=0,COUNTA(INDIRECT(CONCATENATE("Setup!",LEFT(ADDRESS(1,MATCH(CONCATENATE(C122,":",D122),Setup!$1:$1,0),4),1),"2:",LEFT(ADDRESS(1,MATCH(CONCATENATE(C122,":",D122),Setup!$1:$1,0),4),1),"99"))),0)</f>
        <v>0</v>
      </c>
      <c r="BC122">
        <f ca="1">IF(COUNTBLANK(E122)=0,COUNTA(INDIRECT(CONCATENATE("Comp!",SUBSTITUTE(ADDRESS(1,MATCH(CONCATENATE(C122,":",D122,":",E122),Comp!$1:$1,0),4),"1",""),"2:",SUBSTITUTE(ADDRESS(1,MATCH(CONCATENATE(C122,":",D122,":",E122),Comp!$1:$1,0),4),"1",""),"99"))),0)</f>
        <v>0</v>
      </c>
    </row>
    <row r="123" spans="1:55">
      <c r="A123" s="20" t="s">
        <v>73</v>
      </c>
      <c r="B123" s="21"/>
      <c r="C123" s="20"/>
      <c r="D123" s="22"/>
      <c r="E123" s="22"/>
      <c r="F123" s="21"/>
      <c r="G123" s="23"/>
      <c r="H123" s="24"/>
      <c r="I123" s="22"/>
      <c r="J123" s="22"/>
      <c r="K123" s="22"/>
      <c r="L123" s="21"/>
      <c r="M123" s="20"/>
      <c r="N123" s="20"/>
      <c r="O123" s="23"/>
      <c r="P123" s="21"/>
      <c r="Q123" s="20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1"/>
      <c r="AU123" s="25" t="str">
        <f t="shared" si="2"/>
        <v>1Q42</v>
      </c>
      <c r="AV123" t="str">
        <f t="shared" si="3"/>
        <v>1Q42</v>
      </c>
      <c r="BA123">
        <f ca="1">IF(COUNTBLANK(C123)=0,COUNTA(INDIRECT(CONCATENATE("Area!",LEFT(ADDRESS(1,MATCH(C123,Area!$1:$1,0),4),1),"2:",LEFT(ADDRESS(1,MATCH(C123,Area!$1:$1,0),4),1),"99"))),0)</f>
        <v>0</v>
      </c>
      <c r="BB123">
        <f ca="1">IF(COUNTBLANK(D123)=0,COUNTA(INDIRECT(CONCATENATE("Setup!",LEFT(ADDRESS(1,MATCH(CONCATENATE(C123,":",D123),Setup!$1:$1,0),4),1),"2:",LEFT(ADDRESS(1,MATCH(CONCATENATE(C123,":",D123),Setup!$1:$1,0),4),1),"99"))),0)</f>
        <v>0</v>
      </c>
      <c r="BC123">
        <f ca="1">IF(COUNTBLANK(E123)=0,COUNTA(INDIRECT(CONCATENATE("Comp!",SUBSTITUTE(ADDRESS(1,MATCH(CONCATENATE(C123,":",D123,":",E123),Comp!$1:$1,0),4),"1",""),"2:",SUBSTITUTE(ADDRESS(1,MATCH(CONCATENATE(C123,":",D123,":",E123),Comp!$1:$1,0),4),"1",""),"99"))),0)</f>
        <v>0</v>
      </c>
    </row>
    <row r="124" spans="1:55">
      <c r="A124" s="20" t="s">
        <v>73</v>
      </c>
      <c r="B124" s="21"/>
      <c r="C124" s="20"/>
      <c r="D124" s="22"/>
      <c r="E124" s="22"/>
      <c r="F124" s="21"/>
      <c r="G124" s="23"/>
      <c r="H124" s="24"/>
      <c r="I124" s="22"/>
      <c r="J124" s="22"/>
      <c r="K124" s="22"/>
      <c r="L124" s="21"/>
      <c r="M124" s="20"/>
      <c r="N124" s="20"/>
      <c r="O124" s="23"/>
      <c r="P124" s="21"/>
      <c r="Q124" s="20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1"/>
      <c r="AU124" s="25" t="str">
        <f t="shared" si="2"/>
        <v>1Q42</v>
      </c>
      <c r="AV124" t="str">
        <f t="shared" si="3"/>
        <v>1Q42</v>
      </c>
      <c r="BA124">
        <f ca="1">IF(COUNTBLANK(C124)=0,COUNTA(INDIRECT(CONCATENATE("Area!",LEFT(ADDRESS(1,MATCH(C124,Area!$1:$1,0),4),1),"2:",LEFT(ADDRESS(1,MATCH(C124,Area!$1:$1,0),4),1),"99"))),0)</f>
        <v>0</v>
      </c>
      <c r="BB124">
        <f ca="1">IF(COUNTBLANK(D124)=0,COUNTA(INDIRECT(CONCATENATE("Setup!",LEFT(ADDRESS(1,MATCH(CONCATENATE(C124,":",D124),Setup!$1:$1,0),4),1),"2:",LEFT(ADDRESS(1,MATCH(CONCATENATE(C124,":",D124),Setup!$1:$1,0),4),1),"99"))),0)</f>
        <v>0</v>
      </c>
      <c r="BC124">
        <f ca="1">IF(COUNTBLANK(E124)=0,COUNTA(INDIRECT(CONCATENATE("Comp!",SUBSTITUTE(ADDRESS(1,MATCH(CONCATENATE(C124,":",D124,":",E124),Comp!$1:$1,0),4),"1",""),"2:",SUBSTITUTE(ADDRESS(1,MATCH(CONCATENATE(C124,":",D124,":",E124),Comp!$1:$1,0),4),"1",""),"99"))),0)</f>
        <v>0</v>
      </c>
    </row>
    <row r="125" spans="1:55">
      <c r="A125" s="20" t="s">
        <v>73</v>
      </c>
      <c r="B125" s="21"/>
      <c r="C125" s="20"/>
      <c r="D125" s="22"/>
      <c r="E125" s="22"/>
      <c r="F125" s="21"/>
      <c r="G125" s="23"/>
      <c r="H125" s="24"/>
      <c r="I125" s="22"/>
      <c r="J125" s="22"/>
      <c r="K125" s="22"/>
      <c r="L125" s="21"/>
      <c r="M125" s="20"/>
      <c r="N125" s="20"/>
      <c r="O125" s="23"/>
      <c r="P125" s="21"/>
      <c r="Q125" s="20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1"/>
      <c r="AU125" s="25" t="str">
        <f t="shared" si="2"/>
        <v>1Q42</v>
      </c>
      <c r="AV125" t="str">
        <f t="shared" si="3"/>
        <v>1Q42</v>
      </c>
      <c r="BA125">
        <f ca="1">IF(COUNTBLANK(C125)=0,COUNTA(INDIRECT(CONCATENATE("Area!",LEFT(ADDRESS(1,MATCH(C125,Area!$1:$1,0),4),1),"2:",LEFT(ADDRESS(1,MATCH(C125,Area!$1:$1,0),4),1),"99"))),0)</f>
        <v>0</v>
      </c>
      <c r="BB125">
        <f ca="1">IF(COUNTBLANK(D125)=0,COUNTA(INDIRECT(CONCATENATE("Setup!",LEFT(ADDRESS(1,MATCH(CONCATENATE(C125,":",D125),Setup!$1:$1,0),4),1),"2:",LEFT(ADDRESS(1,MATCH(CONCATENATE(C125,":",D125),Setup!$1:$1,0),4),1),"99"))),0)</f>
        <v>0</v>
      </c>
      <c r="BC125">
        <f ca="1">IF(COUNTBLANK(E125)=0,COUNTA(INDIRECT(CONCATENATE("Comp!",SUBSTITUTE(ADDRESS(1,MATCH(CONCATENATE(C125,":",D125,":",E125),Comp!$1:$1,0),4),"1",""),"2:",SUBSTITUTE(ADDRESS(1,MATCH(CONCATENATE(C125,":",D125,":",E125),Comp!$1:$1,0),4),"1",""),"99"))),0)</f>
        <v>0</v>
      </c>
    </row>
    <row r="126" spans="1:55">
      <c r="A126" s="20" t="s">
        <v>73</v>
      </c>
      <c r="B126" s="21"/>
      <c r="C126" s="20"/>
      <c r="D126" s="22"/>
      <c r="E126" s="22"/>
      <c r="F126" s="21"/>
      <c r="G126" s="23"/>
      <c r="H126" s="24"/>
      <c r="I126" s="22"/>
      <c r="J126" s="22"/>
      <c r="K126" s="22"/>
      <c r="L126" s="21"/>
      <c r="M126" s="20"/>
      <c r="N126" s="20"/>
      <c r="O126" s="23"/>
      <c r="P126" s="21"/>
      <c r="Q126" s="20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1"/>
      <c r="AU126" s="25" t="str">
        <f t="shared" si="2"/>
        <v>1Q42</v>
      </c>
      <c r="AV126" t="str">
        <f t="shared" si="3"/>
        <v>1Q42</v>
      </c>
      <c r="BA126">
        <f ca="1">IF(COUNTBLANK(C126)=0,COUNTA(INDIRECT(CONCATENATE("Area!",LEFT(ADDRESS(1,MATCH(C126,Area!$1:$1,0),4),1),"2:",LEFT(ADDRESS(1,MATCH(C126,Area!$1:$1,0),4),1),"99"))),0)</f>
        <v>0</v>
      </c>
      <c r="BB126">
        <f ca="1">IF(COUNTBLANK(D126)=0,COUNTA(INDIRECT(CONCATENATE("Setup!",LEFT(ADDRESS(1,MATCH(CONCATENATE(C126,":",D126),Setup!$1:$1,0),4),1),"2:",LEFT(ADDRESS(1,MATCH(CONCATENATE(C126,":",D126),Setup!$1:$1,0),4),1),"99"))),0)</f>
        <v>0</v>
      </c>
      <c r="BC126">
        <f ca="1">IF(COUNTBLANK(E126)=0,COUNTA(INDIRECT(CONCATENATE("Comp!",SUBSTITUTE(ADDRESS(1,MATCH(CONCATENATE(C126,":",D126,":",E126),Comp!$1:$1,0),4),"1",""),"2:",SUBSTITUTE(ADDRESS(1,MATCH(CONCATENATE(C126,":",D126,":",E126),Comp!$1:$1,0),4),"1",""),"99"))),0)</f>
        <v>0</v>
      </c>
    </row>
    <row r="127" spans="1:55">
      <c r="A127" s="20" t="s">
        <v>73</v>
      </c>
      <c r="B127" s="21"/>
      <c r="C127" s="20"/>
      <c r="D127" s="22"/>
      <c r="E127" s="22"/>
      <c r="F127" s="21"/>
      <c r="G127" s="23"/>
      <c r="H127" s="24"/>
      <c r="I127" s="22"/>
      <c r="J127" s="22"/>
      <c r="K127" s="22"/>
      <c r="L127" s="21"/>
      <c r="M127" s="20"/>
      <c r="N127" s="20"/>
      <c r="O127" s="23"/>
      <c r="P127" s="21"/>
      <c r="Q127" s="20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1"/>
      <c r="AU127" s="25" t="str">
        <f t="shared" si="2"/>
        <v>1Q42</v>
      </c>
      <c r="AV127" t="str">
        <f t="shared" si="3"/>
        <v>1Q42</v>
      </c>
      <c r="BA127">
        <f ca="1">IF(COUNTBLANK(C127)=0,COUNTA(INDIRECT(CONCATENATE("Area!",LEFT(ADDRESS(1,MATCH(C127,Area!$1:$1,0),4),1),"2:",LEFT(ADDRESS(1,MATCH(C127,Area!$1:$1,0),4),1),"99"))),0)</f>
        <v>0</v>
      </c>
      <c r="BB127">
        <f ca="1">IF(COUNTBLANK(D127)=0,COUNTA(INDIRECT(CONCATENATE("Setup!",LEFT(ADDRESS(1,MATCH(CONCATENATE(C127,":",D127),Setup!$1:$1,0),4),1),"2:",LEFT(ADDRESS(1,MATCH(CONCATENATE(C127,":",D127),Setup!$1:$1,0),4),1),"99"))),0)</f>
        <v>0</v>
      </c>
      <c r="BC127">
        <f ca="1">IF(COUNTBLANK(E127)=0,COUNTA(INDIRECT(CONCATENATE("Comp!",SUBSTITUTE(ADDRESS(1,MATCH(CONCATENATE(C127,":",D127,":",E127),Comp!$1:$1,0),4),"1",""),"2:",SUBSTITUTE(ADDRESS(1,MATCH(CONCATENATE(C127,":",D127,":",E127),Comp!$1:$1,0),4),"1",""),"99"))),0)</f>
        <v>0</v>
      </c>
    </row>
    <row r="128" spans="1:55">
      <c r="A128" s="20" t="s">
        <v>73</v>
      </c>
      <c r="B128" s="21"/>
      <c r="C128" s="20"/>
      <c r="D128" s="22"/>
      <c r="E128" s="22"/>
      <c r="F128" s="21"/>
      <c r="G128" s="23"/>
      <c r="H128" s="24"/>
      <c r="I128" s="22"/>
      <c r="J128" s="22"/>
      <c r="K128" s="22"/>
      <c r="L128" s="21"/>
      <c r="M128" s="20"/>
      <c r="N128" s="20"/>
      <c r="O128" s="23"/>
      <c r="P128" s="21"/>
      <c r="Q128" s="20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1"/>
      <c r="AU128" s="25" t="str">
        <f t="shared" si="2"/>
        <v>1Q42</v>
      </c>
      <c r="AV128" t="str">
        <f t="shared" si="3"/>
        <v>1Q42</v>
      </c>
      <c r="BA128">
        <f ca="1">IF(COUNTBLANK(C128)=0,COUNTA(INDIRECT(CONCATENATE("Area!",LEFT(ADDRESS(1,MATCH(C128,Area!$1:$1,0),4),1),"2:",LEFT(ADDRESS(1,MATCH(C128,Area!$1:$1,0),4),1),"99"))),0)</f>
        <v>0</v>
      </c>
      <c r="BB128">
        <f ca="1">IF(COUNTBLANK(D128)=0,COUNTA(INDIRECT(CONCATENATE("Setup!",LEFT(ADDRESS(1,MATCH(CONCATENATE(C128,":",D128),Setup!$1:$1,0),4),1),"2:",LEFT(ADDRESS(1,MATCH(CONCATENATE(C128,":",D128),Setup!$1:$1,0),4),1),"99"))),0)</f>
        <v>0</v>
      </c>
      <c r="BC128">
        <f ca="1">IF(COUNTBLANK(E128)=0,COUNTA(INDIRECT(CONCATENATE("Comp!",SUBSTITUTE(ADDRESS(1,MATCH(CONCATENATE(C128,":",D128,":",E128),Comp!$1:$1,0),4),"1",""),"2:",SUBSTITUTE(ADDRESS(1,MATCH(CONCATENATE(C128,":",D128,":",E128),Comp!$1:$1,0),4),"1",""),"99"))),0)</f>
        <v>0</v>
      </c>
    </row>
    <row r="129" spans="1:55">
      <c r="A129" s="20" t="s">
        <v>73</v>
      </c>
      <c r="B129" s="21"/>
      <c r="C129" s="20"/>
      <c r="D129" s="22"/>
      <c r="E129" s="22"/>
      <c r="F129" s="21"/>
      <c r="G129" s="23"/>
      <c r="H129" s="24"/>
      <c r="I129" s="22"/>
      <c r="J129" s="22"/>
      <c r="K129" s="22"/>
      <c r="L129" s="21"/>
      <c r="M129" s="20"/>
      <c r="N129" s="20"/>
      <c r="O129" s="23"/>
      <c r="P129" s="21"/>
      <c r="Q129" s="20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1"/>
      <c r="AU129" s="25" t="str">
        <f t="shared" si="2"/>
        <v>1Q42</v>
      </c>
      <c r="AV129" t="str">
        <f t="shared" si="3"/>
        <v>1Q42</v>
      </c>
      <c r="BA129">
        <f ca="1">IF(COUNTBLANK(C129)=0,COUNTA(INDIRECT(CONCATENATE("Area!",LEFT(ADDRESS(1,MATCH(C129,Area!$1:$1,0),4),1),"2:",LEFT(ADDRESS(1,MATCH(C129,Area!$1:$1,0),4),1),"99"))),0)</f>
        <v>0</v>
      </c>
      <c r="BB129">
        <f ca="1">IF(COUNTBLANK(D129)=0,COUNTA(INDIRECT(CONCATENATE("Setup!",LEFT(ADDRESS(1,MATCH(CONCATENATE(C129,":",D129),Setup!$1:$1,0),4),1),"2:",LEFT(ADDRESS(1,MATCH(CONCATENATE(C129,":",D129),Setup!$1:$1,0),4),1),"99"))),0)</f>
        <v>0</v>
      </c>
      <c r="BC129">
        <f ca="1">IF(COUNTBLANK(E129)=0,COUNTA(INDIRECT(CONCATENATE("Comp!",SUBSTITUTE(ADDRESS(1,MATCH(CONCATENATE(C129,":",D129,":",E129),Comp!$1:$1,0),4),"1",""),"2:",SUBSTITUTE(ADDRESS(1,MATCH(CONCATENATE(C129,":",D129,":",E129),Comp!$1:$1,0),4),"1",""),"99"))),0)</f>
        <v>0</v>
      </c>
    </row>
    <row r="130" spans="1:55">
      <c r="A130" s="20" t="s">
        <v>73</v>
      </c>
      <c r="B130" s="21"/>
      <c r="C130" s="20"/>
      <c r="D130" s="22"/>
      <c r="E130" s="22"/>
      <c r="F130" s="21"/>
      <c r="G130" s="23"/>
      <c r="H130" s="24"/>
      <c r="I130" s="22"/>
      <c r="J130" s="22"/>
      <c r="K130" s="22"/>
      <c r="L130" s="21"/>
      <c r="M130" s="20"/>
      <c r="N130" s="20"/>
      <c r="O130" s="23"/>
      <c r="P130" s="21"/>
      <c r="Q130" s="20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1"/>
      <c r="AU130" s="25" t="str">
        <f t="shared" si="2"/>
        <v>1Q42</v>
      </c>
      <c r="AV130" t="str">
        <f t="shared" si="3"/>
        <v>1Q42</v>
      </c>
      <c r="BA130">
        <f ca="1">IF(COUNTBLANK(C130)=0,COUNTA(INDIRECT(CONCATENATE("Area!",LEFT(ADDRESS(1,MATCH(C130,Area!$1:$1,0),4),1),"2:",LEFT(ADDRESS(1,MATCH(C130,Area!$1:$1,0),4),1),"99"))),0)</f>
        <v>0</v>
      </c>
      <c r="BB130">
        <f ca="1">IF(COUNTBLANK(D130)=0,COUNTA(INDIRECT(CONCATENATE("Setup!",LEFT(ADDRESS(1,MATCH(CONCATENATE(C130,":",D130),Setup!$1:$1,0),4),1),"2:",LEFT(ADDRESS(1,MATCH(CONCATENATE(C130,":",D130),Setup!$1:$1,0),4),1),"99"))),0)</f>
        <v>0</v>
      </c>
      <c r="BC130">
        <f ca="1">IF(COUNTBLANK(E130)=0,COUNTA(INDIRECT(CONCATENATE("Comp!",SUBSTITUTE(ADDRESS(1,MATCH(CONCATENATE(C130,":",D130,":",E130),Comp!$1:$1,0),4),"1",""),"2:",SUBSTITUTE(ADDRESS(1,MATCH(CONCATENATE(C130,":",D130,":",E130),Comp!$1:$1,0),4),"1",""),"99"))),0)</f>
        <v>0</v>
      </c>
    </row>
    <row r="131" spans="1:55">
      <c r="A131" s="20" t="s">
        <v>73</v>
      </c>
      <c r="B131" s="21"/>
      <c r="C131" s="20"/>
      <c r="D131" s="22"/>
      <c r="E131" s="22"/>
      <c r="F131" s="21"/>
      <c r="G131" s="23"/>
      <c r="H131" s="24"/>
      <c r="I131" s="22"/>
      <c r="J131" s="22"/>
      <c r="K131" s="22"/>
      <c r="L131" s="21"/>
      <c r="M131" s="20"/>
      <c r="N131" s="20"/>
      <c r="O131" s="23"/>
      <c r="P131" s="21"/>
      <c r="Q131" s="20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1"/>
      <c r="AU131" s="25" t="str">
        <f t="shared" si="2"/>
        <v>1Q42</v>
      </c>
      <c r="AV131" t="str">
        <f t="shared" si="3"/>
        <v>1Q42</v>
      </c>
      <c r="BA131">
        <f ca="1">IF(COUNTBLANK(C131)=0,COUNTA(INDIRECT(CONCATENATE("Area!",LEFT(ADDRESS(1,MATCH(C131,Area!$1:$1,0),4),1),"2:",LEFT(ADDRESS(1,MATCH(C131,Area!$1:$1,0),4),1),"99"))),0)</f>
        <v>0</v>
      </c>
      <c r="BB131">
        <f ca="1">IF(COUNTBLANK(D131)=0,COUNTA(INDIRECT(CONCATENATE("Setup!",LEFT(ADDRESS(1,MATCH(CONCATENATE(C131,":",D131),Setup!$1:$1,0),4),1),"2:",LEFT(ADDRESS(1,MATCH(CONCATENATE(C131,":",D131),Setup!$1:$1,0),4),1),"99"))),0)</f>
        <v>0</v>
      </c>
      <c r="BC131">
        <f ca="1">IF(COUNTBLANK(E131)=0,COUNTA(INDIRECT(CONCATENATE("Comp!",SUBSTITUTE(ADDRESS(1,MATCH(CONCATENATE(C131,":",D131,":",E131),Comp!$1:$1,0),4),"1",""),"2:",SUBSTITUTE(ADDRESS(1,MATCH(CONCATENATE(C131,":",D131,":",E131),Comp!$1:$1,0),4),"1",""),"99"))),0)</f>
        <v>0</v>
      </c>
    </row>
    <row r="132" spans="1:55">
      <c r="A132" s="20" t="s">
        <v>73</v>
      </c>
      <c r="B132" s="21"/>
      <c r="C132" s="20"/>
      <c r="D132" s="22"/>
      <c r="E132" s="22"/>
      <c r="F132" s="21"/>
      <c r="G132" s="23"/>
      <c r="H132" s="24"/>
      <c r="I132" s="22"/>
      <c r="J132" s="22"/>
      <c r="K132" s="22"/>
      <c r="L132" s="21"/>
      <c r="M132" s="20"/>
      <c r="N132" s="20"/>
      <c r="O132" s="23"/>
      <c r="P132" s="21"/>
      <c r="Q132" s="20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1"/>
      <c r="AU132" s="25" t="str">
        <f t="shared" si="2"/>
        <v>1Q42</v>
      </c>
      <c r="AV132" t="str">
        <f t="shared" si="3"/>
        <v>1Q42</v>
      </c>
      <c r="BA132">
        <f ca="1">IF(COUNTBLANK(C132)=0,COUNTA(INDIRECT(CONCATENATE("Area!",LEFT(ADDRESS(1,MATCH(C132,Area!$1:$1,0),4),1),"2:",LEFT(ADDRESS(1,MATCH(C132,Area!$1:$1,0),4),1),"99"))),0)</f>
        <v>0</v>
      </c>
      <c r="BB132">
        <f ca="1">IF(COUNTBLANK(D132)=0,COUNTA(INDIRECT(CONCATENATE("Setup!",LEFT(ADDRESS(1,MATCH(CONCATENATE(C132,":",D132),Setup!$1:$1,0),4),1),"2:",LEFT(ADDRESS(1,MATCH(CONCATENATE(C132,":",D132),Setup!$1:$1,0),4),1),"99"))),0)</f>
        <v>0</v>
      </c>
      <c r="BC132">
        <f ca="1">IF(COUNTBLANK(E132)=0,COUNTA(INDIRECT(CONCATENATE("Comp!",SUBSTITUTE(ADDRESS(1,MATCH(CONCATENATE(C132,":",D132,":",E132),Comp!$1:$1,0),4),"1",""),"2:",SUBSTITUTE(ADDRESS(1,MATCH(CONCATENATE(C132,":",D132,":",E132),Comp!$1:$1,0),4),"1",""),"99"))),0)</f>
        <v>0</v>
      </c>
    </row>
    <row r="133" spans="1:55">
      <c r="A133" s="20" t="s">
        <v>73</v>
      </c>
      <c r="B133" s="21"/>
      <c r="C133" s="20"/>
      <c r="D133" s="22"/>
      <c r="E133" s="22"/>
      <c r="F133" s="21"/>
      <c r="G133" s="23"/>
      <c r="H133" s="24"/>
      <c r="I133" s="22"/>
      <c r="J133" s="22"/>
      <c r="K133" s="22"/>
      <c r="L133" s="21"/>
      <c r="M133" s="20"/>
      <c r="N133" s="20"/>
      <c r="O133" s="23"/>
      <c r="P133" s="21"/>
      <c r="Q133" s="20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1"/>
      <c r="AU133" s="25" t="str">
        <f t="shared" si="2"/>
        <v>1Q42</v>
      </c>
      <c r="AV133" t="str">
        <f t="shared" si="3"/>
        <v>1Q42</v>
      </c>
      <c r="BA133">
        <f ca="1">IF(COUNTBLANK(C133)=0,COUNTA(INDIRECT(CONCATENATE("Area!",LEFT(ADDRESS(1,MATCH(C133,Area!$1:$1,0),4),1),"2:",LEFT(ADDRESS(1,MATCH(C133,Area!$1:$1,0),4),1),"99"))),0)</f>
        <v>0</v>
      </c>
      <c r="BB133">
        <f ca="1">IF(COUNTBLANK(D133)=0,COUNTA(INDIRECT(CONCATENATE("Setup!",LEFT(ADDRESS(1,MATCH(CONCATENATE(C133,":",D133),Setup!$1:$1,0),4),1),"2:",LEFT(ADDRESS(1,MATCH(CONCATENATE(C133,":",D133),Setup!$1:$1,0),4),1),"99"))),0)</f>
        <v>0</v>
      </c>
      <c r="BC133">
        <f ca="1">IF(COUNTBLANK(E133)=0,COUNTA(INDIRECT(CONCATENATE("Comp!",SUBSTITUTE(ADDRESS(1,MATCH(CONCATENATE(C133,":",D133,":",E133),Comp!$1:$1,0),4),"1",""),"2:",SUBSTITUTE(ADDRESS(1,MATCH(CONCATENATE(C133,":",D133,":",E133),Comp!$1:$1,0),4),"1",""),"99"))),0)</f>
        <v>0</v>
      </c>
    </row>
    <row r="134" spans="1:55">
      <c r="A134" s="20" t="s">
        <v>73</v>
      </c>
      <c r="B134" s="21"/>
      <c r="C134" s="20"/>
      <c r="D134" s="22"/>
      <c r="E134" s="22"/>
      <c r="F134" s="21"/>
      <c r="G134" s="23"/>
      <c r="H134" s="24"/>
      <c r="I134" s="22"/>
      <c r="J134" s="22"/>
      <c r="K134" s="22"/>
      <c r="L134" s="21"/>
      <c r="M134" s="20"/>
      <c r="N134" s="20"/>
      <c r="O134" s="23"/>
      <c r="P134" s="21"/>
      <c r="Q134" s="20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1"/>
      <c r="AU134" s="25" t="str">
        <f t="shared" si="2"/>
        <v>1Q42</v>
      </c>
      <c r="AV134" t="str">
        <f t="shared" si="3"/>
        <v>1Q42</v>
      </c>
      <c r="BA134">
        <f ca="1">IF(COUNTBLANK(C134)=0,COUNTA(INDIRECT(CONCATENATE("Area!",LEFT(ADDRESS(1,MATCH(C134,Area!$1:$1,0),4),1),"2:",LEFT(ADDRESS(1,MATCH(C134,Area!$1:$1,0),4),1),"99"))),0)</f>
        <v>0</v>
      </c>
      <c r="BB134">
        <f ca="1">IF(COUNTBLANK(D134)=0,COUNTA(INDIRECT(CONCATENATE("Setup!",LEFT(ADDRESS(1,MATCH(CONCATENATE(C134,":",D134),Setup!$1:$1,0),4),1),"2:",LEFT(ADDRESS(1,MATCH(CONCATENATE(C134,":",D134),Setup!$1:$1,0),4),1),"99"))),0)</f>
        <v>0</v>
      </c>
      <c r="BC134">
        <f ca="1">IF(COUNTBLANK(E134)=0,COUNTA(INDIRECT(CONCATENATE("Comp!",SUBSTITUTE(ADDRESS(1,MATCH(CONCATENATE(C134,":",D134,":",E134),Comp!$1:$1,0),4),"1",""),"2:",SUBSTITUTE(ADDRESS(1,MATCH(CONCATENATE(C134,":",D134,":",E134),Comp!$1:$1,0),4),"1",""),"99"))),0)</f>
        <v>0</v>
      </c>
    </row>
    <row r="135" spans="1:55">
      <c r="A135" s="20" t="s">
        <v>73</v>
      </c>
      <c r="B135" s="21"/>
      <c r="C135" s="20"/>
      <c r="D135" s="22"/>
      <c r="E135" s="22"/>
      <c r="F135" s="21"/>
      <c r="G135" s="23"/>
      <c r="H135" s="24"/>
      <c r="I135" s="22"/>
      <c r="J135" s="22"/>
      <c r="K135" s="22"/>
      <c r="L135" s="21"/>
      <c r="M135" s="20"/>
      <c r="N135" s="20"/>
      <c r="O135" s="23"/>
      <c r="P135" s="21"/>
      <c r="Q135" s="20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1"/>
      <c r="AU135" s="25" t="str">
        <f t="shared" si="2"/>
        <v>1Q42</v>
      </c>
      <c r="AV135" t="str">
        <f t="shared" si="3"/>
        <v>1Q42</v>
      </c>
      <c r="BA135">
        <f ca="1">IF(COUNTBLANK(C135)=0,COUNTA(INDIRECT(CONCATENATE("Area!",LEFT(ADDRESS(1,MATCH(C135,Area!$1:$1,0),4),1),"2:",LEFT(ADDRESS(1,MATCH(C135,Area!$1:$1,0),4),1),"99"))),0)</f>
        <v>0</v>
      </c>
      <c r="BB135">
        <f ca="1">IF(COUNTBLANK(D135)=0,COUNTA(INDIRECT(CONCATENATE("Setup!",LEFT(ADDRESS(1,MATCH(CONCATENATE(C135,":",D135),Setup!$1:$1,0),4),1),"2:",LEFT(ADDRESS(1,MATCH(CONCATENATE(C135,":",D135),Setup!$1:$1,0),4),1),"99"))),0)</f>
        <v>0</v>
      </c>
      <c r="BC135">
        <f ca="1">IF(COUNTBLANK(E135)=0,COUNTA(INDIRECT(CONCATENATE("Comp!",SUBSTITUTE(ADDRESS(1,MATCH(CONCATENATE(C135,":",D135,":",E135),Comp!$1:$1,0),4),"1",""),"2:",SUBSTITUTE(ADDRESS(1,MATCH(CONCATENATE(C135,":",D135,":",E135),Comp!$1:$1,0),4),"1",""),"99"))),0)</f>
        <v>0</v>
      </c>
    </row>
    <row r="136" spans="1:55">
      <c r="A136" s="20" t="s">
        <v>73</v>
      </c>
      <c r="B136" s="21"/>
      <c r="C136" s="20"/>
      <c r="D136" s="22"/>
      <c r="E136" s="22"/>
      <c r="F136" s="21"/>
      <c r="G136" s="23"/>
      <c r="H136" s="24"/>
      <c r="I136" s="22"/>
      <c r="J136" s="22"/>
      <c r="K136" s="22"/>
      <c r="L136" s="21"/>
      <c r="M136" s="20"/>
      <c r="N136" s="20"/>
      <c r="O136" s="23"/>
      <c r="P136" s="21"/>
      <c r="Q136" s="20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1"/>
      <c r="AU136" s="25" t="str">
        <f t="shared" si="2"/>
        <v>1Q42</v>
      </c>
      <c r="AV136" t="str">
        <f t="shared" si="3"/>
        <v>1Q42</v>
      </c>
      <c r="BA136">
        <f ca="1">IF(COUNTBLANK(C136)=0,COUNTA(INDIRECT(CONCATENATE("Area!",LEFT(ADDRESS(1,MATCH(C136,Area!$1:$1,0),4),1),"2:",LEFT(ADDRESS(1,MATCH(C136,Area!$1:$1,0),4),1),"99"))),0)</f>
        <v>0</v>
      </c>
      <c r="BB136">
        <f ca="1">IF(COUNTBLANK(D136)=0,COUNTA(INDIRECT(CONCATENATE("Setup!",LEFT(ADDRESS(1,MATCH(CONCATENATE(C136,":",D136),Setup!$1:$1,0),4),1),"2:",LEFT(ADDRESS(1,MATCH(CONCATENATE(C136,":",D136),Setup!$1:$1,0),4),1),"99"))),0)</f>
        <v>0</v>
      </c>
      <c r="BC136">
        <f ca="1">IF(COUNTBLANK(E136)=0,COUNTA(INDIRECT(CONCATENATE("Comp!",SUBSTITUTE(ADDRESS(1,MATCH(CONCATENATE(C136,":",D136,":",E136),Comp!$1:$1,0),4),"1",""),"2:",SUBSTITUTE(ADDRESS(1,MATCH(CONCATENATE(C136,":",D136,":",E136),Comp!$1:$1,0),4),"1",""),"99"))),0)</f>
        <v>0</v>
      </c>
    </row>
    <row r="137" spans="1:55">
      <c r="A137" s="20" t="s">
        <v>73</v>
      </c>
      <c r="B137" s="21"/>
      <c r="C137" s="20"/>
      <c r="D137" s="22"/>
      <c r="E137" s="22"/>
      <c r="F137" s="21"/>
      <c r="G137" s="23"/>
      <c r="H137" s="24"/>
      <c r="I137" s="22"/>
      <c r="J137" s="22"/>
      <c r="K137" s="22"/>
      <c r="L137" s="21"/>
      <c r="M137" s="20"/>
      <c r="N137" s="20"/>
      <c r="O137" s="23"/>
      <c r="P137" s="21"/>
      <c r="Q137" s="20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1"/>
      <c r="AU137" s="25" t="str">
        <f t="shared" ref="AU137:AU200" si="4">CONCATENATE(A137,B137)</f>
        <v>1Q42</v>
      </c>
      <c r="AV137" t="str">
        <f t="shared" ref="AV137:AV200" si="5">CONCATENATE(A137,B137)</f>
        <v>1Q42</v>
      </c>
      <c r="BA137">
        <f ca="1">IF(COUNTBLANK(C137)=0,COUNTA(INDIRECT(CONCATENATE("Area!",LEFT(ADDRESS(1,MATCH(C137,Area!$1:$1,0),4),1),"2:",LEFT(ADDRESS(1,MATCH(C137,Area!$1:$1,0),4),1),"99"))),0)</f>
        <v>0</v>
      </c>
      <c r="BB137">
        <f ca="1">IF(COUNTBLANK(D137)=0,COUNTA(INDIRECT(CONCATENATE("Setup!",LEFT(ADDRESS(1,MATCH(CONCATENATE(C137,":",D137),Setup!$1:$1,0),4),1),"2:",LEFT(ADDRESS(1,MATCH(CONCATENATE(C137,":",D137),Setup!$1:$1,0),4),1),"99"))),0)</f>
        <v>0</v>
      </c>
      <c r="BC137">
        <f ca="1">IF(COUNTBLANK(E137)=0,COUNTA(INDIRECT(CONCATENATE("Comp!",SUBSTITUTE(ADDRESS(1,MATCH(CONCATENATE(C137,":",D137,":",E137),Comp!$1:$1,0),4),"1",""),"2:",SUBSTITUTE(ADDRESS(1,MATCH(CONCATENATE(C137,":",D137,":",E137),Comp!$1:$1,0),4),"1",""),"99"))),0)</f>
        <v>0</v>
      </c>
    </row>
    <row r="138" spans="1:55">
      <c r="A138" s="20" t="s">
        <v>73</v>
      </c>
      <c r="B138" s="21"/>
      <c r="C138" s="20"/>
      <c r="D138" s="22"/>
      <c r="E138" s="22"/>
      <c r="F138" s="21"/>
      <c r="G138" s="23"/>
      <c r="H138" s="24"/>
      <c r="I138" s="22"/>
      <c r="J138" s="22"/>
      <c r="K138" s="22"/>
      <c r="L138" s="21"/>
      <c r="M138" s="20"/>
      <c r="N138" s="20"/>
      <c r="O138" s="23"/>
      <c r="P138" s="21"/>
      <c r="Q138" s="20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1"/>
      <c r="AU138" s="25" t="str">
        <f t="shared" si="4"/>
        <v>1Q42</v>
      </c>
      <c r="AV138" t="str">
        <f t="shared" si="5"/>
        <v>1Q42</v>
      </c>
      <c r="BA138">
        <f ca="1">IF(COUNTBLANK(C138)=0,COUNTA(INDIRECT(CONCATENATE("Area!",LEFT(ADDRESS(1,MATCH(C138,Area!$1:$1,0),4),1),"2:",LEFT(ADDRESS(1,MATCH(C138,Area!$1:$1,0),4),1),"99"))),0)</f>
        <v>0</v>
      </c>
      <c r="BB138">
        <f ca="1">IF(COUNTBLANK(D138)=0,COUNTA(INDIRECT(CONCATENATE("Setup!",LEFT(ADDRESS(1,MATCH(CONCATENATE(C138,":",D138),Setup!$1:$1,0),4),1),"2:",LEFT(ADDRESS(1,MATCH(CONCATENATE(C138,":",D138),Setup!$1:$1,0),4),1),"99"))),0)</f>
        <v>0</v>
      </c>
      <c r="BC138">
        <f ca="1">IF(COUNTBLANK(E138)=0,COUNTA(INDIRECT(CONCATENATE("Comp!",SUBSTITUTE(ADDRESS(1,MATCH(CONCATENATE(C138,":",D138,":",E138),Comp!$1:$1,0),4),"1",""),"2:",SUBSTITUTE(ADDRESS(1,MATCH(CONCATENATE(C138,":",D138,":",E138),Comp!$1:$1,0),4),"1",""),"99"))),0)</f>
        <v>0</v>
      </c>
    </row>
    <row r="139" spans="1:55">
      <c r="A139" s="20" t="s">
        <v>73</v>
      </c>
      <c r="B139" s="21"/>
      <c r="C139" s="20"/>
      <c r="D139" s="22"/>
      <c r="E139" s="22"/>
      <c r="F139" s="21"/>
      <c r="G139" s="23"/>
      <c r="H139" s="24"/>
      <c r="I139" s="22"/>
      <c r="J139" s="22"/>
      <c r="K139" s="22"/>
      <c r="L139" s="21"/>
      <c r="M139" s="20"/>
      <c r="N139" s="20"/>
      <c r="O139" s="23"/>
      <c r="P139" s="21"/>
      <c r="Q139" s="20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1"/>
      <c r="AU139" s="25" t="str">
        <f t="shared" si="4"/>
        <v>1Q42</v>
      </c>
      <c r="AV139" t="str">
        <f t="shared" si="5"/>
        <v>1Q42</v>
      </c>
      <c r="BA139">
        <f ca="1">IF(COUNTBLANK(C139)=0,COUNTA(INDIRECT(CONCATENATE("Area!",LEFT(ADDRESS(1,MATCH(C139,Area!$1:$1,0),4),1),"2:",LEFT(ADDRESS(1,MATCH(C139,Area!$1:$1,0),4),1),"99"))),0)</f>
        <v>0</v>
      </c>
      <c r="BB139">
        <f ca="1">IF(COUNTBLANK(D139)=0,COUNTA(INDIRECT(CONCATENATE("Setup!",LEFT(ADDRESS(1,MATCH(CONCATENATE(C139,":",D139),Setup!$1:$1,0),4),1),"2:",LEFT(ADDRESS(1,MATCH(CONCATENATE(C139,":",D139),Setup!$1:$1,0),4),1),"99"))),0)</f>
        <v>0</v>
      </c>
      <c r="BC139">
        <f ca="1">IF(COUNTBLANK(E139)=0,COUNTA(INDIRECT(CONCATENATE("Comp!",SUBSTITUTE(ADDRESS(1,MATCH(CONCATENATE(C139,":",D139,":",E139),Comp!$1:$1,0),4),"1",""),"2:",SUBSTITUTE(ADDRESS(1,MATCH(CONCATENATE(C139,":",D139,":",E139),Comp!$1:$1,0),4),"1",""),"99"))),0)</f>
        <v>0</v>
      </c>
    </row>
    <row r="140" spans="1:55">
      <c r="A140" s="20" t="s">
        <v>73</v>
      </c>
      <c r="B140" s="21"/>
      <c r="C140" s="20"/>
      <c r="D140" s="22"/>
      <c r="E140" s="22"/>
      <c r="F140" s="21"/>
      <c r="G140" s="23"/>
      <c r="H140" s="24"/>
      <c r="I140" s="22"/>
      <c r="J140" s="22"/>
      <c r="K140" s="22"/>
      <c r="L140" s="21"/>
      <c r="M140" s="20"/>
      <c r="N140" s="20"/>
      <c r="O140" s="23"/>
      <c r="P140" s="21"/>
      <c r="Q140" s="20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1"/>
      <c r="AU140" s="25" t="str">
        <f t="shared" si="4"/>
        <v>1Q42</v>
      </c>
      <c r="AV140" t="str">
        <f t="shared" si="5"/>
        <v>1Q42</v>
      </c>
      <c r="BA140">
        <f ca="1">IF(COUNTBLANK(C140)=0,COUNTA(INDIRECT(CONCATENATE("Area!",LEFT(ADDRESS(1,MATCH(C140,Area!$1:$1,0),4),1),"2:",LEFT(ADDRESS(1,MATCH(C140,Area!$1:$1,0),4),1),"99"))),0)</f>
        <v>0</v>
      </c>
      <c r="BB140">
        <f ca="1">IF(COUNTBLANK(D140)=0,COUNTA(INDIRECT(CONCATENATE("Setup!",LEFT(ADDRESS(1,MATCH(CONCATENATE(C140,":",D140),Setup!$1:$1,0),4),1),"2:",LEFT(ADDRESS(1,MATCH(CONCATENATE(C140,":",D140),Setup!$1:$1,0),4),1),"99"))),0)</f>
        <v>0</v>
      </c>
      <c r="BC140">
        <f ca="1">IF(COUNTBLANK(E140)=0,COUNTA(INDIRECT(CONCATENATE("Comp!",SUBSTITUTE(ADDRESS(1,MATCH(CONCATENATE(C140,":",D140,":",E140),Comp!$1:$1,0),4),"1",""),"2:",SUBSTITUTE(ADDRESS(1,MATCH(CONCATENATE(C140,":",D140,":",E140),Comp!$1:$1,0),4),"1",""),"99"))),0)</f>
        <v>0</v>
      </c>
    </row>
    <row r="141" spans="1:55">
      <c r="A141" s="20" t="s">
        <v>73</v>
      </c>
      <c r="B141" s="21"/>
      <c r="C141" s="20"/>
      <c r="D141" s="22"/>
      <c r="E141" s="22"/>
      <c r="F141" s="21"/>
      <c r="G141" s="23"/>
      <c r="H141" s="24"/>
      <c r="I141" s="22"/>
      <c r="J141" s="22"/>
      <c r="K141" s="22"/>
      <c r="L141" s="21"/>
      <c r="M141" s="20"/>
      <c r="N141" s="20"/>
      <c r="O141" s="23"/>
      <c r="P141" s="21"/>
      <c r="Q141" s="20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1"/>
      <c r="AU141" s="25" t="str">
        <f t="shared" si="4"/>
        <v>1Q42</v>
      </c>
      <c r="AV141" t="str">
        <f t="shared" si="5"/>
        <v>1Q42</v>
      </c>
      <c r="BA141">
        <f ca="1">IF(COUNTBLANK(C141)=0,COUNTA(INDIRECT(CONCATENATE("Area!",LEFT(ADDRESS(1,MATCH(C141,Area!$1:$1,0),4),1),"2:",LEFT(ADDRESS(1,MATCH(C141,Area!$1:$1,0),4),1),"99"))),0)</f>
        <v>0</v>
      </c>
      <c r="BB141">
        <f ca="1">IF(COUNTBLANK(D141)=0,COUNTA(INDIRECT(CONCATENATE("Setup!",LEFT(ADDRESS(1,MATCH(CONCATENATE(C141,":",D141),Setup!$1:$1,0),4),1),"2:",LEFT(ADDRESS(1,MATCH(CONCATENATE(C141,":",D141),Setup!$1:$1,0),4),1),"99"))),0)</f>
        <v>0</v>
      </c>
      <c r="BC141">
        <f ca="1">IF(COUNTBLANK(E141)=0,COUNTA(INDIRECT(CONCATENATE("Comp!",SUBSTITUTE(ADDRESS(1,MATCH(CONCATENATE(C141,":",D141,":",E141),Comp!$1:$1,0),4),"1",""),"2:",SUBSTITUTE(ADDRESS(1,MATCH(CONCATENATE(C141,":",D141,":",E141),Comp!$1:$1,0),4),"1",""),"99"))),0)</f>
        <v>0</v>
      </c>
    </row>
    <row r="142" spans="1:55">
      <c r="A142" s="20" t="s">
        <v>73</v>
      </c>
      <c r="B142" s="21"/>
      <c r="C142" s="20"/>
      <c r="D142" s="22"/>
      <c r="E142" s="22"/>
      <c r="F142" s="21"/>
      <c r="G142" s="23"/>
      <c r="H142" s="24"/>
      <c r="I142" s="22"/>
      <c r="J142" s="22"/>
      <c r="K142" s="22"/>
      <c r="L142" s="21"/>
      <c r="M142" s="20"/>
      <c r="N142" s="20"/>
      <c r="O142" s="23"/>
      <c r="P142" s="21"/>
      <c r="Q142" s="20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1"/>
      <c r="AU142" s="25" t="str">
        <f t="shared" si="4"/>
        <v>1Q42</v>
      </c>
      <c r="AV142" t="str">
        <f t="shared" si="5"/>
        <v>1Q42</v>
      </c>
      <c r="BA142">
        <f ca="1">IF(COUNTBLANK(C142)=0,COUNTA(INDIRECT(CONCATENATE("Area!",LEFT(ADDRESS(1,MATCH(C142,Area!$1:$1,0),4),1),"2:",LEFT(ADDRESS(1,MATCH(C142,Area!$1:$1,0),4),1),"99"))),0)</f>
        <v>0</v>
      </c>
      <c r="BB142">
        <f ca="1">IF(COUNTBLANK(D142)=0,COUNTA(INDIRECT(CONCATENATE("Setup!",LEFT(ADDRESS(1,MATCH(CONCATENATE(C142,":",D142),Setup!$1:$1,0),4),1),"2:",LEFT(ADDRESS(1,MATCH(CONCATENATE(C142,":",D142),Setup!$1:$1,0),4),1),"99"))),0)</f>
        <v>0</v>
      </c>
      <c r="BC142">
        <f ca="1">IF(COUNTBLANK(E142)=0,COUNTA(INDIRECT(CONCATENATE("Comp!",SUBSTITUTE(ADDRESS(1,MATCH(CONCATENATE(C142,":",D142,":",E142),Comp!$1:$1,0),4),"1",""),"2:",SUBSTITUTE(ADDRESS(1,MATCH(CONCATENATE(C142,":",D142,":",E142),Comp!$1:$1,0),4),"1",""),"99"))),0)</f>
        <v>0</v>
      </c>
    </row>
    <row r="143" spans="1:55">
      <c r="A143" s="20" t="s">
        <v>73</v>
      </c>
      <c r="B143" s="21"/>
      <c r="C143" s="20"/>
      <c r="D143" s="22"/>
      <c r="E143" s="22"/>
      <c r="F143" s="21"/>
      <c r="G143" s="23"/>
      <c r="H143" s="24"/>
      <c r="I143" s="22"/>
      <c r="J143" s="22"/>
      <c r="K143" s="22"/>
      <c r="L143" s="21"/>
      <c r="M143" s="20"/>
      <c r="N143" s="20"/>
      <c r="O143" s="23"/>
      <c r="P143" s="21"/>
      <c r="Q143" s="20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1"/>
      <c r="AU143" s="25" t="str">
        <f t="shared" si="4"/>
        <v>1Q42</v>
      </c>
      <c r="AV143" t="str">
        <f t="shared" si="5"/>
        <v>1Q42</v>
      </c>
      <c r="BA143">
        <f ca="1">IF(COUNTBLANK(C143)=0,COUNTA(INDIRECT(CONCATENATE("Area!",LEFT(ADDRESS(1,MATCH(C143,Area!$1:$1,0),4),1),"2:",LEFT(ADDRESS(1,MATCH(C143,Area!$1:$1,0),4),1),"99"))),0)</f>
        <v>0</v>
      </c>
      <c r="BB143">
        <f ca="1">IF(COUNTBLANK(D143)=0,COUNTA(INDIRECT(CONCATENATE("Setup!",LEFT(ADDRESS(1,MATCH(CONCATENATE(C143,":",D143),Setup!$1:$1,0),4),1),"2:",LEFT(ADDRESS(1,MATCH(CONCATENATE(C143,":",D143),Setup!$1:$1,0),4),1),"99"))),0)</f>
        <v>0</v>
      </c>
      <c r="BC143">
        <f ca="1">IF(COUNTBLANK(E143)=0,COUNTA(INDIRECT(CONCATENATE("Comp!",SUBSTITUTE(ADDRESS(1,MATCH(CONCATENATE(C143,":",D143,":",E143),Comp!$1:$1,0),4),"1",""),"2:",SUBSTITUTE(ADDRESS(1,MATCH(CONCATENATE(C143,":",D143,":",E143),Comp!$1:$1,0),4),"1",""),"99"))),0)</f>
        <v>0</v>
      </c>
    </row>
    <row r="144" spans="1:55">
      <c r="A144" s="20" t="s">
        <v>73</v>
      </c>
      <c r="B144" s="21"/>
      <c r="C144" s="20"/>
      <c r="D144" s="22"/>
      <c r="E144" s="22"/>
      <c r="F144" s="21"/>
      <c r="G144" s="23"/>
      <c r="H144" s="24"/>
      <c r="I144" s="22"/>
      <c r="J144" s="22"/>
      <c r="K144" s="22"/>
      <c r="L144" s="21"/>
      <c r="M144" s="20"/>
      <c r="N144" s="20"/>
      <c r="O144" s="23"/>
      <c r="P144" s="21"/>
      <c r="Q144" s="20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1"/>
      <c r="AU144" s="25" t="str">
        <f t="shared" si="4"/>
        <v>1Q42</v>
      </c>
      <c r="AV144" t="str">
        <f t="shared" si="5"/>
        <v>1Q42</v>
      </c>
      <c r="BA144">
        <f ca="1">IF(COUNTBLANK(C144)=0,COUNTA(INDIRECT(CONCATENATE("Area!",LEFT(ADDRESS(1,MATCH(C144,Area!$1:$1,0),4),1),"2:",LEFT(ADDRESS(1,MATCH(C144,Area!$1:$1,0),4),1),"99"))),0)</f>
        <v>0</v>
      </c>
      <c r="BB144">
        <f ca="1">IF(COUNTBLANK(D144)=0,COUNTA(INDIRECT(CONCATENATE("Setup!",LEFT(ADDRESS(1,MATCH(CONCATENATE(C144,":",D144),Setup!$1:$1,0),4),1),"2:",LEFT(ADDRESS(1,MATCH(CONCATENATE(C144,":",D144),Setup!$1:$1,0),4),1),"99"))),0)</f>
        <v>0</v>
      </c>
      <c r="BC144">
        <f ca="1">IF(COUNTBLANK(E144)=0,COUNTA(INDIRECT(CONCATENATE("Comp!",SUBSTITUTE(ADDRESS(1,MATCH(CONCATENATE(C144,":",D144,":",E144),Comp!$1:$1,0),4),"1",""),"2:",SUBSTITUTE(ADDRESS(1,MATCH(CONCATENATE(C144,":",D144,":",E144),Comp!$1:$1,0),4),"1",""),"99"))),0)</f>
        <v>0</v>
      </c>
    </row>
    <row r="145" spans="1:55">
      <c r="A145" s="20" t="s">
        <v>73</v>
      </c>
      <c r="B145" s="21"/>
      <c r="C145" s="20"/>
      <c r="D145" s="22"/>
      <c r="E145" s="22"/>
      <c r="F145" s="21"/>
      <c r="G145" s="23"/>
      <c r="H145" s="24"/>
      <c r="I145" s="22"/>
      <c r="J145" s="22"/>
      <c r="K145" s="22"/>
      <c r="L145" s="21"/>
      <c r="M145" s="20"/>
      <c r="N145" s="20"/>
      <c r="O145" s="23"/>
      <c r="P145" s="21"/>
      <c r="Q145" s="20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1"/>
      <c r="AU145" s="25" t="str">
        <f t="shared" si="4"/>
        <v>1Q42</v>
      </c>
      <c r="AV145" t="str">
        <f t="shared" si="5"/>
        <v>1Q42</v>
      </c>
      <c r="BA145">
        <f ca="1">IF(COUNTBLANK(C145)=0,COUNTA(INDIRECT(CONCATENATE("Area!",LEFT(ADDRESS(1,MATCH(C145,Area!$1:$1,0),4),1),"2:",LEFT(ADDRESS(1,MATCH(C145,Area!$1:$1,0),4),1),"99"))),0)</f>
        <v>0</v>
      </c>
      <c r="BB145">
        <f ca="1">IF(COUNTBLANK(D145)=0,COUNTA(INDIRECT(CONCATENATE("Setup!",LEFT(ADDRESS(1,MATCH(CONCATENATE(C145,":",D145),Setup!$1:$1,0),4),1),"2:",LEFT(ADDRESS(1,MATCH(CONCATENATE(C145,":",D145),Setup!$1:$1,0),4),1),"99"))),0)</f>
        <v>0</v>
      </c>
      <c r="BC145">
        <f ca="1">IF(COUNTBLANK(E145)=0,COUNTA(INDIRECT(CONCATENATE("Comp!",SUBSTITUTE(ADDRESS(1,MATCH(CONCATENATE(C145,":",D145,":",E145),Comp!$1:$1,0),4),"1",""),"2:",SUBSTITUTE(ADDRESS(1,MATCH(CONCATENATE(C145,":",D145,":",E145),Comp!$1:$1,0),4),"1",""),"99"))),0)</f>
        <v>0</v>
      </c>
    </row>
    <row r="146" spans="1:55">
      <c r="A146" s="20" t="s">
        <v>73</v>
      </c>
      <c r="B146" s="21"/>
      <c r="C146" s="20"/>
      <c r="D146" s="22"/>
      <c r="E146" s="22"/>
      <c r="F146" s="21"/>
      <c r="G146" s="23"/>
      <c r="H146" s="24"/>
      <c r="I146" s="22"/>
      <c r="J146" s="22"/>
      <c r="K146" s="22"/>
      <c r="L146" s="21"/>
      <c r="M146" s="20"/>
      <c r="N146" s="20"/>
      <c r="O146" s="23"/>
      <c r="P146" s="21"/>
      <c r="Q146" s="20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1"/>
      <c r="AU146" s="25" t="str">
        <f t="shared" si="4"/>
        <v>1Q42</v>
      </c>
      <c r="AV146" t="str">
        <f t="shared" si="5"/>
        <v>1Q42</v>
      </c>
      <c r="BA146">
        <f ca="1">IF(COUNTBLANK(C146)=0,COUNTA(INDIRECT(CONCATENATE("Area!",LEFT(ADDRESS(1,MATCH(C146,Area!$1:$1,0),4),1),"2:",LEFT(ADDRESS(1,MATCH(C146,Area!$1:$1,0),4),1),"99"))),0)</f>
        <v>0</v>
      </c>
      <c r="BB146">
        <f ca="1">IF(COUNTBLANK(D146)=0,COUNTA(INDIRECT(CONCATENATE("Setup!",LEFT(ADDRESS(1,MATCH(CONCATENATE(C146,":",D146),Setup!$1:$1,0),4),1),"2:",LEFT(ADDRESS(1,MATCH(CONCATENATE(C146,":",D146),Setup!$1:$1,0),4),1),"99"))),0)</f>
        <v>0</v>
      </c>
      <c r="BC146">
        <f ca="1">IF(COUNTBLANK(E146)=0,COUNTA(INDIRECT(CONCATENATE("Comp!",SUBSTITUTE(ADDRESS(1,MATCH(CONCATENATE(C146,":",D146,":",E146),Comp!$1:$1,0),4),"1",""),"2:",SUBSTITUTE(ADDRESS(1,MATCH(CONCATENATE(C146,":",D146,":",E146),Comp!$1:$1,0),4),"1",""),"99"))),0)</f>
        <v>0</v>
      </c>
    </row>
    <row r="147" spans="1:55">
      <c r="A147" s="20" t="s">
        <v>73</v>
      </c>
      <c r="B147" s="21"/>
      <c r="C147" s="20"/>
      <c r="D147" s="22"/>
      <c r="E147" s="22"/>
      <c r="F147" s="21"/>
      <c r="G147" s="23"/>
      <c r="H147" s="24"/>
      <c r="I147" s="22"/>
      <c r="J147" s="22"/>
      <c r="K147" s="22"/>
      <c r="L147" s="21"/>
      <c r="M147" s="20"/>
      <c r="N147" s="20"/>
      <c r="O147" s="23"/>
      <c r="P147" s="21"/>
      <c r="Q147" s="20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1"/>
      <c r="AU147" s="25" t="str">
        <f t="shared" si="4"/>
        <v>1Q42</v>
      </c>
      <c r="AV147" t="str">
        <f t="shared" si="5"/>
        <v>1Q42</v>
      </c>
      <c r="BA147">
        <f ca="1">IF(COUNTBLANK(C147)=0,COUNTA(INDIRECT(CONCATENATE("Area!",LEFT(ADDRESS(1,MATCH(C147,Area!$1:$1,0),4),1),"2:",LEFT(ADDRESS(1,MATCH(C147,Area!$1:$1,0),4),1),"99"))),0)</f>
        <v>0</v>
      </c>
      <c r="BB147">
        <f ca="1">IF(COUNTBLANK(D147)=0,COUNTA(INDIRECT(CONCATENATE("Setup!",LEFT(ADDRESS(1,MATCH(CONCATENATE(C147,":",D147),Setup!$1:$1,0),4),1),"2:",LEFT(ADDRESS(1,MATCH(CONCATENATE(C147,":",D147),Setup!$1:$1,0),4),1),"99"))),0)</f>
        <v>0</v>
      </c>
      <c r="BC147">
        <f ca="1">IF(COUNTBLANK(E147)=0,COUNTA(INDIRECT(CONCATENATE("Comp!",SUBSTITUTE(ADDRESS(1,MATCH(CONCATENATE(C147,":",D147,":",E147),Comp!$1:$1,0),4),"1",""),"2:",SUBSTITUTE(ADDRESS(1,MATCH(CONCATENATE(C147,":",D147,":",E147),Comp!$1:$1,0),4),"1",""),"99"))),0)</f>
        <v>0</v>
      </c>
    </row>
    <row r="148" spans="1:55">
      <c r="A148" s="20" t="s">
        <v>73</v>
      </c>
      <c r="B148" s="21"/>
      <c r="C148" s="20"/>
      <c r="D148" s="22"/>
      <c r="E148" s="22"/>
      <c r="F148" s="21"/>
      <c r="G148" s="23"/>
      <c r="H148" s="24"/>
      <c r="I148" s="22"/>
      <c r="J148" s="22"/>
      <c r="K148" s="22"/>
      <c r="L148" s="21"/>
      <c r="M148" s="20"/>
      <c r="N148" s="20"/>
      <c r="O148" s="23"/>
      <c r="P148" s="21"/>
      <c r="Q148" s="20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1"/>
      <c r="AU148" s="25" t="str">
        <f t="shared" si="4"/>
        <v>1Q42</v>
      </c>
      <c r="AV148" t="str">
        <f t="shared" si="5"/>
        <v>1Q42</v>
      </c>
      <c r="BA148">
        <f ca="1">IF(COUNTBLANK(C148)=0,COUNTA(INDIRECT(CONCATENATE("Area!",LEFT(ADDRESS(1,MATCH(C148,Area!$1:$1,0),4),1),"2:",LEFT(ADDRESS(1,MATCH(C148,Area!$1:$1,0),4),1),"99"))),0)</f>
        <v>0</v>
      </c>
      <c r="BB148">
        <f ca="1">IF(COUNTBLANK(D148)=0,COUNTA(INDIRECT(CONCATENATE("Setup!",LEFT(ADDRESS(1,MATCH(CONCATENATE(C148,":",D148),Setup!$1:$1,0),4),1),"2:",LEFT(ADDRESS(1,MATCH(CONCATENATE(C148,":",D148),Setup!$1:$1,0),4),1),"99"))),0)</f>
        <v>0</v>
      </c>
      <c r="BC148">
        <f ca="1">IF(COUNTBLANK(E148)=0,COUNTA(INDIRECT(CONCATENATE("Comp!",SUBSTITUTE(ADDRESS(1,MATCH(CONCATENATE(C148,":",D148,":",E148),Comp!$1:$1,0),4),"1",""),"2:",SUBSTITUTE(ADDRESS(1,MATCH(CONCATENATE(C148,":",D148,":",E148),Comp!$1:$1,0),4),"1",""),"99"))),0)</f>
        <v>0</v>
      </c>
    </row>
    <row r="149" spans="1:55">
      <c r="A149" s="20" t="s">
        <v>73</v>
      </c>
      <c r="B149" s="21"/>
      <c r="C149" s="20"/>
      <c r="D149" s="22"/>
      <c r="E149" s="22"/>
      <c r="F149" s="21"/>
      <c r="G149" s="23"/>
      <c r="H149" s="24"/>
      <c r="I149" s="22"/>
      <c r="J149" s="22"/>
      <c r="K149" s="22"/>
      <c r="L149" s="21"/>
      <c r="M149" s="20"/>
      <c r="N149" s="20"/>
      <c r="O149" s="23"/>
      <c r="P149" s="21"/>
      <c r="Q149" s="20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1"/>
      <c r="AU149" s="25" t="str">
        <f t="shared" si="4"/>
        <v>1Q42</v>
      </c>
      <c r="AV149" t="str">
        <f t="shared" si="5"/>
        <v>1Q42</v>
      </c>
      <c r="BA149">
        <f ca="1">IF(COUNTBLANK(C149)=0,COUNTA(INDIRECT(CONCATENATE("Area!",LEFT(ADDRESS(1,MATCH(C149,Area!$1:$1,0),4),1),"2:",LEFT(ADDRESS(1,MATCH(C149,Area!$1:$1,0),4),1),"99"))),0)</f>
        <v>0</v>
      </c>
      <c r="BB149">
        <f ca="1">IF(COUNTBLANK(D149)=0,COUNTA(INDIRECT(CONCATENATE("Setup!",LEFT(ADDRESS(1,MATCH(CONCATENATE(C149,":",D149),Setup!$1:$1,0),4),1),"2:",LEFT(ADDRESS(1,MATCH(CONCATENATE(C149,":",D149),Setup!$1:$1,0),4),1),"99"))),0)</f>
        <v>0</v>
      </c>
      <c r="BC149">
        <f ca="1">IF(COUNTBLANK(E149)=0,COUNTA(INDIRECT(CONCATENATE("Comp!",SUBSTITUTE(ADDRESS(1,MATCH(CONCATENATE(C149,":",D149,":",E149),Comp!$1:$1,0),4),"1",""),"2:",SUBSTITUTE(ADDRESS(1,MATCH(CONCATENATE(C149,":",D149,":",E149),Comp!$1:$1,0),4),"1",""),"99"))),0)</f>
        <v>0</v>
      </c>
    </row>
    <row r="150" spans="1:55">
      <c r="A150" s="20" t="s">
        <v>73</v>
      </c>
      <c r="B150" s="21"/>
      <c r="C150" s="20"/>
      <c r="D150" s="22"/>
      <c r="E150" s="22"/>
      <c r="F150" s="21"/>
      <c r="G150" s="23"/>
      <c r="H150" s="24"/>
      <c r="I150" s="22"/>
      <c r="J150" s="22"/>
      <c r="K150" s="22"/>
      <c r="L150" s="21"/>
      <c r="M150" s="20"/>
      <c r="N150" s="20"/>
      <c r="O150" s="23"/>
      <c r="P150" s="21"/>
      <c r="Q150" s="20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1"/>
      <c r="AU150" s="25" t="str">
        <f t="shared" si="4"/>
        <v>1Q42</v>
      </c>
      <c r="AV150" t="str">
        <f t="shared" si="5"/>
        <v>1Q42</v>
      </c>
      <c r="BA150">
        <f ca="1">IF(COUNTBLANK(C150)=0,COUNTA(INDIRECT(CONCATENATE("Area!",LEFT(ADDRESS(1,MATCH(C150,Area!$1:$1,0),4),1),"2:",LEFT(ADDRESS(1,MATCH(C150,Area!$1:$1,0),4),1),"99"))),0)</f>
        <v>0</v>
      </c>
      <c r="BB150">
        <f ca="1">IF(COUNTBLANK(D150)=0,COUNTA(INDIRECT(CONCATENATE("Setup!",LEFT(ADDRESS(1,MATCH(CONCATENATE(C150,":",D150),Setup!$1:$1,0),4),1),"2:",LEFT(ADDRESS(1,MATCH(CONCATENATE(C150,":",D150),Setup!$1:$1,0),4),1),"99"))),0)</f>
        <v>0</v>
      </c>
      <c r="BC150">
        <f ca="1">IF(COUNTBLANK(E150)=0,COUNTA(INDIRECT(CONCATENATE("Comp!",SUBSTITUTE(ADDRESS(1,MATCH(CONCATENATE(C150,":",D150,":",E150),Comp!$1:$1,0),4),"1",""),"2:",SUBSTITUTE(ADDRESS(1,MATCH(CONCATENATE(C150,":",D150,":",E150),Comp!$1:$1,0),4),"1",""),"99"))),0)</f>
        <v>0</v>
      </c>
    </row>
    <row r="151" spans="1:55">
      <c r="A151" s="20" t="s">
        <v>73</v>
      </c>
      <c r="B151" s="21"/>
      <c r="C151" s="20"/>
      <c r="D151" s="22"/>
      <c r="E151" s="22"/>
      <c r="F151" s="21"/>
      <c r="G151" s="23"/>
      <c r="H151" s="24"/>
      <c r="I151" s="22"/>
      <c r="J151" s="22"/>
      <c r="K151" s="22"/>
      <c r="L151" s="21"/>
      <c r="M151" s="20"/>
      <c r="N151" s="20"/>
      <c r="O151" s="23"/>
      <c r="P151" s="21"/>
      <c r="Q151" s="20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1"/>
      <c r="AU151" s="25" t="str">
        <f t="shared" si="4"/>
        <v>1Q42</v>
      </c>
      <c r="AV151" t="str">
        <f t="shared" si="5"/>
        <v>1Q42</v>
      </c>
      <c r="BA151">
        <f ca="1">IF(COUNTBLANK(C151)=0,COUNTA(INDIRECT(CONCATENATE("Area!",LEFT(ADDRESS(1,MATCH(C151,Area!$1:$1,0),4),1),"2:",LEFT(ADDRESS(1,MATCH(C151,Area!$1:$1,0),4),1),"99"))),0)</f>
        <v>0</v>
      </c>
      <c r="BB151">
        <f ca="1">IF(COUNTBLANK(D151)=0,COUNTA(INDIRECT(CONCATENATE("Setup!",LEFT(ADDRESS(1,MATCH(CONCATENATE(C151,":",D151),Setup!$1:$1,0),4),1),"2:",LEFT(ADDRESS(1,MATCH(CONCATENATE(C151,":",D151),Setup!$1:$1,0),4),1),"99"))),0)</f>
        <v>0</v>
      </c>
      <c r="BC151">
        <f ca="1">IF(COUNTBLANK(E151)=0,COUNTA(INDIRECT(CONCATENATE("Comp!",SUBSTITUTE(ADDRESS(1,MATCH(CONCATENATE(C151,":",D151,":",E151),Comp!$1:$1,0),4),"1",""),"2:",SUBSTITUTE(ADDRESS(1,MATCH(CONCATENATE(C151,":",D151,":",E151),Comp!$1:$1,0),4),"1",""),"99"))),0)</f>
        <v>0</v>
      </c>
    </row>
    <row r="152" spans="1:55">
      <c r="A152" s="20" t="s">
        <v>73</v>
      </c>
      <c r="B152" s="21"/>
      <c r="C152" s="20"/>
      <c r="D152" s="22"/>
      <c r="E152" s="22"/>
      <c r="F152" s="21"/>
      <c r="G152" s="23"/>
      <c r="H152" s="24"/>
      <c r="I152" s="22"/>
      <c r="J152" s="22"/>
      <c r="K152" s="22"/>
      <c r="L152" s="21"/>
      <c r="M152" s="20"/>
      <c r="N152" s="20"/>
      <c r="O152" s="23"/>
      <c r="P152" s="21"/>
      <c r="Q152" s="20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1"/>
      <c r="AU152" s="25" t="str">
        <f t="shared" si="4"/>
        <v>1Q42</v>
      </c>
      <c r="AV152" t="str">
        <f t="shared" si="5"/>
        <v>1Q42</v>
      </c>
      <c r="BA152">
        <f ca="1">IF(COUNTBLANK(C152)=0,COUNTA(INDIRECT(CONCATENATE("Area!",LEFT(ADDRESS(1,MATCH(C152,Area!$1:$1,0),4),1),"2:",LEFT(ADDRESS(1,MATCH(C152,Area!$1:$1,0),4),1),"99"))),0)</f>
        <v>0</v>
      </c>
      <c r="BB152">
        <f ca="1">IF(COUNTBLANK(D152)=0,COUNTA(INDIRECT(CONCATENATE("Setup!",LEFT(ADDRESS(1,MATCH(CONCATENATE(C152,":",D152),Setup!$1:$1,0),4),1),"2:",LEFT(ADDRESS(1,MATCH(CONCATENATE(C152,":",D152),Setup!$1:$1,0),4),1),"99"))),0)</f>
        <v>0</v>
      </c>
      <c r="BC152">
        <f ca="1">IF(COUNTBLANK(E152)=0,COUNTA(INDIRECT(CONCATENATE("Comp!",SUBSTITUTE(ADDRESS(1,MATCH(CONCATENATE(C152,":",D152,":",E152),Comp!$1:$1,0),4),"1",""),"2:",SUBSTITUTE(ADDRESS(1,MATCH(CONCATENATE(C152,":",D152,":",E152),Comp!$1:$1,0),4),"1",""),"99"))),0)</f>
        <v>0</v>
      </c>
    </row>
    <row r="153" spans="1:55">
      <c r="A153" s="20" t="s">
        <v>73</v>
      </c>
      <c r="B153" s="21"/>
      <c r="C153" s="20"/>
      <c r="D153" s="22"/>
      <c r="E153" s="22"/>
      <c r="F153" s="21"/>
      <c r="G153" s="23"/>
      <c r="H153" s="24"/>
      <c r="I153" s="22"/>
      <c r="J153" s="22"/>
      <c r="K153" s="22"/>
      <c r="L153" s="21"/>
      <c r="M153" s="20"/>
      <c r="N153" s="20"/>
      <c r="O153" s="23"/>
      <c r="P153" s="21"/>
      <c r="Q153" s="20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1"/>
      <c r="AU153" s="25" t="str">
        <f t="shared" si="4"/>
        <v>1Q42</v>
      </c>
      <c r="AV153" t="str">
        <f t="shared" si="5"/>
        <v>1Q42</v>
      </c>
      <c r="BA153">
        <f ca="1">IF(COUNTBLANK(C153)=0,COUNTA(INDIRECT(CONCATENATE("Area!",LEFT(ADDRESS(1,MATCH(C153,Area!$1:$1,0),4),1),"2:",LEFT(ADDRESS(1,MATCH(C153,Area!$1:$1,0),4),1),"99"))),0)</f>
        <v>0</v>
      </c>
      <c r="BB153">
        <f ca="1">IF(COUNTBLANK(D153)=0,COUNTA(INDIRECT(CONCATENATE("Setup!",LEFT(ADDRESS(1,MATCH(CONCATENATE(C153,":",D153),Setup!$1:$1,0),4),1),"2:",LEFT(ADDRESS(1,MATCH(CONCATENATE(C153,":",D153),Setup!$1:$1,0),4),1),"99"))),0)</f>
        <v>0</v>
      </c>
      <c r="BC153">
        <f ca="1">IF(COUNTBLANK(E153)=0,COUNTA(INDIRECT(CONCATENATE("Comp!",SUBSTITUTE(ADDRESS(1,MATCH(CONCATENATE(C153,":",D153,":",E153),Comp!$1:$1,0),4),"1",""),"2:",SUBSTITUTE(ADDRESS(1,MATCH(CONCATENATE(C153,":",D153,":",E153),Comp!$1:$1,0),4),"1",""),"99"))),0)</f>
        <v>0</v>
      </c>
    </row>
    <row r="154" spans="1:55">
      <c r="A154" s="20" t="s">
        <v>73</v>
      </c>
      <c r="B154" s="21"/>
      <c r="C154" s="20"/>
      <c r="D154" s="22"/>
      <c r="E154" s="22"/>
      <c r="F154" s="21"/>
      <c r="G154" s="23"/>
      <c r="H154" s="24"/>
      <c r="I154" s="22"/>
      <c r="J154" s="22"/>
      <c r="K154" s="22"/>
      <c r="L154" s="21"/>
      <c r="M154" s="20"/>
      <c r="N154" s="20"/>
      <c r="O154" s="23"/>
      <c r="P154" s="21"/>
      <c r="Q154" s="20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1"/>
      <c r="AU154" s="25" t="str">
        <f t="shared" si="4"/>
        <v>1Q42</v>
      </c>
      <c r="AV154" t="str">
        <f t="shared" si="5"/>
        <v>1Q42</v>
      </c>
      <c r="BA154">
        <f ca="1">IF(COUNTBLANK(C154)=0,COUNTA(INDIRECT(CONCATENATE("Area!",LEFT(ADDRESS(1,MATCH(C154,Area!$1:$1,0),4),1),"2:",LEFT(ADDRESS(1,MATCH(C154,Area!$1:$1,0),4),1),"99"))),0)</f>
        <v>0</v>
      </c>
      <c r="BB154">
        <f ca="1">IF(COUNTBLANK(D154)=0,COUNTA(INDIRECT(CONCATENATE("Setup!",LEFT(ADDRESS(1,MATCH(CONCATENATE(C154,":",D154),Setup!$1:$1,0),4),1),"2:",LEFT(ADDRESS(1,MATCH(CONCATENATE(C154,":",D154),Setup!$1:$1,0),4),1),"99"))),0)</f>
        <v>0</v>
      </c>
      <c r="BC154">
        <f ca="1">IF(COUNTBLANK(E154)=0,COUNTA(INDIRECT(CONCATENATE("Comp!",SUBSTITUTE(ADDRESS(1,MATCH(CONCATENATE(C154,":",D154,":",E154),Comp!$1:$1,0),4),"1",""),"2:",SUBSTITUTE(ADDRESS(1,MATCH(CONCATENATE(C154,":",D154,":",E154),Comp!$1:$1,0),4),"1",""),"99"))),0)</f>
        <v>0</v>
      </c>
    </row>
    <row r="155" spans="1:55">
      <c r="A155" s="20" t="s">
        <v>73</v>
      </c>
      <c r="B155" s="21"/>
      <c r="C155" s="20"/>
      <c r="D155" s="22"/>
      <c r="E155" s="22"/>
      <c r="F155" s="21"/>
      <c r="G155" s="23"/>
      <c r="H155" s="24"/>
      <c r="I155" s="22"/>
      <c r="J155" s="22"/>
      <c r="K155" s="22"/>
      <c r="L155" s="21"/>
      <c r="M155" s="20"/>
      <c r="N155" s="20"/>
      <c r="O155" s="23"/>
      <c r="P155" s="21"/>
      <c r="Q155" s="20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1"/>
      <c r="AU155" s="25" t="str">
        <f t="shared" si="4"/>
        <v>1Q42</v>
      </c>
      <c r="AV155" t="str">
        <f t="shared" si="5"/>
        <v>1Q42</v>
      </c>
      <c r="BA155">
        <f ca="1">IF(COUNTBLANK(C155)=0,COUNTA(INDIRECT(CONCATENATE("Area!",LEFT(ADDRESS(1,MATCH(C155,Area!$1:$1,0),4),1),"2:",LEFT(ADDRESS(1,MATCH(C155,Area!$1:$1,0),4),1),"99"))),0)</f>
        <v>0</v>
      </c>
      <c r="BB155">
        <f ca="1">IF(COUNTBLANK(D155)=0,COUNTA(INDIRECT(CONCATENATE("Setup!",LEFT(ADDRESS(1,MATCH(CONCATENATE(C155,":",D155),Setup!$1:$1,0),4),1),"2:",LEFT(ADDRESS(1,MATCH(CONCATENATE(C155,":",D155),Setup!$1:$1,0),4),1),"99"))),0)</f>
        <v>0</v>
      </c>
      <c r="BC155">
        <f ca="1">IF(COUNTBLANK(E155)=0,COUNTA(INDIRECT(CONCATENATE("Comp!",SUBSTITUTE(ADDRESS(1,MATCH(CONCATENATE(C155,":",D155,":",E155),Comp!$1:$1,0),4),"1",""),"2:",SUBSTITUTE(ADDRESS(1,MATCH(CONCATENATE(C155,":",D155,":",E155),Comp!$1:$1,0),4),"1",""),"99"))),0)</f>
        <v>0</v>
      </c>
    </row>
    <row r="156" spans="1:55">
      <c r="A156" s="20" t="s">
        <v>73</v>
      </c>
      <c r="B156" s="21"/>
      <c r="C156" s="20"/>
      <c r="D156" s="22"/>
      <c r="E156" s="22"/>
      <c r="F156" s="21"/>
      <c r="G156" s="23"/>
      <c r="H156" s="24"/>
      <c r="I156" s="22"/>
      <c r="J156" s="22"/>
      <c r="K156" s="22"/>
      <c r="L156" s="21"/>
      <c r="M156" s="20"/>
      <c r="N156" s="20"/>
      <c r="O156" s="23"/>
      <c r="P156" s="21"/>
      <c r="Q156" s="20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1"/>
      <c r="AU156" s="25" t="str">
        <f t="shared" si="4"/>
        <v>1Q42</v>
      </c>
      <c r="AV156" t="str">
        <f t="shared" si="5"/>
        <v>1Q42</v>
      </c>
      <c r="BA156">
        <f ca="1">IF(COUNTBLANK(C156)=0,COUNTA(INDIRECT(CONCATENATE("Area!",LEFT(ADDRESS(1,MATCH(C156,Area!$1:$1,0),4),1),"2:",LEFT(ADDRESS(1,MATCH(C156,Area!$1:$1,0),4),1),"99"))),0)</f>
        <v>0</v>
      </c>
      <c r="BB156">
        <f ca="1">IF(COUNTBLANK(D156)=0,COUNTA(INDIRECT(CONCATENATE("Setup!",LEFT(ADDRESS(1,MATCH(CONCATENATE(C156,":",D156),Setup!$1:$1,0),4),1),"2:",LEFT(ADDRESS(1,MATCH(CONCATENATE(C156,":",D156),Setup!$1:$1,0),4),1),"99"))),0)</f>
        <v>0</v>
      </c>
      <c r="BC156">
        <f ca="1">IF(COUNTBLANK(E156)=0,COUNTA(INDIRECT(CONCATENATE("Comp!",SUBSTITUTE(ADDRESS(1,MATCH(CONCATENATE(C156,":",D156,":",E156),Comp!$1:$1,0),4),"1",""),"2:",SUBSTITUTE(ADDRESS(1,MATCH(CONCATENATE(C156,":",D156,":",E156),Comp!$1:$1,0),4),"1",""),"99"))),0)</f>
        <v>0</v>
      </c>
    </row>
    <row r="157" spans="1:55">
      <c r="A157" s="20" t="s">
        <v>73</v>
      </c>
      <c r="B157" s="21"/>
      <c r="C157" s="20"/>
      <c r="D157" s="22"/>
      <c r="E157" s="22"/>
      <c r="F157" s="21"/>
      <c r="G157" s="23"/>
      <c r="H157" s="24"/>
      <c r="I157" s="22"/>
      <c r="J157" s="22"/>
      <c r="K157" s="22"/>
      <c r="L157" s="21"/>
      <c r="M157" s="20"/>
      <c r="N157" s="20"/>
      <c r="O157" s="23"/>
      <c r="P157" s="21"/>
      <c r="Q157" s="20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1"/>
      <c r="AU157" s="25" t="str">
        <f t="shared" si="4"/>
        <v>1Q42</v>
      </c>
      <c r="AV157" t="str">
        <f t="shared" si="5"/>
        <v>1Q42</v>
      </c>
      <c r="BA157">
        <f ca="1">IF(COUNTBLANK(C157)=0,COUNTA(INDIRECT(CONCATENATE("Area!",LEFT(ADDRESS(1,MATCH(C157,Area!$1:$1,0),4),1),"2:",LEFT(ADDRESS(1,MATCH(C157,Area!$1:$1,0),4),1),"99"))),0)</f>
        <v>0</v>
      </c>
      <c r="BB157">
        <f ca="1">IF(COUNTBLANK(D157)=0,COUNTA(INDIRECT(CONCATENATE("Setup!",LEFT(ADDRESS(1,MATCH(CONCATENATE(C157,":",D157),Setup!$1:$1,0),4),1),"2:",LEFT(ADDRESS(1,MATCH(CONCATENATE(C157,":",D157),Setup!$1:$1,0),4),1),"99"))),0)</f>
        <v>0</v>
      </c>
      <c r="BC157">
        <f ca="1">IF(COUNTBLANK(E157)=0,COUNTA(INDIRECT(CONCATENATE("Comp!",SUBSTITUTE(ADDRESS(1,MATCH(CONCATENATE(C157,":",D157,":",E157),Comp!$1:$1,0),4),"1",""),"2:",SUBSTITUTE(ADDRESS(1,MATCH(CONCATENATE(C157,":",D157,":",E157),Comp!$1:$1,0),4),"1",""),"99"))),0)</f>
        <v>0</v>
      </c>
    </row>
    <row r="158" spans="1:55">
      <c r="A158" s="20" t="s">
        <v>73</v>
      </c>
      <c r="B158" s="21"/>
      <c r="C158" s="20"/>
      <c r="D158" s="22"/>
      <c r="E158" s="22"/>
      <c r="F158" s="21"/>
      <c r="G158" s="23"/>
      <c r="H158" s="24"/>
      <c r="I158" s="22"/>
      <c r="J158" s="22"/>
      <c r="K158" s="22"/>
      <c r="L158" s="21"/>
      <c r="M158" s="20"/>
      <c r="N158" s="20"/>
      <c r="O158" s="23"/>
      <c r="P158" s="21"/>
      <c r="Q158" s="20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1"/>
      <c r="AU158" s="25" t="str">
        <f t="shared" si="4"/>
        <v>1Q42</v>
      </c>
      <c r="AV158" t="str">
        <f t="shared" si="5"/>
        <v>1Q42</v>
      </c>
      <c r="BA158">
        <f ca="1">IF(COUNTBLANK(C158)=0,COUNTA(INDIRECT(CONCATENATE("Area!",LEFT(ADDRESS(1,MATCH(C158,Area!$1:$1,0),4),1),"2:",LEFT(ADDRESS(1,MATCH(C158,Area!$1:$1,0),4),1),"99"))),0)</f>
        <v>0</v>
      </c>
      <c r="BB158">
        <f ca="1">IF(COUNTBLANK(D158)=0,COUNTA(INDIRECT(CONCATENATE("Setup!",LEFT(ADDRESS(1,MATCH(CONCATENATE(C158,":",D158),Setup!$1:$1,0),4),1),"2:",LEFT(ADDRESS(1,MATCH(CONCATENATE(C158,":",D158),Setup!$1:$1,0),4),1),"99"))),0)</f>
        <v>0</v>
      </c>
      <c r="BC158">
        <f ca="1">IF(COUNTBLANK(E158)=0,COUNTA(INDIRECT(CONCATENATE("Comp!",SUBSTITUTE(ADDRESS(1,MATCH(CONCATENATE(C158,":",D158,":",E158),Comp!$1:$1,0),4),"1",""),"2:",SUBSTITUTE(ADDRESS(1,MATCH(CONCATENATE(C158,":",D158,":",E158),Comp!$1:$1,0),4),"1",""),"99"))),0)</f>
        <v>0</v>
      </c>
    </row>
    <row r="159" spans="1:55">
      <c r="A159" s="20" t="s">
        <v>73</v>
      </c>
      <c r="B159" s="21"/>
      <c r="C159" s="20"/>
      <c r="D159" s="22"/>
      <c r="E159" s="22"/>
      <c r="F159" s="21"/>
      <c r="G159" s="23"/>
      <c r="H159" s="24"/>
      <c r="I159" s="22"/>
      <c r="J159" s="22"/>
      <c r="K159" s="22"/>
      <c r="L159" s="21"/>
      <c r="M159" s="20"/>
      <c r="N159" s="20"/>
      <c r="O159" s="23"/>
      <c r="P159" s="21"/>
      <c r="Q159" s="20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1"/>
      <c r="AU159" s="25" t="str">
        <f t="shared" si="4"/>
        <v>1Q42</v>
      </c>
      <c r="AV159" t="str">
        <f t="shared" si="5"/>
        <v>1Q42</v>
      </c>
      <c r="BA159">
        <f ca="1">IF(COUNTBLANK(C159)=0,COUNTA(INDIRECT(CONCATENATE("Area!",LEFT(ADDRESS(1,MATCH(C159,Area!$1:$1,0),4),1),"2:",LEFT(ADDRESS(1,MATCH(C159,Area!$1:$1,0),4),1),"99"))),0)</f>
        <v>0</v>
      </c>
      <c r="BB159">
        <f ca="1">IF(COUNTBLANK(D159)=0,COUNTA(INDIRECT(CONCATENATE("Setup!",LEFT(ADDRESS(1,MATCH(CONCATENATE(C159,":",D159),Setup!$1:$1,0),4),1),"2:",LEFT(ADDRESS(1,MATCH(CONCATENATE(C159,":",D159),Setup!$1:$1,0),4),1),"99"))),0)</f>
        <v>0</v>
      </c>
      <c r="BC159">
        <f ca="1">IF(COUNTBLANK(E159)=0,COUNTA(INDIRECT(CONCATENATE("Comp!",SUBSTITUTE(ADDRESS(1,MATCH(CONCATENATE(C159,":",D159,":",E159),Comp!$1:$1,0),4),"1",""),"2:",SUBSTITUTE(ADDRESS(1,MATCH(CONCATENATE(C159,":",D159,":",E159),Comp!$1:$1,0),4),"1",""),"99"))),0)</f>
        <v>0</v>
      </c>
    </row>
    <row r="160" spans="1:55">
      <c r="A160" s="20" t="s">
        <v>73</v>
      </c>
      <c r="B160" s="21"/>
      <c r="C160" s="20"/>
      <c r="D160" s="22"/>
      <c r="E160" s="22"/>
      <c r="F160" s="21"/>
      <c r="G160" s="23"/>
      <c r="H160" s="24"/>
      <c r="I160" s="22"/>
      <c r="J160" s="22"/>
      <c r="K160" s="22"/>
      <c r="L160" s="21"/>
      <c r="M160" s="20"/>
      <c r="N160" s="20"/>
      <c r="O160" s="23"/>
      <c r="P160" s="21"/>
      <c r="Q160" s="20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1"/>
      <c r="AU160" s="25" t="str">
        <f t="shared" si="4"/>
        <v>1Q42</v>
      </c>
      <c r="AV160" t="str">
        <f t="shared" si="5"/>
        <v>1Q42</v>
      </c>
      <c r="BA160">
        <f ca="1">IF(COUNTBLANK(C160)=0,COUNTA(INDIRECT(CONCATENATE("Area!",LEFT(ADDRESS(1,MATCH(C160,Area!$1:$1,0),4),1),"2:",LEFT(ADDRESS(1,MATCH(C160,Area!$1:$1,0),4),1),"99"))),0)</f>
        <v>0</v>
      </c>
      <c r="BB160">
        <f ca="1">IF(COUNTBLANK(D160)=0,COUNTA(INDIRECT(CONCATENATE("Setup!",LEFT(ADDRESS(1,MATCH(CONCATENATE(C160,":",D160),Setup!$1:$1,0),4),1),"2:",LEFT(ADDRESS(1,MATCH(CONCATENATE(C160,":",D160),Setup!$1:$1,0),4),1),"99"))),0)</f>
        <v>0</v>
      </c>
      <c r="BC160">
        <f ca="1">IF(COUNTBLANK(E160)=0,COUNTA(INDIRECT(CONCATENATE("Comp!",SUBSTITUTE(ADDRESS(1,MATCH(CONCATENATE(C160,":",D160,":",E160),Comp!$1:$1,0),4),"1",""),"2:",SUBSTITUTE(ADDRESS(1,MATCH(CONCATENATE(C160,":",D160,":",E160),Comp!$1:$1,0),4),"1",""),"99"))),0)</f>
        <v>0</v>
      </c>
    </row>
    <row r="161" spans="1:55">
      <c r="A161" s="20" t="s">
        <v>73</v>
      </c>
      <c r="B161" s="21"/>
      <c r="C161" s="20"/>
      <c r="D161" s="22"/>
      <c r="E161" s="22"/>
      <c r="F161" s="21"/>
      <c r="G161" s="23"/>
      <c r="H161" s="24"/>
      <c r="I161" s="22"/>
      <c r="J161" s="22"/>
      <c r="K161" s="22"/>
      <c r="L161" s="21"/>
      <c r="M161" s="20"/>
      <c r="N161" s="20"/>
      <c r="O161" s="23"/>
      <c r="P161" s="21"/>
      <c r="Q161" s="20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1"/>
      <c r="AU161" s="25" t="str">
        <f t="shared" si="4"/>
        <v>1Q42</v>
      </c>
      <c r="AV161" t="str">
        <f t="shared" si="5"/>
        <v>1Q42</v>
      </c>
      <c r="BA161">
        <f ca="1">IF(COUNTBLANK(C161)=0,COUNTA(INDIRECT(CONCATENATE("Area!",LEFT(ADDRESS(1,MATCH(C161,Area!$1:$1,0),4),1),"2:",LEFT(ADDRESS(1,MATCH(C161,Area!$1:$1,0),4),1),"99"))),0)</f>
        <v>0</v>
      </c>
      <c r="BB161">
        <f ca="1">IF(COUNTBLANK(D161)=0,COUNTA(INDIRECT(CONCATENATE("Setup!",LEFT(ADDRESS(1,MATCH(CONCATENATE(C161,":",D161),Setup!$1:$1,0),4),1),"2:",LEFT(ADDRESS(1,MATCH(CONCATENATE(C161,":",D161),Setup!$1:$1,0),4),1),"99"))),0)</f>
        <v>0</v>
      </c>
      <c r="BC161">
        <f ca="1">IF(COUNTBLANK(E161)=0,COUNTA(INDIRECT(CONCATENATE("Comp!",SUBSTITUTE(ADDRESS(1,MATCH(CONCATENATE(C161,":",D161,":",E161),Comp!$1:$1,0),4),"1",""),"2:",SUBSTITUTE(ADDRESS(1,MATCH(CONCATENATE(C161,":",D161,":",E161),Comp!$1:$1,0),4),"1",""),"99"))),0)</f>
        <v>0</v>
      </c>
    </row>
    <row r="162" spans="1:55">
      <c r="A162" s="20" t="s">
        <v>73</v>
      </c>
      <c r="B162" s="21"/>
      <c r="C162" s="20"/>
      <c r="D162" s="22"/>
      <c r="E162" s="22"/>
      <c r="F162" s="21"/>
      <c r="G162" s="23"/>
      <c r="H162" s="24"/>
      <c r="I162" s="22"/>
      <c r="J162" s="22"/>
      <c r="K162" s="22"/>
      <c r="L162" s="21"/>
      <c r="M162" s="20"/>
      <c r="N162" s="20"/>
      <c r="O162" s="23"/>
      <c r="P162" s="21"/>
      <c r="Q162" s="20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1"/>
      <c r="AU162" s="25" t="str">
        <f t="shared" si="4"/>
        <v>1Q42</v>
      </c>
      <c r="AV162" t="str">
        <f t="shared" si="5"/>
        <v>1Q42</v>
      </c>
      <c r="BA162">
        <f ca="1">IF(COUNTBLANK(C162)=0,COUNTA(INDIRECT(CONCATENATE("Area!",LEFT(ADDRESS(1,MATCH(C162,Area!$1:$1,0),4),1),"2:",LEFT(ADDRESS(1,MATCH(C162,Area!$1:$1,0),4),1),"99"))),0)</f>
        <v>0</v>
      </c>
      <c r="BB162">
        <f ca="1">IF(COUNTBLANK(D162)=0,COUNTA(INDIRECT(CONCATENATE("Setup!",LEFT(ADDRESS(1,MATCH(CONCATENATE(C162,":",D162),Setup!$1:$1,0),4),1),"2:",LEFT(ADDRESS(1,MATCH(CONCATENATE(C162,":",D162),Setup!$1:$1,0),4),1),"99"))),0)</f>
        <v>0</v>
      </c>
      <c r="BC162">
        <f ca="1">IF(COUNTBLANK(E162)=0,COUNTA(INDIRECT(CONCATENATE("Comp!",SUBSTITUTE(ADDRESS(1,MATCH(CONCATENATE(C162,":",D162,":",E162),Comp!$1:$1,0),4),"1",""),"2:",SUBSTITUTE(ADDRESS(1,MATCH(CONCATENATE(C162,":",D162,":",E162),Comp!$1:$1,0),4),"1",""),"99"))),0)</f>
        <v>0</v>
      </c>
    </row>
    <row r="163" spans="1:55">
      <c r="A163" s="20" t="s">
        <v>73</v>
      </c>
      <c r="B163" s="21"/>
      <c r="C163" s="20"/>
      <c r="D163" s="22"/>
      <c r="E163" s="22"/>
      <c r="F163" s="21"/>
      <c r="G163" s="23"/>
      <c r="H163" s="24"/>
      <c r="I163" s="22"/>
      <c r="J163" s="22"/>
      <c r="K163" s="22"/>
      <c r="L163" s="21"/>
      <c r="M163" s="20"/>
      <c r="N163" s="20"/>
      <c r="O163" s="23"/>
      <c r="P163" s="21"/>
      <c r="Q163" s="20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1"/>
      <c r="AU163" s="25" t="str">
        <f t="shared" si="4"/>
        <v>1Q42</v>
      </c>
      <c r="AV163" t="str">
        <f t="shared" si="5"/>
        <v>1Q42</v>
      </c>
      <c r="BA163">
        <f ca="1">IF(COUNTBLANK(C163)=0,COUNTA(INDIRECT(CONCATENATE("Area!",LEFT(ADDRESS(1,MATCH(C163,Area!$1:$1,0),4),1),"2:",LEFT(ADDRESS(1,MATCH(C163,Area!$1:$1,0),4),1),"99"))),0)</f>
        <v>0</v>
      </c>
      <c r="BB163">
        <f ca="1">IF(COUNTBLANK(D163)=0,COUNTA(INDIRECT(CONCATENATE("Setup!",LEFT(ADDRESS(1,MATCH(CONCATENATE(C163,":",D163),Setup!$1:$1,0),4),1),"2:",LEFT(ADDRESS(1,MATCH(CONCATENATE(C163,":",D163),Setup!$1:$1,0),4),1),"99"))),0)</f>
        <v>0</v>
      </c>
      <c r="BC163">
        <f ca="1">IF(COUNTBLANK(E163)=0,COUNTA(INDIRECT(CONCATENATE("Comp!",SUBSTITUTE(ADDRESS(1,MATCH(CONCATENATE(C163,":",D163,":",E163),Comp!$1:$1,0),4),"1",""),"2:",SUBSTITUTE(ADDRESS(1,MATCH(CONCATENATE(C163,":",D163,":",E163),Comp!$1:$1,0),4),"1",""),"99"))),0)</f>
        <v>0</v>
      </c>
    </row>
    <row r="164" spans="1:55">
      <c r="A164" s="20" t="s">
        <v>73</v>
      </c>
      <c r="B164" s="21"/>
      <c r="C164" s="20"/>
      <c r="D164" s="22"/>
      <c r="E164" s="22"/>
      <c r="F164" s="21"/>
      <c r="G164" s="23"/>
      <c r="H164" s="24"/>
      <c r="I164" s="22"/>
      <c r="J164" s="22"/>
      <c r="K164" s="22"/>
      <c r="L164" s="21"/>
      <c r="M164" s="20"/>
      <c r="N164" s="20"/>
      <c r="O164" s="23"/>
      <c r="P164" s="21"/>
      <c r="Q164" s="20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1"/>
      <c r="AU164" s="25" t="str">
        <f t="shared" si="4"/>
        <v>1Q42</v>
      </c>
      <c r="AV164" t="str">
        <f t="shared" si="5"/>
        <v>1Q42</v>
      </c>
      <c r="BA164">
        <f ca="1">IF(COUNTBLANK(C164)=0,COUNTA(INDIRECT(CONCATENATE("Area!",LEFT(ADDRESS(1,MATCH(C164,Area!$1:$1,0),4),1),"2:",LEFT(ADDRESS(1,MATCH(C164,Area!$1:$1,0),4),1),"99"))),0)</f>
        <v>0</v>
      </c>
      <c r="BB164">
        <f ca="1">IF(COUNTBLANK(D164)=0,COUNTA(INDIRECT(CONCATENATE("Setup!",LEFT(ADDRESS(1,MATCH(CONCATENATE(C164,":",D164),Setup!$1:$1,0),4),1),"2:",LEFT(ADDRESS(1,MATCH(CONCATENATE(C164,":",D164),Setup!$1:$1,0),4),1),"99"))),0)</f>
        <v>0</v>
      </c>
      <c r="BC164">
        <f ca="1">IF(COUNTBLANK(E164)=0,COUNTA(INDIRECT(CONCATENATE("Comp!",SUBSTITUTE(ADDRESS(1,MATCH(CONCATENATE(C164,":",D164,":",E164),Comp!$1:$1,0),4),"1",""),"2:",SUBSTITUTE(ADDRESS(1,MATCH(CONCATENATE(C164,":",D164,":",E164),Comp!$1:$1,0),4),"1",""),"99"))),0)</f>
        <v>0</v>
      </c>
    </row>
    <row r="165" spans="1:55">
      <c r="A165" s="20" t="s">
        <v>73</v>
      </c>
      <c r="B165" s="21"/>
      <c r="C165" s="20"/>
      <c r="D165" s="22"/>
      <c r="E165" s="22"/>
      <c r="F165" s="21"/>
      <c r="G165" s="23"/>
      <c r="H165" s="24"/>
      <c r="I165" s="22"/>
      <c r="J165" s="22"/>
      <c r="K165" s="22"/>
      <c r="L165" s="21"/>
      <c r="M165" s="20"/>
      <c r="N165" s="20"/>
      <c r="O165" s="23"/>
      <c r="P165" s="21"/>
      <c r="Q165" s="20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1"/>
      <c r="AU165" s="25" t="str">
        <f t="shared" si="4"/>
        <v>1Q42</v>
      </c>
      <c r="AV165" t="str">
        <f t="shared" si="5"/>
        <v>1Q42</v>
      </c>
      <c r="BA165">
        <f ca="1">IF(COUNTBLANK(C165)=0,COUNTA(INDIRECT(CONCATENATE("Area!",LEFT(ADDRESS(1,MATCH(C165,Area!$1:$1,0),4),1),"2:",LEFT(ADDRESS(1,MATCH(C165,Area!$1:$1,0),4),1),"99"))),0)</f>
        <v>0</v>
      </c>
      <c r="BB165">
        <f ca="1">IF(COUNTBLANK(D165)=0,COUNTA(INDIRECT(CONCATENATE("Setup!",LEFT(ADDRESS(1,MATCH(CONCATENATE(C165,":",D165),Setup!$1:$1,0),4),1),"2:",LEFT(ADDRESS(1,MATCH(CONCATENATE(C165,":",D165),Setup!$1:$1,0),4),1),"99"))),0)</f>
        <v>0</v>
      </c>
      <c r="BC165">
        <f ca="1">IF(COUNTBLANK(E165)=0,COUNTA(INDIRECT(CONCATENATE("Comp!",SUBSTITUTE(ADDRESS(1,MATCH(CONCATENATE(C165,":",D165,":",E165),Comp!$1:$1,0),4),"1",""),"2:",SUBSTITUTE(ADDRESS(1,MATCH(CONCATENATE(C165,":",D165,":",E165),Comp!$1:$1,0),4),"1",""),"99"))),0)</f>
        <v>0</v>
      </c>
    </row>
    <row r="166" spans="1:55">
      <c r="A166" s="20" t="s">
        <v>73</v>
      </c>
      <c r="B166" s="21"/>
      <c r="C166" s="20"/>
      <c r="D166" s="22"/>
      <c r="E166" s="22"/>
      <c r="F166" s="21"/>
      <c r="G166" s="23"/>
      <c r="H166" s="24"/>
      <c r="I166" s="22"/>
      <c r="J166" s="22"/>
      <c r="K166" s="22"/>
      <c r="L166" s="21"/>
      <c r="M166" s="20"/>
      <c r="N166" s="20"/>
      <c r="O166" s="23"/>
      <c r="P166" s="21"/>
      <c r="Q166" s="20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1"/>
      <c r="AU166" s="25" t="str">
        <f t="shared" si="4"/>
        <v>1Q42</v>
      </c>
      <c r="AV166" t="str">
        <f t="shared" si="5"/>
        <v>1Q42</v>
      </c>
      <c r="BA166">
        <f ca="1">IF(COUNTBLANK(C166)=0,COUNTA(INDIRECT(CONCATENATE("Area!",LEFT(ADDRESS(1,MATCH(C166,Area!$1:$1,0),4),1),"2:",LEFT(ADDRESS(1,MATCH(C166,Area!$1:$1,0),4),1),"99"))),0)</f>
        <v>0</v>
      </c>
      <c r="BB166">
        <f ca="1">IF(COUNTBLANK(D166)=0,COUNTA(INDIRECT(CONCATENATE("Setup!",LEFT(ADDRESS(1,MATCH(CONCATENATE(C166,":",D166),Setup!$1:$1,0),4),1),"2:",LEFT(ADDRESS(1,MATCH(CONCATENATE(C166,":",D166),Setup!$1:$1,0),4),1),"99"))),0)</f>
        <v>0</v>
      </c>
      <c r="BC166">
        <f ca="1">IF(COUNTBLANK(E166)=0,COUNTA(INDIRECT(CONCATENATE("Comp!",SUBSTITUTE(ADDRESS(1,MATCH(CONCATENATE(C166,":",D166,":",E166),Comp!$1:$1,0),4),"1",""),"2:",SUBSTITUTE(ADDRESS(1,MATCH(CONCATENATE(C166,":",D166,":",E166),Comp!$1:$1,0),4),"1",""),"99"))),0)</f>
        <v>0</v>
      </c>
    </row>
    <row r="167" spans="1:55">
      <c r="A167" s="20" t="s">
        <v>73</v>
      </c>
      <c r="B167" s="21"/>
      <c r="C167" s="20"/>
      <c r="D167" s="22"/>
      <c r="E167" s="22"/>
      <c r="F167" s="21"/>
      <c r="G167" s="23"/>
      <c r="H167" s="24"/>
      <c r="I167" s="22"/>
      <c r="J167" s="22"/>
      <c r="K167" s="22"/>
      <c r="L167" s="21"/>
      <c r="M167" s="20"/>
      <c r="N167" s="20"/>
      <c r="O167" s="23"/>
      <c r="P167" s="21"/>
      <c r="Q167" s="20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1"/>
      <c r="AU167" s="25" t="str">
        <f t="shared" si="4"/>
        <v>1Q42</v>
      </c>
      <c r="AV167" t="str">
        <f t="shared" si="5"/>
        <v>1Q42</v>
      </c>
      <c r="BA167">
        <f ca="1">IF(COUNTBLANK(C167)=0,COUNTA(INDIRECT(CONCATENATE("Area!",LEFT(ADDRESS(1,MATCH(C167,Area!$1:$1,0),4),1),"2:",LEFT(ADDRESS(1,MATCH(C167,Area!$1:$1,0),4),1),"99"))),0)</f>
        <v>0</v>
      </c>
      <c r="BB167">
        <f ca="1">IF(COUNTBLANK(D167)=0,COUNTA(INDIRECT(CONCATENATE("Setup!",LEFT(ADDRESS(1,MATCH(CONCATENATE(C167,":",D167),Setup!$1:$1,0),4),1),"2:",LEFT(ADDRESS(1,MATCH(CONCATENATE(C167,":",D167),Setup!$1:$1,0),4),1),"99"))),0)</f>
        <v>0</v>
      </c>
      <c r="BC167">
        <f ca="1">IF(COUNTBLANK(E167)=0,COUNTA(INDIRECT(CONCATENATE("Comp!",SUBSTITUTE(ADDRESS(1,MATCH(CONCATENATE(C167,":",D167,":",E167),Comp!$1:$1,0),4),"1",""),"2:",SUBSTITUTE(ADDRESS(1,MATCH(CONCATENATE(C167,":",D167,":",E167),Comp!$1:$1,0),4),"1",""),"99"))),0)</f>
        <v>0</v>
      </c>
    </row>
    <row r="168" spans="1:55">
      <c r="A168" s="20" t="s">
        <v>73</v>
      </c>
      <c r="B168" s="21"/>
      <c r="C168" s="20"/>
      <c r="D168" s="22"/>
      <c r="E168" s="22"/>
      <c r="F168" s="21"/>
      <c r="G168" s="23"/>
      <c r="H168" s="24"/>
      <c r="I168" s="22"/>
      <c r="J168" s="22"/>
      <c r="K168" s="22"/>
      <c r="L168" s="21"/>
      <c r="M168" s="20"/>
      <c r="N168" s="20"/>
      <c r="O168" s="23"/>
      <c r="P168" s="21"/>
      <c r="Q168" s="20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1"/>
      <c r="AU168" s="25" t="str">
        <f t="shared" si="4"/>
        <v>1Q42</v>
      </c>
      <c r="AV168" t="str">
        <f t="shared" si="5"/>
        <v>1Q42</v>
      </c>
      <c r="BA168">
        <f ca="1">IF(COUNTBLANK(C168)=0,COUNTA(INDIRECT(CONCATENATE("Area!",LEFT(ADDRESS(1,MATCH(C168,Area!$1:$1,0),4),1),"2:",LEFT(ADDRESS(1,MATCH(C168,Area!$1:$1,0),4),1),"99"))),0)</f>
        <v>0</v>
      </c>
      <c r="BB168">
        <f ca="1">IF(COUNTBLANK(D168)=0,COUNTA(INDIRECT(CONCATENATE("Setup!",LEFT(ADDRESS(1,MATCH(CONCATENATE(C168,":",D168),Setup!$1:$1,0),4),1),"2:",LEFT(ADDRESS(1,MATCH(CONCATENATE(C168,":",D168),Setup!$1:$1,0),4),1),"99"))),0)</f>
        <v>0</v>
      </c>
      <c r="BC168">
        <f ca="1">IF(COUNTBLANK(E168)=0,COUNTA(INDIRECT(CONCATENATE("Comp!",SUBSTITUTE(ADDRESS(1,MATCH(CONCATENATE(C168,":",D168,":",E168),Comp!$1:$1,0),4),"1",""),"2:",SUBSTITUTE(ADDRESS(1,MATCH(CONCATENATE(C168,":",D168,":",E168),Comp!$1:$1,0),4),"1",""),"99"))),0)</f>
        <v>0</v>
      </c>
    </row>
    <row r="169" spans="1:55">
      <c r="A169" s="20" t="s">
        <v>73</v>
      </c>
      <c r="B169" s="21"/>
      <c r="C169" s="20"/>
      <c r="D169" s="22"/>
      <c r="E169" s="22"/>
      <c r="F169" s="21"/>
      <c r="G169" s="23"/>
      <c r="H169" s="24"/>
      <c r="I169" s="22"/>
      <c r="J169" s="22"/>
      <c r="K169" s="22"/>
      <c r="L169" s="21"/>
      <c r="M169" s="20"/>
      <c r="N169" s="20"/>
      <c r="O169" s="23"/>
      <c r="P169" s="21"/>
      <c r="Q169" s="20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1"/>
      <c r="AU169" s="25" t="str">
        <f t="shared" si="4"/>
        <v>1Q42</v>
      </c>
      <c r="AV169" t="str">
        <f t="shared" si="5"/>
        <v>1Q42</v>
      </c>
      <c r="BA169">
        <f ca="1">IF(COUNTBLANK(C169)=0,COUNTA(INDIRECT(CONCATENATE("Area!",LEFT(ADDRESS(1,MATCH(C169,Area!$1:$1,0),4),1),"2:",LEFT(ADDRESS(1,MATCH(C169,Area!$1:$1,0),4),1),"99"))),0)</f>
        <v>0</v>
      </c>
      <c r="BB169">
        <f ca="1">IF(COUNTBLANK(D169)=0,COUNTA(INDIRECT(CONCATENATE("Setup!",LEFT(ADDRESS(1,MATCH(CONCATENATE(C169,":",D169),Setup!$1:$1,0),4),1),"2:",LEFT(ADDRESS(1,MATCH(CONCATENATE(C169,":",D169),Setup!$1:$1,0),4),1),"99"))),0)</f>
        <v>0</v>
      </c>
      <c r="BC169">
        <f ca="1">IF(COUNTBLANK(E169)=0,COUNTA(INDIRECT(CONCATENATE("Comp!",SUBSTITUTE(ADDRESS(1,MATCH(CONCATENATE(C169,":",D169,":",E169),Comp!$1:$1,0),4),"1",""),"2:",SUBSTITUTE(ADDRESS(1,MATCH(CONCATENATE(C169,":",D169,":",E169),Comp!$1:$1,0),4),"1",""),"99"))),0)</f>
        <v>0</v>
      </c>
    </row>
    <row r="170" spans="1:55">
      <c r="A170" s="20" t="s">
        <v>73</v>
      </c>
      <c r="B170" s="21"/>
      <c r="C170" s="20"/>
      <c r="D170" s="22"/>
      <c r="E170" s="22"/>
      <c r="F170" s="21"/>
      <c r="G170" s="23"/>
      <c r="H170" s="24"/>
      <c r="I170" s="22"/>
      <c r="J170" s="22"/>
      <c r="K170" s="22"/>
      <c r="L170" s="21"/>
      <c r="M170" s="20"/>
      <c r="N170" s="20"/>
      <c r="O170" s="23"/>
      <c r="P170" s="21"/>
      <c r="Q170" s="20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1"/>
      <c r="AU170" s="25" t="str">
        <f t="shared" si="4"/>
        <v>1Q42</v>
      </c>
      <c r="AV170" t="str">
        <f t="shared" si="5"/>
        <v>1Q42</v>
      </c>
      <c r="BA170">
        <f ca="1">IF(COUNTBLANK(C170)=0,COUNTA(INDIRECT(CONCATENATE("Area!",LEFT(ADDRESS(1,MATCH(C170,Area!$1:$1,0),4),1),"2:",LEFT(ADDRESS(1,MATCH(C170,Area!$1:$1,0),4),1),"99"))),0)</f>
        <v>0</v>
      </c>
      <c r="BB170">
        <f ca="1">IF(COUNTBLANK(D170)=0,COUNTA(INDIRECT(CONCATENATE("Setup!",LEFT(ADDRESS(1,MATCH(CONCATENATE(C170,":",D170),Setup!$1:$1,0),4),1),"2:",LEFT(ADDRESS(1,MATCH(CONCATENATE(C170,":",D170),Setup!$1:$1,0),4),1),"99"))),0)</f>
        <v>0</v>
      </c>
      <c r="BC170">
        <f ca="1">IF(COUNTBLANK(E170)=0,COUNTA(INDIRECT(CONCATENATE("Comp!",SUBSTITUTE(ADDRESS(1,MATCH(CONCATENATE(C170,":",D170,":",E170),Comp!$1:$1,0),4),"1",""),"2:",SUBSTITUTE(ADDRESS(1,MATCH(CONCATENATE(C170,":",D170,":",E170),Comp!$1:$1,0),4),"1",""),"99"))),0)</f>
        <v>0</v>
      </c>
    </row>
    <row r="171" spans="1:55">
      <c r="A171" s="20" t="s">
        <v>73</v>
      </c>
      <c r="B171" s="21"/>
      <c r="C171" s="20"/>
      <c r="D171" s="22"/>
      <c r="E171" s="22"/>
      <c r="F171" s="21"/>
      <c r="G171" s="23"/>
      <c r="H171" s="24"/>
      <c r="I171" s="22"/>
      <c r="J171" s="22"/>
      <c r="K171" s="22"/>
      <c r="L171" s="21"/>
      <c r="M171" s="20"/>
      <c r="N171" s="20"/>
      <c r="O171" s="23"/>
      <c r="P171" s="21"/>
      <c r="Q171" s="20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1"/>
      <c r="AU171" s="25" t="str">
        <f t="shared" si="4"/>
        <v>1Q42</v>
      </c>
      <c r="AV171" t="str">
        <f t="shared" si="5"/>
        <v>1Q42</v>
      </c>
      <c r="BA171">
        <f ca="1">IF(COUNTBLANK(C171)=0,COUNTA(INDIRECT(CONCATENATE("Area!",LEFT(ADDRESS(1,MATCH(C171,Area!$1:$1,0),4),1),"2:",LEFT(ADDRESS(1,MATCH(C171,Area!$1:$1,0),4),1),"99"))),0)</f>
        <v>0</v>
      </c>
      <c r="BB171">
        <f ca="1">IF(COUNTBLANK(D171)=0,COUNTA(INDIRECT(CONCATENATE("Setup!",LEFT(ADDRESS(1,MATCH(CONCATENATE(C171,":",D171),Setup!$1:$1,0),4),1),"2:",LEFT(ADDRESS(1,MATCH(CONCATENATE(C171,":",D171),Setup!$1:$1,0),4),1),"99"))),0)</f>
        <v>0</v>
      </c>
      <c r="BC171">
        <f ca="1">IF(COUNTBLANK(E171)=0,COUNTA(INDIRECT(CONCATENATE("Comp!",SUBSTITUTE(ADDRESS(1,MATCH(CONCATENATE(C171,":",D171,":",E171),Comp!$1:$1,0),4),"1",""),"2:",SUBSTITUTE(ADDRESS(1,MATCH(CONCATENATE(C171,":",D171,":",E171),Comp!$1:$1,0),4),"1",""),"99"))),0)</f>
        <v>0</v>
      </c>
    </row>
    <row r="172" spans="1:55">
      <c r="A172" s="20" t="s">
        <v>73</v>
      </c>
      <c r="B172" s="21"/>
      <c r="C172" s="20"/>
      <c r="D172" s="22"/>
      <c r="E172" s="22"/>
      <c r="F172" s="21"/>
      <c r="G172" s="23"/>
      <c r="H172" s="24"/>
      <c r="I172" s="22"/>
      <c r="J172" s="22"/>
      <c r="K172" s="22"/>
      <c r="L172" s="21"/>
      <c r="M172" s="20"/>
      <c r="N172" s="20"/>
      <c r="O172" s="23"/>
      <c r="P172" s="21"/>
      <c r="Q172" s="20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1"/>
      <c r="AU172" s="25" t="str">
        <f t="shared" si="4"/>
        <v>1Q42</v>
      </c>
      <c r="AV172" t="str">
        <f t="shared" si="5"/>
        <v>1Q42</v>
      </c>
      <c r="BA172">
        <f ca="1">IF(COUNTBLANK(C172)=0,COUNTA(INDIRECT(CONCATENATE("Area!",LEFT(ADDRESS(1,MATCH(C172,Area!$1:$1,0),4),1),"2:",LEFT(ADDRESS(1,MATCH(C172,Area!$1:$1,0),4),1),"99"))),0)</f>
        <v>0</v>
      </c>
      <c r="BB172">
        <f ca="1">IF(COUNTBLANK(D172)=0,COUNTA(INDIRECT(CONCATENATE("Setup!",LEFT(ADDRESS(1,MATCH(CONCATENATE(C172,":",D172),Setup!$1:$1,0),4),1),"2:",LEFT(ADDRESS(1,MATCH(CONCATENATE(C172,":",D172),Setup!$1:$1,0),4),1),"99"))),0)</f>
        <v>0</v>
      </c>
      <c r="BC172">
        <f ca="1">IF(COUNTBLANK(E172)=0,COUNTA(INDIRECT(CONCATENATE("Comp!",SUBSTITUTE(ADDRESS(1,MATCH(CONCATENATE(C172,":",D172,":",E172),Comp!$1:$1,0),4),"1",""),"2:",SUBSTITUTE(ADDRESS(1,MATCH(CONCATENATE(C172,":",D172,":",E172),Comp!$1:$1,0),4),"1",""),"99"))),0)</f>
        <v>0</v>
      </c>
    </row>
    <row r="173" spans="1:55">
      <c r="A173" s="20" t="s">
        <v>73</v>
      </c>
      <c r="B173" s="21"/>
      <c r="C173" s="20"/>
      <c r="D173" s="22"/>
      <c r="E173" s="22"/>
      <c r="F173" s="21"/>
      <c r="G173" s="23"/>
      <c r="H173" s="24"/>
      <c r="I173" s="22"/>
      <c r="J173" s="22"/>
      <c r="K173" s="22"/>
      <c r="L173" s="21"/>
      <c r="M173" s="20"/>
      <c r="N173" s="20"/>
      <c r="O173" s="23"/>
      <c r="P173" s="21"/>
      <c r="Q173" s="20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1"/>
      <c r="AU173" s="25" t="str">
        <f t="shared" si="4"/>
        <v>1Q42</v>
      </c>
      <c r="AV173" t="str">
        <f t="shared" si="5"/>
        <v>1Q42</v>
      </c>
      <c r="BA173">
        <f ca="1">IF(COUNTBLANK(C173)=0,COUNTA(INDIRECT(CONCATENATE("Area!",LEFT(ADDRESS(1,MATCH(C173,Area!$1:$1,0),4),1),"2:",LEFT(ADDRESS(1,MATCH(C173,Area!$1:$1,0),4),1),"99"))),0)</f>
        <v>0</v>
      </c>
      <c r="BB173">
        <f ca="1">IF(COUNTBLANK(D173)=0,COUNTA(INDIRECT(CONCATENATE("Setup!",LEFT(ADDRESS(1,MATCH(CONCATENATE(C173,":",D173),Setup!$1:$1,0),4),1),"2:",LEFT(ADDRESS(1,MATCH(CONCATENATE(C173,":",D173),Setup!$1:$1,0),4),1),"99"))),0)</f>
        <v>0</v>
      </c>
      <c r="BC173">
        <f ca="1">IF(COUNTBLANK(E173)=0,COUNTA(INDIRECT(CONCATENATE("Comp!",SUBSTITUTE(ADDRESS(1,MATCH(CONCATENATE(C173,":",D173,":",E173),Comp!$1:$1,0),4),"1",""),"2:",SUBSTITUTE(ADDRESS(1,MATCH(CONCATENATE(C173,":",D173,":",E173),Comp!$1:$1,0),4),"1",""),"99"))),0)</f>
        <v>0</v>
      </c>
    </row>
    <row r="174" spans="1:55">
      <c r="A174" s="20" t="s">
        <v>73</v>
      </c>
      <c r="B174" s="21"/>
      <c r="C174" s="20"/>
      <c r="D174" s="22"/>
      <c r="E174" s="22"/>
      <c r="F174" s="21"/>
      <c r="G174" s="23"/>
      <c r="H174" s="24"/>
      <c r="I174" s="22"/>
      <c r="J174" s="22"/>
      <c r="K174" s="22"/>
      <c r="L174" s="21"/>
      <c r="M174" s="20"/>
      <c r="N174" s="20"/>
      <c r="O174" s="23"/>
      <c r="P174" s="21"/>
      <c r="Q174" s="20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1"/>
      <c r="AU174" s="25" t="str">
        <f t="shared" si="4"/>
        <v>1Q42</v>
      </c>
      <c r="AV174" t="str">
        <f t="shared" si="5"/>
        <v>1Q42</v>
      </c>
      <c r="BA174">
        <f ca="1">IF(COUNTBLANK(C174)=0,COUNTA(INDIRECT(CONCATENATE("Area!",LEFT(ADDRESS(1,MATCH(C174,Area!$1:$1,0),4),1),"2:",LEFT(ADDRESS(1,MATCH(C174,Area!$1:$1,0),4),1),"99"))),0)</f>
        <v>0</v>
      </c>
      <c r="BB174">
        <f ca="1">IF(COUNTBLANK(D174)=0,COUNTA(INDIRECT(CONCATENATE("Setup!",LEFT(ADDRESS(1,MATCH(CONCATENATE(C174,":",D174),Setup!$1:$1,0),4),1),"2:",LEFT(ADDRESS(1,MATCH(CONCATENATE(C174,":",D174),Setup!$1:$1,0),4),1),"99"))),0)</f>
        <v>0</v>
      </c>
      <c r="BC174">
        <f ca="1">IF(COUNTBLANK(E174)=0,COUNTA(INDIRECT(CONCATENATE("Comp!",SUBSTITUTE(ADDRESS(1,MATCH(CONCATENATE(C174,":",D174,":",E174),Comp!$1:$1,0),4),"1",""),"2:",SUBSTITUTE(ADDRESS(1,MATCH(CONCATENATE(C174,":",D174,":",E174),Comp!$1:$1,0),4),"1",""),"99"))),0)</f>
        <v>0</v>
      </c>
    </row>
    <row r="175" spans="1:55">
      <c r="A175" s="20" t="s">
        <v>73</v>
      </c>
      <c r="B175" s="21"/>
      <c r="C175" s="20"/>
      <c r="D175" s="22"/>
      <c r="E175" s="22"/>
      <c r="F175" s="21"/>
      <c r="G175" s="23"/>
      <c r="H175" s="24"/>
      <c r="I175" s="22"/>
      <c r="J175" s="22"/>
      <c r="K175" s="22"/>
      <c r="L175" s="21"/>
      <c r="M175" s="20"/>
      <c r="N175" s="20"/>
      <c r="O175" s="23"/>
      <c r="P175" s="21"/>
      <c r="Q175" s="20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1"/>
      <c r="AU175" s="25" t="str">
        <f t="shared" si="4"/>
        <v>1Q42</v>
      </c>
      <c r="AV175" t="str">
        <f t="shared" si="5"/>
        <v>1Q42</v>
      </c>
      <c r="BA175">
        <f ca="1">IF(COUNTBLANK(C175)=0,COUNTA(INDIRECT(CONCATENATE("Area!",LEFT(ADDRESS(1,MATCH(C175,Area!$1:$1,0),4),1),"2:",LEFT(ADDRESS(1,MATCH(C175,Area!$1:$1,0),4),1),"99"))),0)</f>
        <v>0</v>
      </c>
      <c r="BB175">
        <f ca="1">IF(COUNTBLANK(D175)=0,COUNTA(INDIRECT(CONCATENATE("Setup!",LEFT(ADDRESS(1,MATCH(CONCATENATE(C175,":",D175),Setup!$1:$1,0),4),1),"2:",LEFT(ADDRESS(1,MATCH(CONCATENATE(C175,":",D175),Setup!$1:$1,0),4),1),"99"))),0)</f>
        <v>0</v>
      </c>
      <c r="BC175">
        <f ca="1">IF(COUNTBLANK(E175)=0,COUNTA(INDIRECT(CONCATENATE("Comp!",SUBSTITUTE(ADDRESS(1,MATCH(CONCATENATE(C175,":",D175,":",E175),Comp!$1:$1,0),4),"1",""),"2:",SUBSTITUTE(ADDRESS(1,MATCH(CONCATENATE(C175,":",D175,":",E175),Comp!$1:$1,0),4),"1",""),"99"))),0)</f>
        <v>0</v>
      </c>
    </row>
    <row r="176" spans="1:55">
      <c r="A176" s="20" t="s">
        <v>73</v>
      </c>
      <c r="B176" s="21"/>
      <c r="C176" s="20"/>
      <c r="D176" s="22"/>
      <c r="E176" s="22"/>
      <c r="F176" s="21"/>
      <c r="G176" s="23"/>
      <c r="H176" s="24"/>
      <c r="I176" s="22"/>
      <c r="J176" s="22"/>
      <c r="K176" s="22"/>
      <c r="L176" s="21"/>
      <c r="M176" s="20"/>
      <c r="N176" s="20"/>
      <c r="O176" s="23"/>
      <c r="P176" s="21"/>
      <c r="Q176" s="20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1"/>
      <c r="AU176" s="25" t="str">
        <f t="shared" si="4"/>
        <v>1Q42</v>
      </c>
      <c r="AV176" t="str">
        <f t="shared" si="5"/>
        <v>1Q42</v>
      </c>
      <c r="BA176">
        <f ca="1">IF(COUNTBLANK(C176)=0,COUNTA(INDIRECT(CONCATENATE("Area!",LEFT(ADDRESS(1,MATCH(C176,Area!$1:$1,0),4),1),"2:",LEFT(ADDRESS(1,MATCH(C176,Area!$1:$1,0),4),1),"99"))),0)</f>
        <v>0</v>
      </c>
      <c r="BB176">
        <f ca="1">IF(COUNTBLANK(D176)=0,COUNTA(INDIRECT(CONCATENATE("Setup!",LEFT(ADDRESS(1,MATCH(CONCATENATE(C176,":",D176),Setup!$1:$1,0),4),1),"2:",LEFT(ADDRESS(1,MATCH(CONCATENATE(C176,":",D176),Setup!$1:$1,0),4),1),"99"))),0)</f>
        <v>0</v>
      </c>
      <c r="BC176">
        <f ca="1">IF(COUNTBLANK(E176)=0,COUNTA(INDIRECT(CONCATENATE("Comp!",SUBSTITUTE(ADDRESS(1,MATCH(CONCATENATE(C176,":",D176,":",E176),Comp!$1:$1,0),4),"1",""),"2:",SUBSTITUTE(ADDRESS(1,MATCH(CONCATENATE(C176,":",D176,":",E176),Comp!$1:$1,0),4),"1",""),"99"))),0)</f>
        <v>0</v>
      </c>
    </row>
    <row r="177" spans="1:55">
      <c r="A177" s="20" t="s">
        <v>73</v>
      </c>
      <c r="B177" s="21"/>
      <c r="C177" s="20"/>
      <c r="D177" s="22"/>
      <c r="E177" s="22"/>
      <c r="F177" s="21"/>
      <c r="G177" s="23"/>
      <c r="H177" s="24"/>
      <c r="I177" s="22"/>
      <c r="J177" s="22"/>
      <c r="K177" s="22"/>
      <c r="L177" s="21"/>
      <c r="M177" s="20"/>
      <c r="N177" s="20"/>
      <c r="O177" s="23"/>
      <c r="P177" s="21"/>
      <c r="Q177" s="20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1"/>
      <c r="AU177" s="25" t="str">
        <f t="shared" si="4"/>
        <v>1Q42</v>
      </c>
      <c r="AV177" t="str">
        <f t="shared" si="5"/>
        <v>1Q42</v>
      </c>
      <c r="BA177">
        <f ca="1">IF(COUNTBLANK(C177)=0,COUNTA(INDIRECT(CONCATENATE("Area!",LEFT(ADDRESS(1,MATCH(C177,Area!$1:$1,0),4),1),"2:",LEFT(ADDRESS(1,MATCH(C177,Area!$1:$1,0),4),1),"99"))),0)</f>
        <v>0</v>
      </c>
      <c r="BB177">
        <f ca="1">IF(COUNTBLANK(D177)=0,COUNTA(INDIRECT(CONCATENATE("Setup!",LEFT(ADDRESS(1,MATCH(CONCATENATE(C177,":",D177),Setup!$1:$1,0),4),1),"2:",LEFT(ADDRESS(1,MATCH(CONCATENATE(C177,":",D177),Setup!$1:$1,0),4),1),"99"))),0)</f>
        <v>0</v>
      </c>
      <c r="BC177">
        <f ca="1">IF(COUNTBLANK(E177)=0,COUNTA(INDIRECT(CONCATENATE("Comp!",SUBSTITUTE(ADDRESS(1,MATCH(CONCATENATE(C177,":",D177,":",E177),Comp!$1:$1,0),4),"1",""),"2:",SUBSTITUTE(ADDRESS(1,MATCH(CONCATENATE(C177,":",D177,":",E177),Comp!$1:$1,0),4),"1",""),"99"))),0)</f>
        <v>0</v>
      </c>
    </row>
    <row r="178" spans="1:55">
      <c r="A178" s="20" t="s">
        <v>73</v>
      </c>
      <c r="B178" s="21"/>
      <c r="C178" s="20"/>
      <c r="D178" s="22"/>
      <c r="E178" s="22"/>
      <c r="F178" s="21"/>
      <c r="G178" s="23"/>
      <c r="H178" s="24"/>
      <c r="I178" s="22"/>
      <c r="J178" s="22"/>
      <c r="K178" s="22"/>
      <c r="L178" s="21"/>
      <c r="M178" s="20"/>
      <c r="N178" s="20"/>
      <c r="O178" s="23"/>
      <c r="P178" s="21"/>
      <c r="Q178" s="20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1"/>
      <c r="AU178" s="25" t="str">
        <f t="shared" si="4"/>
        <v>1Q42</v>
      </c>
      <c r="AV178" t="str">
        <f t="shared" si="5"/>
        <v>1Q42</v>
      </c>
      <c r="BA178">
        <f ca="1">IF(COUNTBLANK(C178)=0,COUNTA(INDIRECT(CONCATENATE("Area!",LEFT(ADDRESS(1,MATCH(C178,Area!$1:$1,0),4),1),"2:",LEFT(ADDRESS(1,MATCH(C178,Area!$1:$1,0),4),1),"99"))),0)</f>
        <v>0</v>
      </c>
      <c r="BB178">
        <f ca="1">IF(COUNTBLANK(D178)=0,COUNTA(INDIRECT(CONCATENATE("Setup!",LEFT(ADDRESS(1,MATCH(CONCATENATE(C178,":",D178),Setup!$1:$1,0),4),1),"2:",LEFT(ADDRESS(1,MATCH(CONCATENATE(C178,":",D178),Setup!$1:$1,0),4),1),"99"))),0)</f>
        <v>0</v>
      </c>
      <c r="BC178">
        <f ca="1">IF(COUNTBLANK(E178)=0,COUNTA(INDIRECT(CONCATENATE("Comp!",SUBSTITUTE(ADDRESS(1,MATCH(CONCATENATE(C178,":",D178,":",E178),Comp!$1:$1,0),4),"1",""),"2:",SUBSTITUTE(ADDRESS(1,MATCH(CONCATENATE(C178,":",D178,":",E178),Comp!$1:$1,0),4),"1",""),"99"))),0)</f>
        <v>0</v>
      </c>
    </row>
    <row r="179" spans="1:55">
      <c r="A179" s="20" t="s">
        <v>73</v>
      </c>
      <c r="B179" s="21"/>
      <c r="C179" s="20"/>
      <c r="D179" s="22"/>
      <c r="E179" s="22"/>
      <c r="F179" s="21"/>
      <c r="G179" s="23"/>
      <c r="H179" s="24"/>
      <c r="I179" s="22"/>
      <c r="J179" s="22"/>
      <c r="K179" s="22"/>
      <c r="L179" s="21"/>
      <c r="M179" s="20"/>
      <c r="N179" s="20"/>
      <c r="O179" s="23"/>
      <c r="P179" s="21"/>
      <c r="Q179" s="20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1"/>
      <c r="AU179" s="25" t="str">
        <f t="shared" si="4"/>
        <v>1Q42</v>
      </c>
      <c r="AV179" t="str">
        <f t="shared" si="5"/>
        <v>1Q42</v>
      </c>
      <c r="BA179">
        <f ca="1">IF(COUNTBLANK(C179)=0,COUNTA(INDIRECT(CONCATENATE("Area!",LEFT(ADDRESS(1,MATCH(C179,Area!$1:$1,0),4),1),"2:",LEFT(ADDRESS(1,MATCH(C179,Area!$1:$1,0),4),1),"99"))),0)</f>
        <v>0</v>
      </c>
      <c r="BB179">
        <f ca="1">IF(COUNTBLANK(D179)=0,COUNTA(INDIRECT(CONCATENATE("Setup!",LEFT(ADDRESS(1,MATCH(CONCATENATE(C179,":",D179),Setup!$1:$1,0),4),1),"2:",LEFT(ADDRESS(1,MATCH(CONCATENATE(C179,":",D179),Setup!$1:$1,0),4),1),"99"))),0)</f>
        <v>0</v>
      </c>
      <c r="BC179">
        <f ca="1">IF(COUNTBLANK(E179)=0,COUNTA(INDIRECT(CONCATENATE("Comp!",SUBSTITUTE(ADDRESS(1,MATCH(CONCATENATE(C179,":",D179,":",E179),Comp!$1:$1,0),4),"1",""),"2:",SUBSTITUTE(ADDRESS(1,MATCH(CONCATENATE(C179,":",D179,":",E179),Comp!$1:$1,0),4),"1",""),"99"))),0)</f>
        <v>0</v>
      </c>
    </row>
    <row r="180" spans="1:55">
      <c r="A180" s="20" t="s">
        <v>73</v>
      </c>
      <c r="B180" s="21"/>
      <c r="C180" s="20"/>
      <c r="D180" s="22"/>
      <c r="E180" s="22"/>
      <c r="F180" s="21"/>
      <c r="G180" s="23"/>
      <c r="H180" s="24"/>
      <c r="I180" s="22"/>
      <c r="J180" s="22"/>
      <c r="K180" s="22"/>
      <c r="L180" s="21"/>
      <c r="M180" s="20"/>
      <c r="N180" s="20"/>
      <c r="O180" s="23"/>
      <c r="P180" s="21"/>
      <c r="Q180" s="20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1"/>
      <c r="AU180" s="25" t="str">
        <f t="shared" si="4"/>
        <v>1Q42</v>
      </c>
      <c r="AV180" t="str">
        <f t="shared" si="5"/>
        <v>1Q42</v>
      </c>
      <c r="BA180">
        <f ca="1">IF(COUNTBLANK(C180)=0,COUNTA(INDIRECT(CONCATENATE("Area!",LEFT(ADDRESS(1,MATCH(C180,Area!$1:$1,0),4),1),"2:",LEFT(ADDRESS(1,MATCH(C180,Area!$1:$1,0),4),1),"99"))),0)</f>
        <v>0</v>
      </c>
      <c r="BB180">
        <f ca="1">IF(COUNTBLANK(D180)=0,COUNTA(INDIRECT(CONCATENATE("Setup!",LEFT(ADDRESS(1,MATCH(CONCATENATE(C180,":",D180),Setup!$1:$1,0),4),1),"2:",LEFT(ADDRESS(1,MATCH(CONCATENATE(C180,":",D180),Setup!$1:$1,0),4),1),"99"))),0)</f>
        <v>0</v>
      </c>
      <c r="BC180">
        <f ca="1">IF(COUNTBLANK(E180)=0,COUNTA(INDIRECT(CONCATENATE("Comp!",SUBSTITUTE(ADDRESS(1,MATCH(CONCATENATE(C180,":",D180,":",E180),Comp!$1:$1,0),4),"1",""),"2:",SUBSTITUTE(ADDRESS(1,MATCH(CONCATENATE(C180,":",D180,":",E180),Comp!$1:$1,0),4),"1",""),"99"))),0)</f>
        <v>0</v>
      </c>
    </row>
    <row r="181" spans="1:55">
      <c r="A181" s="20" t="s">
        <v>73</v>
      </c>
      <c r="B181" s="21"/>
      <c r="C181" s="20"/>
      <c r="D181" s="22"/>
      <c r="E181" s="22"/>
      <c r="F181" s="21"/>
      <c r="G181" s="23"/>
      <c r="H181" s="24"/>
      <c r="I181" s="22"/>
      <c r="J181" s="22"/>
      <c r="K181" s="22"/>
      <c r="L181" s="21"/>
      <c r="M181" s="20"/>
      <c r="N181" s="20"/>
      <c r="O181" s="23"/>
      <c r="P181" s="21"/>
      <c r="Q181" s="20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1"/>
      <c r="AU181" s="25" t="str">
        <f t="shared" si="4"/>
        <v>1Q42</v>
      </c>
      <c r="AV181" t="str">
        <f t="shared" si="5"/>
        <v>1Q42</v>
      </c>
      <c r="BA181">
        <f ca="1">IF(COUNTBLANK(C181)=0,COUNTA(INDIRECT(CONCATENATE("Area!",LEFT(ADDRESS(1,MATCH(C181,Area!$1:$1,0),4),1),"2:",LEFT(ADDRESS(1,MATCH(C181,Area!$1:$1,0),4),1),"99"))),0)</f>
        <v>0</v>
      </c>
      <c r="BB181">
        <f ca="1">IF(COUNTBLANK(D181)=0,COUNTA(INDIRECT(CONCATENATE("Setup!",LEFT(ADDRESS(1,MATCH(CONCATENATE(C181,":",D181),Setup!$1:$1,0),4),1),"2:",LEFT(ADDRESS(1,MATCH(CONCATENATE(C181,":",D181),Setup!$1:$1,0),4),1),"99"))),0)</f>
        <v>0</v>
      </c>
      <c r="BC181">
        <f ca="1">IF(COUNTBLANK(E181)=0,COUNTA(INDIRECT(CONCATENATE("Comp!",SUBSTITUTE(ADDRESS(1,MATCH(CONCATENATE(C181,":",D181,":",E181),Comp!$1:$1,0),4),"1",""),"2:",SUBSTITUTE(ADDRESS(1,MATCH(CONCATENATE(C181,":",D181,":",E181),Comp!$1:$1,0),4),"1",""),"99"))),0)</f>
        <v>0</v>
      </c>
    </row>
    <row r="182" spans="1:55">
      <c r="A182" s="20" t="s">
        <v>73</v>
      </c>
      <c r="B182" s="21"/>
      <c r="C182" s="20"/>
      <c r="D182" s="22"/>
      <c r="E182" s="22"/>
      <c r="F182" s="21"/>
      <c r="G182" s="23"/>
      <c r="H182" s="24"/>
      <c r="I182" s="22"/>
      <c r="J182" s="22"/>
      <c r="K182" s="22"/>
      <c r="L182" s="21"/>
      <c r="M182" s="20"/>
      <c r="N182" s="20"/>
      <c r="O182" s="23"/>
      <c r="P182" s="21"/>
      <c r="Q182" s="20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1"/>
      <c r="AU182" s="25" t="str">
        <f t="shared" si="4"/>
        <v>1Q42</v>
      </c>
      <c r="AV182" t="str">
        <f t="shared" si="5"/>
        <v>1Q42</v>
      </c>
      <c r="BA182">
        <f ca="1">IF(COUNTBLANK(C182)=0,COUNTA(INDIRECT(CONCATENATE("Area!",LEFT(ADDRESS(1,MATCH(C182,Area!$1:$1,0),4),1),"2:",LEFT(ADDRESS(1,MATCH(C182,Area!$1:$1,0),4),1),"99"))),0)</f>
        <v>0</v>
      </c>
      <c r="BB182">
        <f ca="1">IF(COUNTBLANK(D182)=0,COUNTA(INDIRECT(CONCATENATE("Setup!",LEFT(ADDRESS(1,MATCH(CONCATENATE(C182,":",D182),Setup!$1:$1,0),4),1),"2:",LEFT(ADDRESS(1,MATCH(CONCATENATE(C182,":",D182),Setup!$1:$1,0),4),1),"99"))),0)</f>
        <v>0</v>
      </c>
      <c r="BC182">
        <f ca="1">IF(COUNTBLANK(E182)=0,COUNTA(INDIRECT(CONCATENATE("Comp!",SUBSTITUTE(ADDRESS(1,MATCH(CONCATENATE(C182,":",D182,":",E182),Comp!$1:$1,0),4),"1",""),"2:",SUBSTITUTE(ADDRESS(1,MATCH(CONCATENATE(C182,":",D182,":",E182),Comp!$1:$1,0),4),"1",""),"99"))),0)</f>
        <v>0</v>
      </c>
    </row>
    <row r="183" spans="1:55">
      <c r="A183" s="20" t="s">
        <v>73</v>
      </c>
      <c r="B183" s="21"/>
      <c r="C183" s="20"/>
      <c r="D183" s="22"/>
      <c r="E183" s="22"/>
      <c r="F183" s="21"/>
      <c r="G183" s="23"/>
      <c r="H183" s="24"/>
      <c r="I183" s="22"/>
      <c r="J183" s="22"/>
      <c r="K183" s="22"/>
      <c r="L183" s="21"/>
      <c r="M183" s="20"/>
      <c r="N183" s="20"/>
      <c r="O183" s="23"/>
      <c r="P183" s="21"/>
      <c r="Q183" s="20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1"/>
      <c r="AU183" s="25" t="str">
        <f t="shared" si="4"/>
        <v>1Q42</v>
      </c>
      <c r="AV183" t="str">
        <f t="shared" si="5"/>
        <v>1Q42</v>
      </c>
      <c r="BA183">
        <f ca="1">IF(COUNTBLANK(C183)=0,COUNTA(INDIRECT(CONCATENATE("Area!",LEFT(ADDRESS(1,MATCH(C183,Area!$1:$1,0),4),1),"2:",LEFT(ADDRESS(1,MATCH(C183,Area!$1:$1,0),4),1),"99"))),0)</f>
        <v>0</v>
      </c>
      <c r="BB183">
        <f ca="1">IF(COUNTBLANK(D183)=0,COUNTA(INDIRECT(CONCATENATE("Setup!",LEFT(ADDRESS(1,MATCH(CONCATENATE(C183,":",D183),Setup!$1:$1,0),4),1),"2:",LEFT(ADDRESS(1,MATCH(CONCATENATE(C183,":",D183),Setup!$1:$1,0),4),1),"99"))),0)</f>
        <v>0</v>
      </c>
      <c r="BC183">
        <f ca="1">IF(COUNTBLANK(E183)=0,COUNTA(INDIRECT(CONCATENATE("Comp!",SUBSTITUTE(ADDRESS(1,MATCH(CONCATENATE(C183,":",D183,":",E183),Comp!$1:$1,0),4),"1",""),"2:",SUBSTITUTE(ADDRESS(1,MATCH(CONCATENATE(C183,":",D183,":",E183),Comp!$1:$1,0),4),"1",""),"99"))),0)</f>
        <v>0</v>
      </c>
    </row>
    <row r="184" spans="1:55">
      <c r="A184" s="20" t="s">
        <v>73</v>
      </c>
      <c r="B184" s="21"/>
      <c r="C184" s="20"/>
      <c r="D184" s="22"/>
      <c r="E184" s="22"/>
      <c r="F184" s="21"/>
      <c r="G184" s="23"/>
      <c r="H184" s="24"/>
      <c r="I184" s="22"/>
      <c r="J184" s="22"/>
      <c r="K184" s="22"/>
      <c r="L184" s="21"/>
      <c r="M184" s="20"/>
      <c r="N184" s="20"/>
      <c r="O184" s="23"/>
      <c r="P184" s="21"/>
      <c r="Q184" s="20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1"/>
      <c r="AU184" s="25" t="str">
        <f t="shared" si="4"/>
        <v>1Q42</v>
      </c>
      <c r="AV184" t="str">
        <f t="shared" si="5"/>
        <v>1Q42</v>
      </c>
      <c r="BA184">
        <f ca="1">IF(COUNTBLANK(C184)=0,COUNTA(INDIRECT(CONCATENATE("Area!",LEFT(ADDRESS(1,MATCH(C184,Area!$1:$1,0),4),1),"2:",LEFT(ADDRESS(1,MATCH(C184,Area!$1:$1,0),4),1),"99"))),0)</f>
        <v>0</v>
      </c>
      <c r="BB184">
        <f ca="1">IF(COUNTBLANK(D184)=0,COUNTA(INDIRECT(CONCATENATE("Setup!",LEFT(ADDRESS(1,MATCH(CONCATENATE(C184,":",D184),Setup!$1:$1,0),4),1),"2:",LEFT(ADDRESS(1,MATCH(CONCATENATE(C184,":",D184),Setup!$1:$1,0),4),1),"99"))),0)</f>
        <v>0</v>
      </c>
      <c r="BC184">
        <f ca="1">IF(COUNTBLANK(E184)=0,COUNTA(INDIRECT(CONCATENATE("Comp!",SUBSTITUTE(ADDRESS(1,MATCH(CONCATENATE(C184,":",D184,":",E184),Comp!$1:$1,0),4),"1",""),"2:",SUBSTITUTE(ADDRESS(1,MATCH(CONCATENATE(C184,":",D184,":",E184),Comp!$1:$1,0),4),"1",""),"99"))),0)</f>
        <v>0</v>
      </c>
    </row>
    <row r="185" spans="1:55">
      <c r="A185" s="20" t="s">
        <v>73</v>
      </c>
      <c r="B185" s="21"/>
      <c r="C185" s="20"/>
      <c r="D185" s="22"/>
      <c r="E185" s="22"/>
      <c r="F185" s="21"/>
      <c r="G185" s="23"/>
      <c r="H185" s="24"/>
      <c r="I185" s="22"/>
      <c r="J185" s="22"/>
      <c r="K185" s="22"/>
      <c r="L185" s="21"/>
      <c r="M185" s="20"/>
      <c r="N185" s="20"/>
      <c r="O185" s="23"/>
      <c r="P185" s="21"/>
      <c r="Q185" s="20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1"/>
      <c r="AU185" s="25" t="str">
        <f t="shared" si="4"/>
        <v>1Q42</v>
      </c>
      <c r="AV185" t="str">
        <f t="shared" si="5"/>
        <v>1Q42</v>
      </c>
      <c r="BA185">
        <f ca="1">IF(COUNTBLANK(C185)=0,COUNTA(INDIRECT(CONCATENATE("Area!",LEFT(ADDRESS(1,MATCH(C185,Area!$1:$1,0),4),1),"2:",LEFT(ADDRESS(1,MATCH(C185,Area!$1:$1,0),4),1),"99"))),0)</f>
        <v>0</v>
      </c>
      <c r="BB185">
        <f ca="1">IF(COUNTBLANK(D185)=0,COUNTA(INDIRECT(CONCATENATE("Setup!",LEFT(ADDRESS(1,MATCH(CONCATENATE(C185,":",D185),Setup!$1:$1,0),4),1),"2:",LEFT(ADDRESS(1,MATCH(CONCATENATE(C185,":",D185),Setup!$1:$1,0),4),1),"99"))),0)</f>
        <v>0</v>
      </c>
      <c r="BC185">
        <f ca="1">IF(COUNTBLANK(E185)=0,COUNTA(INDIRECT(CONCATENATE("Comp!",SUBSTITUTE(ADDRESS(1,MATCH(CONCATENATE(C185,":",D185,":",E185),Comp!$1:$1,0),4),"1",""),"2:",SUBSTITUTE(ADDRESS(1,MATCH(CONCATENATE(C185,":",D185,":",E185),Comp!$1:$1,0),4),"1",""),"99"))),0)</f>
        <v>0</v>
      </c>
    </row>
    <row r="186" spans="1:55">
      <c r="A186" s="20" t="s">
        <v>73</v>
      </c>
      <c r="B186" s="21"/>
      <c r="C186" s="20"/>
      <c r="D186" s="22"/>
      <c r="E186" s="22"/>
      <c r="F186" s="21"/>
      <c r="G186" s="23"/>
      <c r="H186" s="24"/>
      <c r="I186" s="22"/>
      <c r="J186" s="22"/>
      <c r="K186" s="22"/>
      <c r="L186" s="21"/>
      <c r="M186" s="20"/>
      <c r="N186" s="20"/>
      <c r="O186" s="23"/>
      <c r="P186" s="21"/>
      <c r="Q186" s="20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1"/>
      <c r="AU186" s="25" t="str">
        <f t="shared" si="4"/>
        <v>1Q42</v>
      </c>
      <c r="AV186" t="str">
        <f t="shared" si="5"/>
        <v>1Q42</v>
      </c>
      <c r="BA186">
        <f ca="1">IF(COUNTBLANK(C186)=0,COUNTA(INDIRECT(CONCATENATE("Area!",LEFT(ADDRESS(1,MATCH(C186,Area!$1:$1,0),4),1),"2:",LEFT(ADDRESS(1,MATCH(C186,Area!$1:$1,0),4),1),"99"))),0)</f>
        <v>0</v>
      </c>
      <c r="BB186">
        <f ca="1">IF(COUNTBLANK(D186)=0,COUNTA(INDIRECT(CONCATENATE("Setup!",LEFT(ADDRESS(1,MATCH(CONCATENATE(C186,":",D186),Setup!$1:$1,0),4),1),"2:",LEFT(ADDRESS(1,MATCH(CONCATENATE(C186,":",D186),Setup!$1:$1,0),4),1),"99"))),0)</f>
        <v>0</v>
      </c>
      <c r="BC186">
        <f ca="1">IF(COUNTBLANK(E186)=0,COUNTA(INDIRECT(CONCATENATE("Comp!",SUBSTITUTE(ADDRESS(1,MATCH(CONCATENATE(C186,":",D186,":",E186),Comp!$1:$1,0),4),"1",""),"2:",SUBSTITUTE(ADDRESS(1,MATCH(CONCATENATE(C186,":",D186,":",E186),Comp!$1:$1,0),4),"1",""),"99"))),0)</f>
        <v>0</v>
      </c>
    </row>
    <row r="187" spans="1:55">
      <c r="A187" s="20" t="s">
        <v>73</v>
      </c>
      <c r="B187" s="21"/>
      <c r="C187" s="20"/>
      <c r="D187" s="22"/>
      <c r="E187" s="22"/>
      <c r="F187" s="21"/>
      <c r="G187" s="23"/>
      <c r="H187" s="24"/>
      <c r="I187" s="22"/>
      <c r="J187" s="22"/>
      <c r="K187" s="22"/>
      <c r="L187" s="21"/>
      <c r="M187" s="20"/>
      <c r="N187" s="20"/>
      <c r="O187" s="23"/>
      <c r="P187" s="21"/>
      <c r="Q187" s="20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1"/>
      <c r="AU187" s="25" t="str">
        <f t="shared" si="4"/>
        <v>1Q42</v>
      </c>
      <c r="AV187" t="str">
        <f t="shared" si="5"/>
        <v>1Q42</v>
      </c>
      <c r="BA187">
        <f ca="1">IF(COUNTBLANK(C187)=0,COUNTA(INDIRECT(CONCATENATE("Area!",LEFT(ADDRESS(1,MATCH(C187,Area!$1:$1,0),4),1),"2:",LEFT(ADDRESS(1,MATCH(C187,Area!$1:$1,0),4),1),"99"))),0)</f>
        <v>0</v>
      </c>
      <c r="BB187">
        <f ca="1">IF(COUNTBLANK(D187)=0,COUNTA(INDIRECT(CONCATENATE("Setup!",LEFT(ADDRESS(1,MATCH(CONCATENATE(C187,":",D187),Setup!$1:$1,0),4),1),"2:",LEFT(ADDRESS(1,MATCH(CONCATENATE(C187,":",D187),Setup!$1:$1,0),4),1),"99"))),0)</f>
        <v>0</v>
      </c>
      <c r="BC187">
        <f ca="1">IF(COUNTBLANK(E187)=0,COUNTA(INDIRECT(CONCATENATE("Comp!",SUBSTITUTE(ADDRESS(1,MATCH(CONCATENATE(C187,":",D187,":",E187),Comp!$1:$1,0),4),"1",""),"2:",SUBSTITUTE(ADDRESS(1,MATCH(CONCATENATE(C187,":",D187,":",E187),Comp!$1:$1,0),4),"1",""),"99"))),0)</f>
        <v>0</v>
      </c>
    </row>
    <row r="188" spans="1:55">
      <c r="A188" s="20" t="s">
        <v>73</v>
      </c>
      <c r="B188" s="21"/>
      <c r="C188" s="20"/>
      <c r="D188" s="22"/>
      <c r="E188" s="22"/>
      <c r="F188" s="21"/>
      <c r="G188" s="23"/>
      <c r="H188" s="24"/>
      <c r="I188" s="22"/>
      <c r="J188" s="22"/>
      <c r="K188" s="22"/>
      <c r="L188" s="21"/>
      <c r="M188" s="20"/>
      <c r="N188" s="20"/>
      <c r="O188" s="23"/>
      <c r="P188" s="21"/>
      <c r="Q188" s="20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1"/>
      <c r="AU188" s="25" t="str">
        <f t="shared" si="4"/>
        <v>1Q42</v>
      </c>
      <c r="AV188" t="str">
        <f t="shared" si="5"/>
        <v>1Q42</v>
      </c>
      <c r="BA188">
        <f ca="1">IF(COUNTBLANK(C188)=0,COUNTA(INDIRECT(CONCATENATE("Area!",LEFT(ADDRESS(1,MATCH(C188,Area!$1:$1,0),4),1),"2:",LEFT(ADDRESS(1,MATCH(C188,Area!$1:$1,0),4),1),"99"))),0)</f>
        <v>0</v>
      </c>
      <c r="BB188">
        <f ca="1">IF(COUNTBLANK(D188)=0,COUNTA(INDIRECT(CONCATENATE("Setup!",LEFT(ADDRESS(1,MATCH(CONCATENATE(C188,":",D188),Setup!$1:$1,0),4),1),"2:",LEFT(ADDRESS(1,MATCH(CONCATENATE(C188,":",D188),Setup!$1:$1,0),4),1),"99"))),0)</f>
        <v>0</v>
      </c>
      <c r="BC188">
        <f ca="1">IF(COUNTBLANK(E188)=0,COUNTA(INDIRECT(CONCATENATE("Comp!",SUBSTITUTE(ADDRESS(1,MATCH(CONCATENATE(C188,":",D188,":",E188),Comp!$1:$1,0),4),"1",""),"2:",SUBSTITUTE(ADDRESS(1,MATCH(CONCATENATE(C188,":",D188,":",E188),Comp!$1:$1,0),4),"1",""),"99"))),0)</f>
        <v>0</v>
      </c>
    </row>
    <row r="189" spans="1:55">
      <c r="A189" s="20" t="s">
        <v>73</v>
      </c>
      <c r="B189" s="21"/>
      <c r="C189" s="20"/>
      <c r="D189" s="22"/>
      <c r="E189" s="22"/>
      <c r="F189" s="21"/>
      <c r="G189" s="23"/>
      <c r="H189" s="24"/>
      <c r="I189" s="22"/>
      <c r="J189" s="22"/>
      <c r="K189" s="22"/>
      <c r="L189" s="21"/>
      <c r="M189" s="20"/>
      <c r="N189" s="20"/>
      <c r="O189" s="23"/>
      <c r="P189" s="21"/>
      <c r="Q189" s="20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1"/>
      <c r="AU189" s="25" t="str">
        <f t="shared" si="4"/>
        <v>1Q42</v>
      </c>
      <c r="AV189" t="str">
        <f t="shared" si="5"/>
        <v>1Q42</v>
      </c>
      <c r="BA189">
        <f ca="1">IF(COUNTBLANK(C189)=0,COUNTA(INDIRECT(CONCATENATE("Area!",LEFT(ADDRESS(1,MATCH(C189,Area!$1:$1,0),4),1),"2:",LEFT(ADDRESS(1,MATCH(C189,Area!$1:$1,0),4),1),"99"))),0)</f>
        <v>0</v>
      </c>
      <c r="BB189">
        <f ca="1">IF(COUNTBLANK(D189)=0,COUNTA(INDIRECT(CONCATENATE("Setup!",LEFT(ADDRESS(1,MATCH(CONCATENATE(C189,":",D189),Setup!$1:$1,0),4),1),"2:",LEFT(ADDRESS(1,MATCH(CONCATENATE(C189,":",D189),Setup!$1:$1,0),4),1),"99"))),0)</f>
        <v>0</v>
      </c>
      <c r="BC189">
        <f ca="1">IF(COUNTBLANK(E189)=0,COUNTA(INDIRECT(CONCATENATE("Comp!",SUBSTITUTE(ADDRESS(1,MATCH(CONCATENATE(C189,":",D189,":",E189),Comp!$1:$1,0),4),"1",""),"2:",SUBSTITUTE(ADDRESS(1,MATCH(CONCATENATE(C189,":",D189,":",E189),Comp!$1:$1,0),4),"1",""),"99"))),0)</f>
        <v>0</v>
      </c>
    </row>
    <row r="190" spans="1:55">
      <c r="A190" s="20" t="s">
        <v>73</v>
      </c>
      <c r="B190" s="21"/>
      <c r="C190" s="20"/>
      <c r="D190" s="22"/>
      <c r="E190" s="22"/>
      <c r="F190" s="21"/>
      <c r="G190" s="23"/>
      <c r="H190" s="24"/>
      <c r="I190" s="22"/>
      <c r="J190" s="22"/>
      <c r="K190" s="22"/>
      <c r="L190" s="21"/>
      <c r="M190" s="20"/>
      <c r="N190" s="20"/>
      <c r="O190" s="23"/>
      <c r="P190" s="21"/>
      <c r="Q190" s="20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1"/>
      <c r="AU190" s="25" t="str">
        <f t="shared" si="4"/>
        <v>1Q42</v>
      </c>
      <c r="AV190" t="str">
        <f t="shared" si="5"/>
        <v>1Q42</v>
      </c>
      <c r="BA190">
        <f ca="1">IF(COUNTBLANK(C190)=0,COUNTA(INDIRECT(CONCATENATE("Area!",LEFT(ADDRESS(1,MATCH(C190,Area!$1:$1,0),4),1),"2:",LEFT(ADDRESS(1,MATCH(C190,Area!$1:$1,0),4),1),"99"))),0)</f>
        <v>0</v>
      </c>
      <c r="BB190">
        <f ca="1">IF(COUNTBLANK(D190)=0,COUNTA(INDIRECT(CONCATENATE("Setup!",LEFT(ADDRESS(1,MATCH(CONCATENATE(C190,":",D190),Setup!$1:$1,0),4),1),"2:",LEFT(ADDRESS(1,MATCH(CONCATENATE(C190,":",D190),Setup!$1:$1,0),4),1),"99"))),0)</f>
        <v>0</v>
      </c>
      <c r="BC190">
        <f ca="1">IF(COUNTBLANK(E190)=0,COUNTA(INDIRECT(CONCATENATE("Comp!",SUBSTITUTE(ADDRESS(1,MATCH(CONCATENATE(C190,":",D190,":",E190),Comp!$1:$1,0),4),"1",""),"2:",SUBSTITUTE(ADDRESS(1,MATCH(CONCATENATE(C190,":",D190,":",E190),Comp!$1:$1,0),4),"1",""),"99"))),0)</f>
        <v>0</v>
      </c>
    </row>
    <row r="191" spans="1:55">
      <c r="A191" s="20" t="s">
        <v>73</v>
      </c>
      <c r="B191" s="21"/>
      <c r="C191" s="20"/>
      <c r="D191" s="22"/>
      <c r="E191" s="22"/>
      <c r="F191" s="21"/>
      <c r="G191" s="23"/>
      <c r="H191" s="24"/>
      <c r="I191" s="22"/>
      <c r="J191" s="22"/>
      <c r="K191" s="22"/>
      <c r="L191" s="21"/>
      <c r="M191" s="20"/>
      <c r="N191" s="20"/>
      <c r="O191" s="23"/>
      <c r="P191" s="21"/>
      <c r="Q191" s="20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1"/>
      <c r="AU191" s="25" t="str">
        <f t="shared" si="4"/>
        <v>1Q42</v>
      </c>
      <c r="AV191" t="str">
        <f t="shared" si="5"/>
        <v>1Q42</v>
      </c>
      <c r="BA191">
        <f ca="1">IF(COUNTBLANK(C191)=0,COUNTA(INDIRECT(CONCATENATE("Area!",LEFT(ADDRESS(1,MATCH(C191,Area!$1:$1,0),4),1),"2:",LEFT(ADDRESS(1,MATCH(C191,Area!$1:$1,0),4),1),"99"))),0)</f>
        <v>0</v>
      </c>
      <c r="BB191">
        <f ca="1">IF(COUNTBLANK(D191)=0,COUNTA(INDIRECT(CONCATENATE("Setup!",LEFT(ADDRESS(1,MATCH(CONCATENATE(C191,":",D191),Setup!$1:$1,0),4),1),"2:",LEFT(ADDRESS(1,MATCH(CONCATENATE(C191,":",D191),Setup!$1:$1,0),4),1),"99"))),0)</f>
        <v>0</v>
      </c>
      <c r="BC191">
        <f ca="1">IF(COUNTBLANK(E191)=0,COUNTA(INDIRECT(CONCATENATE("Comp!",SUBSTITUTE(ADDRESS(1,MATCH(CONCATENATE(C191,":",D191,":",E191),Comp!$1:$1,0),4),"1",""),"2:",SUBSTITUTE(ADDRESS(1,MATCH(CONCATENATE(C191,":",D191,":",E191),Comp!$1:$1,0),4),"1",""),"99"))),0)</f>
        <v>0</v>
      </c>
    </row>
    <row r="192" spans="1:55">
      <c r="A192" s="20" t="s">
        <v>73</v>
      </c>
      <c r="B192" s="21"/>
      <c r="C192" s="20"/>
      <c r="D192" s="22"/>
      <c r="E192" s="22"/>
      <c r="F192" s="21"/>
      <c r="G192" s="23"/>
      <c r="H192" s="24"/>
      <c r="I192" s="22"/>
      <c r="J192" s="22"/>
      <c r="K192" s="22"/>
      <c r="L192" s="21"/>
      <c r="M192" s="20"/>
      <c r="N192" s="20"/>
      <c r="O192" s="23"/>
      <c r="P192" s="21"/>
      <c r="Q192" s="20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1"/>
      <c r="AU192" s="25" t="str">
        <f t="shared" si="4"/>
        <v>1Q42</v>
      </c>
      <c r="AV192" t="str">
        <f t="shared" si="5"/>
        <v>1Q42</v>
      </c>
      <c r="BA192">
        <f ca="1">IF(COUNTBLANK(C192)=0,COUNTA(INDIRECT(CONCATENATE("Area!",LEFT(ADDRESS(1,MATCH(C192,Area!$1:$1,0),4),1),"2:",LEFT(ADDRESS(1,MATCH(C192,Area!$1:$1,0),4),1),"99"))),0)</f>
        <v>0</v>
      </c>
      <c r="BB192">
        <f ca="1">IF(COUNTBLANK(D192)=0,COUNTA(INDIRECT(CONCATENATE("Setup!",LEFT(ADDRESS(1,MATCH(CONCATENATE(C192,":",D192),Setup!$1:$1,0),4),1),"2:",LEFT(ADDRESS(1,MATCH(CONCATENATE(C192,":",D192),Setup!$1:$1,0),4),1),"99"))),0)</f>
        <v>0</v>
      </c>
      <c r="BC192">
        <f ca="1">IF(COUNTBLANK(E192)=0,COUNTA(INDIRECT(CONCATENATE("Comp!",SUBSTITUTE(ADDRESS(1,MATCH(CONCATENATE(C192,":",D192,":",E192),Comp!$1:$1,0),4),"1",""),"2:",SUBSTITUTE(ADDRESS(1,MATCH(CONCATENATE(C192,":",D192,":",E192),Comp!$1:$1,0),4),"1",""),"99"))),0)</f>
        <v>0</v>
      </c>
    </row>
    <row r="193" spans="1:55">
      <c r="A193" s="20" t="s">
        <v>73</v>
      </c>
      <c r="B193" s="21"/>
      <c r="C193" s="20"/>
      <c r="D193" s="22"/>
      <c r="E193" s="22"/>
      <c r="F193" s="21"/>
      <c r="G193" s="23"/>
      <c r="H193" s="24"/>
      <c r="I193" s="22"/>
      <c r="J193" s="22"/>
      <c r="K193" s="22"/>
      <c r="L193" s="21"/>
      <c r="M193" s="20"/>
      <c r="N193" s="20"/>
      <c r="O193" s="23"/>
      <c r="P193" s="21"/>
      <c r="Q193" s="20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1"/>
      <c r="AU193" s="25" t="str">
        <f t="shared" si="4"/>
        <v>1Q42</v>
      </c>
      <c r="AV193" t="str">
        <f t="shared" si="5"/>
        <v>1Q42</v>
      </c>
      <c r="BA193">
        <f ca="1">IF(COUNTBLANK(C193)=0,COUNTA(INDIRECT(CONCATENATE("Area!",LEFT(ADDRESS(1,MATCH(C193,Area!$1:$1,0),4),1),"2:",LEFT(ADDRESS(1,MATCH(C193,Area!$1:$1,0),4),1),"99"))),0)</f>
        <v>0</v>
      </c>
      <c r="BB193">
        <f ca="1">IF(COUNTBLANK(D193)=0,COUNTA(INDIRECT(CONCATENATE("Setup!",LEFT(ADDRESS(1,MATCH(CONCATENATE(C193,":",D193),Setup!$1:$1,0),4),1),"2:",LEFT(ADDRESS(1,MATCH(CONCATENATE(C193,":",D193),Setup!$1:$1,0),4),1),"99"))),0)</f>
        <v>0</v>
      </c>
      <c r="BC193">
        <f ca="1">IF(COUNTBLANK(E193)=0,COUNTA(INDIRECT(CONCATENATE("Comp!",SUBSTITUTE(ADDRESS(1,MATCH(CONCATENATE(C193,":",D193,":",E193),Comp!$1:$1,0),4),"1",""),"2:",SUBSTITUTE(ADDRESS(1,MATCH(CONCATENATE(C193,":",D193,":",E193),Comp!$1:$1,0),4),"1",""),"99"))),0)</f>
        <v>0</v>
      </c>
    </row>
    <row r="194" spans="1:55">
      <c r="A194" s="20" t="s">
        <v>73</v>
      </c>
      <c r="B194" s="21"/>
      <c r="C194" s="20"/>
      <c r="D194" s="22"/>
      <c r="E194" s="22"/>
      <c r="F194" s="21"/>
      <c r="G194" s="23"/>
      <c r="H194" s="24"/>
      <c r="I194" s="22"/>
      <c r="J194" s="22"/>
      <c r="K194" s="22"/>
      <c r="L194" s="21"/>
      <c r="M194" s="20"/>
      <c r="N194" s="20"/>
      <c r="O194" s="23"/>
      <c r="P194" s="21"/>
      <c r="Q194" s="20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1"/>
      <c r="AU194" s="25" t="str">
        <f t="shared" si="4"/>
        <v>1Q42</v>
      </c>
      <c r="AV194" t="str">
        <f t="shared" si="5"/>
        <v>1Q42</v>
      </c>
      <c r="BA194">
        <f ca="1">IF(COUNTBLANK(C194)=0,COUNTA(INDIRECT(CONCATENATE("Area!",LEFT(ADDRESS(1,MATCH(C194,Area!$1:$1,0),4),1),"2:",LEFT(ADDRESS(1,MATCH(C194,Area!$1:$1,0),4),1),"99"))),0)</f>
        <v>0</v>
      </c>
      <c r="BB194">
        <f ca="1">IF(COUNTBLANK(D194)=0,COUNTA(INDIRECT(CONCATENATE("Setup!",LEFT(ADDRESS(1,MATCH(CONCATENATE(C194,":",D194),Setup!$1:$1,0),4),1),"2:",LEFT(ADDRESS(1,MATCH(CONCATENATE(C194,":",D194),Setup!$1:$1,0),4),1),"99"))),0)</f>
        <v>0</v>
      </c>
      <c r="BC194">
        <f ca="1">IF(COUNTBLANK(E194)=0,COUNTA(INDIRECT(CONCATENATE("Comp!",SUBSTITUTE(ADDRESS(1,MATCH(CONCATENATE(C194,":",D194,":",E194),Comp!$1:$1,0),4),"1",""),"2:",SUBSTITUTE(ADDRESS(1,MATCH(CONCATENATE(C194,":",D194,":",E194),Comp!$1:$1,0),4),"1",""),"99"))),0)</f>
        <v>0</v>
      </c>
    </row>
    <row r="195" spans="1:55">
      <c r="A195" s="20" t="s">
        <v>73</v>
      </c>
      <c r="B195" s="21"/>
      <c r="C195" s="20"/>
      <c r="D195" s="22"/>
      <c r="E195" s="22"/>
      <c r="F195" s="21"/>
      <c r="G195" s="23"/>
      <c r="H195" s="24"/>
      <c r="I195" s="22"/>
      <c r="J195" s="22"/>
      <c r="K195" s="22"/>
      <c r="L195" s="21"/>
      <c r="M195" s="20"/>
      <c r="N195" s="20"/>
      <c r="O195" s="23"/>
      <c r="P195" s="21"/>
      <c r="Q195" s="20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1"/>
      <c r="AU195" s="25" t="str">
        <f t="shared" si="4"/>
        <v>1Q42</v>
      </c>
      <c r="AV195" t="str">
        <f t="shared" si="5"/>
        <v>1Q42</v>
      </c>
      <c r="BA195">
        <f ca="1">IF(COUNTBLANK(C195)=0,COUNTA(INDIRECT(CONCATENATE("Area!",LEFT(ADDRESS(1,MATCH(C195,Area!$1:$1,0),4),1),"2:",LEFT(ADDRESS(1,MATCH(C195,Area!$1:$1,0),4),1),"99"))),0)</f>
        <v>0</v>
      </c>
      <c r="BB195">
        <f ca="1">IF(COUNTBLANK(D195)=0,COUNTA(INDIRECT(CONCATENATE("Setup!",LEFT(ADDRESS(1,MATCH(CONCATENATE(C195,":",D195),Setup!$1:$1,0),4),1),"2:",LEFT(ADDRESS(1,MATCH(CONCATENATE(C195,":",D195),Setup!$1:$1,0),4),1),"99"))),0)</f>
        <v>0</v>
      </c>
      <c r="BC195">
        <f ca="1">IF(COUNTBLANK(E195)=0,COUNTA(INDIRECT(CONCATENATE("Comp!",SUBSTITUTE(ADDRESS(1,MATCH(CONCATENATE(C195,":",D195,":",E195),Comp!$1:$1,0),4),"1",""),"2:",SUBSTITUTE(ADDRESS(1,MATCH(CONCATENATE(C195,":",D195,":",E195),Comp!$1:$1,0),4),"1",""),"99"))),0)</f>
        <v>0</v>
      </c>
    </row>
    <row r="196" spans="1:55">
      <c r="A196" s="20" t="s">
        <v>73</v>
      </c>
      <c r="B196" s="21"/>
      <c r="C196" s="20"/>
      <c r="D196" s="22"/>
      <c r="E196" s="22"/>
      <c r="F196" s="21"/>
      <c r="G196" s="23"/>
      <c r="H196" s="24"/>
      <c r="I196" s="22"/>
      <c r="J196" s="22"/>
      <c r="K196" s="22"/>
      <c r="L196" s="21"/>
      <c r="M196" s="20"/>
      <c r="N196" s="20"/>
      <c r="O196" s="23"/>
      <c r="P196" s="21"/>
      <c r="Q196" s="20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1"/>
      <c r="AU196" s="25" t="str">
        <f t="shared" si="4"/>
        <v>1Q42</v>
      </c>
      <c r="AV196" t="str">
        <f t="shared" si="5"/>
        <v>1Q42</v>
      </c>
      <c r="BA196">
        <f ca="1">IF(COUNTBLANK(C196)=0,COUNTA(INDIRECT(CONCATENATE("Area!",LEFT(ADDRESS(1,MATCH(C196,Area!$1:$1,0),4),1),"2:",LEFT(ADDRESS(1,MATCH(C196,Area!$1:$1,0),4),1),"99"))),0)</f>
        <v>0</v>
      </c>
      <c r="BB196">
        <f ca="1">IF(COUNTBLANK(D196)=0,COUNTA(INDIRECT(CONCATENATE("Setup!",LEFT(ADDRESS(1,MATCH(CONCATENATE(C196,":",D196),Setup!$1:$1,0),4),1),"2:",LEFT(ADDRESS(1,MATCH(CONCATENATE(C196,":",D196),Setup!$1:$1,0),4),1),"99"))),0)</f>
        <v>0</v>
      </c>
      <c r="BC196">
        <f ca="1">IF(COUNTBLANK(E196)=0,COUNTA(INDIRECT(CONCATENATE("Comp!",SUBSTITUTE(ADDRESS(1,MATCH(CONCATENATE(C196,":",D196,":",E196),Comp!$1:$1,0),4),"1",""),"2:",SUBSTITUTE(ADDRESS(1,MATCH(CONCATENATE(C196,":",D196,":",E196),Comp!$1:$1,0),4),"1",""),"99"))),0)</f>
        <v>0</v>
      </c>
    </row>
    <row r="197" spans="1:55">
      <c r="A197" s="20" t="s">
        <v>73</v>
      </c>
      <c r="B197" s="21"/>
      <c r="C197" s="20"/>
      <c r="D197" s="22"/>
      <c r="E197" s="22"/>
      <c r="F197" s="21"/>
      <c r="G197" s="23"/>
      <c r="H197" s="24"/>
      <c r="I197" s="22"/>
      <c r="J197" s="22"/>
      <c r="K197" s="22"/>
      <c r="L197" s="21"/>
      <c r="M197" s="20"/>
      <c r="N197" s="20"/>
      <c r="O197" s="23"/>
      <c r="P197" s="21"/>
      <c r="Q197" s="20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1"/>
      <c r="AU197" s="25" t="str">
        <f t="shared" si="4"/>
        <v>1Q42</v>
      </c>
      <c r="AV197" t="str">
        <f t="shared" si="5"/>
        <v>1Q42</v>
      </c>
      <c r="BA197">
        <f ca="1">IF(COUNTBLANK(C197)=0,COUNTA(INDIRECT(CONCATENATE("Area!",LEFT(ADDRESS(1,MATCH(C197,Area!$1:$1,0),4),1),"2:",LEFT(ADDRESS(1,MATCH(C197,Area!$1:$1,0),4),1),"99"))),0)</f>
        <v>0</v>
      </c>
      <c r="BB197">
        <f ca="1">IF(COUNTBLANK(D197)=0,COUNTA(INDIRECT(CONCATENATE("Setup!",LEFT(ADDRESS(1,MATCH(CONCATENATE(C197,":",D197),Setup!$1:$1,0),4),1),"2:",LEFT(ADDRESS(1,MATCH(CONCATENATE(C197,":",D197),Setup!$1:$1,0),4),1),"99"))),0)</f>
        <v>0</v>
      </c>
      <c r="BC197">
        <f ca="1">IF(COUNTBLANK(E197)=0,COUNTA(INDIRECT(CONCATENATE("Comp!",SUBSTITUTE(ADDRESS(1,MATCH(CONCATENATE(C197,":",D197,":",E197),Comp!$1:$1,0),4),"1",""),"2:",SUBSTITUTE(ADDRESS(1,MATCH(CONCATENATE(C197,":",D197,":",E197),Comp!$1:$1,0),4),"1",""),"99"))),0)</f>
        <v>0</v>
      </c>
    </row>
    <row r="198" spans="1:55">
      <c r="A198" s="20" t="s">
        <v>73</v>
      </c>
      <c r="B198" s="21"/>
      <c r="C198" s="20"/>
      <c r="D198" s="22"/>
      <c r="E198" s="22"/>
      <c r="F198" s="21"/>
      <c r="G198" s="23"/>
      <c r="H198" s="24"/>
      <c r="I198" s="22"/>
      <c r="J198" s="22"/>
      <c r="K198" s="22"/>
      <c r="L198" s="21"/>
      <c r="M198" s="20"/>
      <c r="N198" s="20"/>
      <c r="O198" s="23"/>
      <c r="P198" s="21"/>
      <c r="Q198" s="20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1"/>
      <c r="AU198" s="25" t="str">
        <f t="shared" si="4"/>
        <v>1Q42</v>
      </c>
      <c r="AV198" t="str">
        <f t="shared" si="5"/>
        <v>1Q42</v>
      </c>
      <c r="BA198">
        <f ca="1">IF(COUNTBLANK(C198)=0,COUNTA(INDIRECT(CONCATENATE("Area!",LEFT(ADDRESS(1,MATCH(C198,Area!$1:$1,0),4),1),"2:",LEFT(ADDRESS(1,MATCH(C198,Area!$1:$1,0),4),1),"99"))),0)</f>
        <v>0</v>
      </c>
      <c r="BB198">
        <f ca="1">IF(COUNTBLANK(D198)=0,COUNTA(INDIRECT(CONCATENATE("Setup!",LEFT(ADDRESS(1,MATCH(CONCATENATE(C198,":",D198),Setup!$1:$1,0),4),1),"2:",LEFT(ADDRESS(1,MATCH(CONCATENATE(C198,":",D198),Setup!$1:$1,0),4),1),"99"))),0)</f>
        <v>0</v>
      </c>
      <c r="BC198">
        <f ca="1">IF(COUNTBLANK(E198)=0,COUNTA(INDIRECT(CONCATENATE("Comp!",SUBSTITUTE(ADDRESS(1,MATCH(CONCATENATE(C198,":",D198,":",E198),Comp!$1:$1,0),4),"1",""),"2:",SUBSTITUTE(ADDRESS(1,MATCH(CONCATENATE(C198,":",D198,":",E198),Comp!$1:$1,0),4),"1",""),"99"))),0)</f>
        <v>0</v>
      </c>
    </row>
    <row r="199" spans="1:55">
      <c r="A199" s="20" t="s">
        <v>73</v>
      </c>
      <c r="B199" s="21"/>
      <c r="C199" s="20"/>
      <c r="D199" s="22"/>
      <c r="E199" s="22"/>
      <c r="F199" s="21"/>
      <c r="G199" s="23"/>
      <c r="H199" s="24"/>
      <c r="I199" s="22"/>
      <c r="J199" s="22"/>
      <c r="K199" s="22"/>
      <c r="L199" s="21"/>
      <c r="M199" s="20"/>
      <c r="N199" s="20"/>
      <c r="O199" s="23"/>
      <c r="P199" s="21"/>
      <c r="Q199" s="20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1"/>
      <c r="AU199" s="25" t="str">
        <f t="shared" si="4"/>
        <v>1Q42</v>
      </c>
      <c r="AV199" t="str">
        <f t="shared" si="5"/>
        <v>1Q42</v>
      </c>
      <c r="BA199">
        <f ca="1">IF(COUNTBLANK(C199)=0,COUNTA(INDIRECT(CONCATENATE("Area!",LEFT(ADDRESS(1,MATCH(C199,Area!$1:$1,0),4),1),"2:",LEFT(ADDRESS(1,MATCH(C199,Area!$1:$1,0),4),1),"99"))),0)</f>
        <v>0</v>
      </c>
      <c r="BB199">
        <f ca="1">IF(COUNTBLANK(D199)=0,COUNTA(INDIRECT(CONCATENATE("Setup!",LEFT(ADDRESS(1,MATCH(CONCATENATE(C199,":",D199),Setup!$1:$1,0),4),1),"2:",LEFT(ADDRESS(1,MATCH(CONCATENATE(C199,":",D199),Setup!$1:$1,0),4),1),"99"))),0)</f>
        <v>0</v>
      </c>
      <c r="BC199">
        <f ca="1">IF(COUNTBLANK(E199)=0,COUNTA(INDIRECT(CONCATENATE("Comp!",SUBSTITUTE(ADDRESS(1,MATCH(CONCATENATE(C199,":",D199,":",E199),Comp!$1:$1,0),4),"1",""),"2:",SUBSTITUTE(ADDRESS(1,MATCH(CONCATENATE(C199,":",D199,":",E199),Comp!$1:$1,0),4),"1",""),"99"))),0)</f>
        <v>0</v>
      </c>
    </row>
    <row r="200" spans="1:55">
      <c r="A200" s="20" t="s">
        <v>73</v>
      </c>
      <c r="B200" s="21"/>
      <c r="C200" s="20"/>
      <c r="D200" s="22"/>
      <c r="E200" s="22"/>
      <c r="F200" s="21"/>
      <c r="G200" s="23"/>
      <c r="H200" s="24"/>
      <c r="I200" s="22"/>
      <c r="J200" s="22"/>
      <c r="K200" s="22"/>
      <c r="L200" s="21"/>
      <c r="M200" s="20"/>
      <c r="N200" s="20"/>
      <c r="O200" s="23"/>
      <c r="P200" s="21"/>
      <c r="Q200" s="20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1"/>
      <c r="AU200" s="25" t="str">
        <f t="shared" si="4"/>
        <v>1Q42</v>
      </c>
      <c r="AV200" t="str">
        <f t="shared" si="5"/>
        <v>1Q42</v>
      </c>
      <c r="BA200">
        <f ca="1">IF(COUNTBLANK(C200)=0,COUNTA(INDIRECT(CONCATENATE("Area!",LEFT(ADDRESS(1,MATCH(C200,Area!$1:$1,0),4),1),"2:",LEFT(ADDRESS(1,MATCH(C200,Area!$1:$1,0),4),1),"99"))),0)</f>
        <v>0</v>
      </c>
      <c r="BB200">
        <f ca="1">IF(COUNTBLANK(D200)=0,COUNTA(INDIRECT(CONCATENATE("Setup!",LEFT(ADDRESS(1,MATCH(CONCATENATE(C200,":",D200),Setup!$1:$1,0),4),1),"2:",LEFT(ADDRESS(1,MATCH(CONCATENATE(C200,":",D200),Setup!$1:$1,0),4),1),"99"))),0)</f>
        <v>0</v>
      </c>
      <c r="BC200">
        <f ca="1">IF(COUNTBLANK(E200)=0,COUNTA(INDIRECT(CONCATENATE("Comp!",SUBSTITUTE(ADDRESS(1,MATCH(CONCATENATE(C200,":",D200,":",E200),Comp!$1:$1,0),4),"1",""),"2:",SUBSTITUTE(ADDRESS(1,MATCH(CONCATENATE(C200,":",D200,":",E200),Comp!$1:$1,0),4),"1",""),"99"))),0)</f>
        <v>0</v>
      </c>
    </row>
    <row r="201" spans="1:55">
      <c r="A201" s="20" t="s">
        <v>73</v>
      </c>
      <c r="B201" s="21"/>
      <c r="C201" s="20"/>
      <c r="D201" s="22"/>
      <c r="E201" s="22"/>
      <c r="F201" s="21"/>
      <c r="G201" s="23"/>
      <c r="H201" s="24"/>
      <c r="I201" s="22"/>
      <c r="J201" s="22"/>
      <c r="K201" s="22"/>
      <c r="L201" s="21"/>
      <c r="M201" s="20"/>
      <c r="N201" s="20"/>
      <c r="O201" s="23"/>
      <c r="P201" s="21"/>
      <c r="Q201" s="20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1"/>
      <c r="AU201" s="25" t="str">
        <f t="shared" ref="AU201:AU264" si="6">CONCATENATE(A201,B201)</f>
        <v>1Q42</v>
      </c>
      <c r="AV201" t="str">
        <f t="shared" ref="AV201:AV264" si="7">CONCATENATE(A201,B201)</f>
        <v>1Q42</v>
      </c>
      <c r="BA201">
        <f ca="1">IF(COUNTBLANK(C201)=0,COUNTA(INDIRECT(CONCATENATE("Area!",LEFT(ADDRESS(1,MATCH(C201,Area!$1:$1,0),4),1),"2:",LEFT(ADDRESS(1,MATCH(C201,Area!$1:$1,0),4),1),"99"))),0)</f>
        <v>0</v>
      </c>
      <c r="BB201">
        <f ca="1">IF(COUNTBLANK(D201)=0,COUNTA(INDIRECT(CONCATENATE("Setup!",LEFT(ADDRESS(1,MATCH(CONCATENATE(C201,":",D201),Setup!$1:$1,0),4),1),"2:",LEFT(ADDRESS(1,MATCH(CONCATENATE(C201,":",D201),Setup!$1:$1,0),4),1),"99"))),0)</f>
        <v>0</v>
      </c>
      <c r="BC201">
        <f ca="1">IF(COUNTBLANK(E201)=0,COUNTA(INDIRECT(CONCATENATE("Comp!",SUBSTITUTE(ADDRESS(1,MATCH(CONCATENATE(C201,":",D201,":",E201),Comp!$1:$1,0),4),"1",""),"2:",SUBSTITUTE(ADDRESS(1,MATCH(CONCATENATE(C201,":",D201,":",E201),Comp!$1:$1,0),4),"1",""),"99"))),0)</f>
        <v>0</v>
      </c>
    </row>
    <row r="202" spans="1:55">
      <c r="A202" s="20" t="s">
        <v>73</v>
      </c>
      <c r="B202" s="21"/>
      <c r="C202" s="20"/>
      <c r="D202" s="22"/>
      <c r="E202" s="22"/>
      <c r="F202" s="21"/>
      <c r="G202" s="23"/>
      <c r="H202" s="24"/>
      <c r="I202" s="22"/>
      <c r="J202" s="22"/>
      <c r="K202" s="22"/>
      <c r="L202" s="21"/>
      <c r="M202" s="20"/>
      <c r="N202" s="20"/>
      <c r="O202" s="23"/>
      <c r="P202" s="21"/>
      <c r="Q202" s="20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1"/>
      <c r="AU202" s="25" t="str">
        <f t="shared" si="6"/>
        <v>1Q42</v>
      </c>
      <c r="AV202" t="str">
        <f t="shared" si="7"/>
        <v>1Q42</v>
      </c>
      <c r="BA202">
        <f ca="1">IF(COUNTBLANK(C202)=0,COUNTA(INDIRECT(CONCATENATE("Area!",LEFT(ADDRESS(1,MATCH(C202,Area!$1:$1,0),4),1),"2:",LEFT(ADDRESS(1,MATCH(C202,Area!$1:$1,0),4),1),"99"))),0)</f>
        <v>0</v>
      </c>
      <c r="BB202">
        <f ca="1">IF(COUNTBLANK(D202)=0,COUNTA(INDIRECT(CONCATENATE("Setup!",LEFT(ADDRESS(1,MATCH(CONCATENATE(C202,":",D202),Setup!$1:$1,0),4),1),"2:",LEFT(ADDRESS(1,MATCH(CONCATENATE(C202,":",D202),Setup!$1:$1,0),4),1),"99"))),0)</f>
        <v>0</v>
      </c>
      <c r="BC202">
        <f ca="1">IF(COUNTBLANK(E202)=0,COUNTA(INDIRECT(CONCATENATE("Comp!",SUBSTITUTE(ADDRESS(1,MATCH(CONCATENATE(C202,":",D202,":",E202),Comp!$1:$1,0),4),"1",""),"2:",SUBSTITUTE(ADDRESS(1,MATCH(CONCATENATE(C202,":",D202,":",E202),Comp!$1:$1,0),4),"1",""),"99"))),0)</f>
        <v>0</v>
      </c>
    </row>
    <row r="203" spans="1:55">
      <c r="A203" s="20" t="s">
        <v>73</v>
      </c>
      <c r="B203" s="21"/>
      <c r="C203" s="20"/>
      <c r="D203" s="22"/>
      <c r="E203" s="22"/>
      <c r="F203" s="21"/>
      <c r="G203" s="23"/>
      <c r="H203" s="24"/>
      <c r="I203" s="22"/>
      <c r="J203" s="22"/>
      <c r="K203" s="22"/>
      <c r="L203" s="21"/>
      <c r="M203" s="20"/>
      <c r="N203" s="20"/>
      <c r="O203" s="23"/>
      <c r="P203" s="21"/>
      <c r="Q203" s="20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1"/>
      <c r="AU203" s="25" t="str">
        <f t="shared" si="6"/>
        <v>1Q42</v>
      </c>
      <c r="AV203" t="str">
        <f t="shared" si="7"/>
        <v>1Q42</v>
      </c>
      <c r="BA203">
        <f ca="1">IF(COUNTBLANK(C203)=0,COUNTA(INDIRECT(CONCATENATE("Area!",LEFT(ADDRESS(1,MATCH(C203,Area!$1:$1,0),4),1),"2:",LEFT(ADDRESS(1,MATCH(C203,Area!$1:$1,0),4),1),"99"))),0)</f>
        <v>0</v>
      </c>
      <c r="BB203">
        <f ca="1">IF(COUNTBLANK(D203)=0,COUNTA(INDIRECT(CONCATENATE("Setup!",LEFT(ADDRESS(1,MATCH(CONCATENATE(C203,":",D203),Setup!$1:$1,0),4),1),"2:",LEFT(ADDRESS(1,MATCH(CONCATENATE(C203,":",D203),Setup!$1:$1,0),4),1),"99"))),0)</f>
        <v>0</v>
      </c>
      <c r="BC203">
        <f ca="1">IF(COUNTBLANK(E203)=0,COUNTA(INDIRECT(CONCATENATE("Comp!",SUBSTITUTE(ADDRESS(1,MATCH(CONCATENATE(C203,":",D203,":",E203),Comp!$1:$1,0),4),"1",""),"2:",SUBSTITUTE(ADDRESS(1,MATCH(CONCATENATE(C203,":",D203,":",E203),Comp!$1:$1,0),4),"1",""),"99"))),0)</f>
        <v>0</v>
      </c>
    </row>
    <row r="204" spans="1:55">
      <c r="A204" s="20" t="s">
        <v>73</v>
      </c>
      <c r="B204" s="21"/>
      <c r="C204" s="20"/>
      <c r="D204" s="22"/>
      <c r="E204" s="22"/>
      <c r="F204" s="21"/>
      <c r="G204" s="23"/>
      <c r="H204" s="24"/>
      <c r="I204" s="22"/>
      <c r="J204" s="22"/>
      <c r="K204" s="22"/>
      <c r="L204" s="21"/>
      <c r="M204" s="20"/>
      <c r="N204" s="20"/>
      <c r="O204" s="23"/>
      <c r="P204" s="21"/>
      <c r="Q204" s="20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1"/>
      <c r="AU204" s="25" t="str">
        <f t="shared" si="6"/>
        <v>1Q42</v>
      </c>
      <c r="AV204" t="str">
        <f t="shared" si="7"/>
        <v>1Q42</v>
      </c>
      <c r="BA204">
        <f ca="1">IF(COUNTBLANK(C204)=0,COUNTA(INDIRECT(CONCATENATE("Area!",LEFT(ADDRESS(1,MATCH(C204,Area!$1:$1,0),4),1),"2:",LEFT(ADDRESS(1,MATCH(C204,Area!$1:$1,0),4),1),"99"))),0)</f>
        <v>0</v>
      </c>
      <c r="BB204">
        <f ca="1">IF(COUNTBLANK(D204)=0,COUNTA(INDIRECT(CONCATENATE("Setup!",LEFT(ADDRESS(1,MATCH(CONCATENATE(C204,":",D204),Setup!$1:$1,0),4),1),"2:",LEFT(ADDRESS(1,MATCH(CONCATENATE(C204,":",D204),Setup!$1:$1,0),4),1),"99"))),0)</f>
        <v>0</v>
      </c>
      <c r="BC204">
        <f ca="1">IF(COUNTBLANK(E204)=0,COUNTA(INDIRECT(CONCATENATE("Comp!",SUBSTITUTE(ADDRESS(1,MATCH(CONCATENATE(C204,":",D204,":",E204),Comp!$1:$1,0),4),"1",""),"2:",SUBSTITUTE(ADDRESS(1,MATCH(CONCATENATE(C204,":",D204,":",E204),Comp!$1:$1,0),4),"1",""),"99"))),0)</f>
        <v>0</v>
      </c>
    </row>
    <row r="205" spans="1:55">
      <c r="A205" s="20" t="s">
        <v>73</v>
      </c>
      <c r="B205" s="21"/>
      <c r="C205" s="20"/>
      <c r="D205" s="22"/>
      <c r="E205" s="22"/>
      <c r="F205" s="21"/>
      <c r="G205" s="23"/>
      <c r="H205" s="24"/>
      <c r="I205" s="22"/>
      <c r="J205" s="22"/>
      <c r="K205" s="22"/>
      <c r="L205" s="21"/>
      <c r="M205" s="20"/>
      <c r="N205" s="20"/>
      <c r="O205" s="23"/>
      <c r="P205" s="21"/>
      <c r="Q205" s="20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1"/>
      <c r="AU205" s="25" t="str">
        <f t="shared" si="6"/>
        <v>1Q42</v>
      </c>
      <c r="AV205" t="str">
        <f t="shared" si="7"/>
        <v>1Q42</v>
      </c>
      <c r="BA205">
        <f ca="1">IF(COUNTBLANK(C205)=0,COUNTA(INDIRECT(CONCATENATE("Area!",LEFT(ADDRESS(1,MATCH(C205,Area!$1:$1,0),4),1),"2:",LEFT(ADDRESS(1,MATCH(C205,Area!$1:$1,0),4),1),"99"))),0)</f>
        <v>0</v>
      </c>
      <c r="BB205">
        <f ca="1">IF(COUNTBLANK(D205)=0,COUNTA(INDIRECT(CONCATENATE("Setup!",LEFT(ADDRESS(1,MATCH(CONCATENATE(C205,":",D205),Setup!$1:$1,0),4),1),"2:",LEFT(ADDRESS(1,MATCH(CONCATENATE(C205,":",D205),Setup!$1:$1,0),4),1),"99"))),0)</f>
        <v>0</v>
      </c>
      <c r="BC205">
        <f ca="1">IF(COUNTBLANK(E205)=0,COUNTA(INDIRECT(CONCATENATE("Comp!",SUBSTITUTE(ADDRESS(1,MATCH(CONCATENATE(C205,":",D205,":",E205),Comp!$1:$1,0),4),"1",""),"2:",SUBSTITUTE(ADDRESS(1,MATCH(CONCATENATE(C205,":",D205,":",E205),Comp!$1:$1,0),4),"1",""),"99"))),0)</f>
        <v>0</v>
      </c>
    </row>
    <row r="206" spans="1:55">
      <c r="A206" s="20" t="s">
        <v>73</v>
      </c>
      <c r="B206" s="21"/>
      <c r="C206" s="20"/>
      <c r="D206" s="22"/>
      <c r="E206" s="22"/>
      <c r="F206" s="21"/>
      <c r="G206" s="23"/>
      <c r="H206" s="24"/>
      <c r="I206" s="22"/>
      <c r="J206" s="22"/>
      <c r="K206" s="22"/>
      <c r="L206" s="21"/>
      <c r="M206" s="20"/>
      <c r="N206" s="20"/>
      <c r="O206" s="23"/>
      <c r="P206" s="21"/>
      <c r="Q206" s="20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1"/>
      <c r="AU206" s="25" t="str">
        <f t="shared" si="6"/>
        <v>1Q42</v>
      </c>
      <c r="AV206" t="str">
        <f t="shared" si="7"/>
        <v>1Q42</v>
      </c>
      <c r="BA206">
        <f ca="1">IF(COUNTBLANK(C206)=0,COUNTA(INDIRECT(CONCATENATE("Area!",LEFT(ADDRESS(1,MATCH(C206,Area!$1:$1,0),4),1),"2:",LEFT(ADDRESS(1,MATCH(C206,Area!$1:$1,0),4),1),"99"))),0)</f>
        <v>0</v>
      </c>
      <c r="BB206">
        <f ca="1">IF(COUNTBLANK(D206)=0,COUNTA(INDIRECT(CONCATENATE("Setup!",LEFT(ADDRESS(1,MATCH(CONCATENATE(C206,":",D206),Setup!$1:$1,0),4),1),"2:",LEFT(ADDRESS(1,MATCH(CONCATENATE(C206,":",D206),Setup!$1:$1,0),4),1),"99"))),0)</f>
        <v>0</v>
      </c>
      <c r="BC206">
        <f ca="1">IF(COUNTBLANK(E206)=0,COUNTA(INDIRECT(CONCATENATE("Comp!",SUBSTITUTE(ADDRESS(1,MATCH(CONCATENATE(C206,":",D206,":",E206),Comp!$1:$1,0),4),"1",""),"2:",SUBSTITUTE(ADDRESS(1,MATCH(CONCATENATE(C206,":",D206,":",E206),Comp!$1:$1,0),4),"1",""),"99"))),0)</f>
        <v>0</v>
      </c>
    </row>
    <row r="207" spans="1:55">
      <c r="A207" s="20" t="s">
        <v>73</v>
      </c>
      <c r="B207" s="21"/>
      <c r="C207" s="20"/>
      <c r="D207" s="22"/>
      <c r="E207" s="22"/>
      <c r="F207" s="21"/>
      <c r="G207" s="23"/>
      <c r="H207" s="24"/>
      <c r="I207" s="22"/>
      <c r="J207" s="22"/>
      <c r="K207" s="22"/>
      <c r="L207" s="21"/>
      <c r="M207" s="20"/>
      <c r="N207" s="20"/>
      <c r="O207" s="23"/>
      <c r="P207" s="21"/>
      <c r="Q207" s="20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1"/>
      <c r="AU207" s="25" t="str">
        <f t="shared" si="6"/>
        <v>1Q42</v>
      </c>
      <c r="AV207" t="str">
        <f t="shared" si="7"/>
        <v>1Q42</v>
      </c>
      <c r="BA207">
        <f ca="1">IF(COUNTBLANK(C207)=0,COUNTA(INDIRECT(CONCATENATE("Area!",LEFT(ADDRESS(1,MATCH(C207,Area!$1:$1,0),4),1),"2:",LEFT(ADDRESS(1,MATCH(C207,Area!$1:$1,0),4),1),"99"))),0)</f>
        <v>0</v>
      </c>
      <c r="BB207">
        <f ca="1">IF(COUNTBLANK(D207)=0,COUNTA(INDIRECT(CONCATENATE("Setup!",LEFT(ADDRESS(1,MATCH(CONCATENATE(C207,":",D207),Setup!$1:$1,0),4),1),"2:",LEFT(ADDRESS(1,MATCH(CONCATENATE(C207,":",D207),Setup!$1:$1,0),4),1),"99"))),0)</f>
        <v>0</v>
      </c>
      <c r="BC207">
        <f ca="1">IF(COUNTBLANK(E207)=0,COUNTA(INDIRECT(CONCATENATE("Comp!",SUBSTITUTE(ADDRESS(1,MATCH(CONCATENATE(C207,":",D207,":",E207),Comp!$1:$1,0),4),"1",""),"2:",SUBSTITUTE(ADDRESS(1,MATCH(CONCATENATE(C207,":",D207,":",E207),Comp!$1:$1,0),4),"1",""),"99"))),0)</f>
        <v>0</v>
      </c>
    </row>
    <row r="208" spans="1:55">
      <c r="A208" s="20" t="s">
        <v>73</v>
      </c>
      <c r="B208" s="21"/>
      <c r="C208" s="20"/>
      <c r="D208" s="22"/>
      <c r="E208" s="22"/>
      <c r="F208" s="21"/>
      <c r="G208" s="23"/>
      <c r="H208" s="24"/>
      <c r="I208" s="22"/>
      <c r="J208" s="22"/>
      <c r="K208" s="22"/>
      <c r="L208" s="21"/>
      <c r="M208" s="20"/>
      <c r="N208" s="20"/>
      <c r="O208" s="23"/>
      <c r="P208" s="21"/>
      <c r="Q208" s="20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1"/>
      <c r="AU208" s="25" t="str">
        <f t="shared" si="6"/>
        <v>1Q42</v>
      </c>
      <c r="AV208" t="str">
        <f t="shared" si="7"/>
        <v>1Q42</v>
      </c>
      <c r="BA208">
        <f ca="1">IF(COUNTBLANK(C208)=0,COUNTA(INDIRECT(CONCATENATE("Area!",LEFT(ADDRESS(1,MATCH(C208,Area!$1:$1,0),4),1),"2:",LEFT(ADDRESS(1,MATCH(C208,Area!$1:$1,0),4),1),"99"))),0)</f>
        <v>0</v>
      </c>
      <c r="BB208">
        <f ca="1">IF(COUNTBLANK(D208)=0,COUNTA(INDIRECT(CONCATENATE("Setup!",LEFT(ADDRESS(1,MATCH(CONCATENATE(C208,":",D208),Setup!$1:$1,0),4),1),"2:",LEFT(ADDRESS(1,MATCH(CONCATENATE(C208,":",D208),Setup!$1:$1,0),4),1),"99"))),0)</f>
        <v>0</v>
      </c>
      <c r="BC208">
        <f ca="1">IF(COUNTBLANK(E208)=0,COUNTA(INDIRECT(CONCATENATE("Comp!",SUBSTITUTE(ADDRESS(1,MATCH(CONCATENATE(C208,":",D208,":",E208),Comp!$1:$1,0),4),"1",""),"2:",SUBSTITUTE(ADDRESS(1,MATCH(CONCATENATE(C208,":",D208,":",E208),Comp!$1:$1,0),4),"1",""),"99"))),0)</f>
        <v>0</v>
      </c>
    </row>
    <row r="209" spans="1:55">
      <c r="A209" s="20" t="s">
        <v>73</v>
      </c>
      <c r="B209" s="21"/>
      <c r="C209" s="20"/>
      <c r="D209" s="22"/>
      <c r="E209" s="22"/>
      <c r="F209" s="21"/>
      <c r="G209" s="23"/>
      <c r="H209" s="24"/>
      <c r="I209" s="22"/>
      <c r="J209" s="22"/>
      <c r="K209" s="22"/>
      <c r="L209" s="21"/>
      <c r="M209" s="20"/>
      <c r="N209" s="20"/>
      <c r="O209" s="23"/>
      <c r="P209" s="21"/>
      <c r="Q209" s="20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1"/>
      <c r="AU209" s="25" t="str">
        <f t="shared" si="6"/>
        <v>1Q42</v>
      </c>
      <c r="AV209" t="str">
        <f t="shared" si="7"/>
        <v>1Q42</v>
      </c>
      <c r="BA209">
        <f ca="1">IF(COUNTBLANK(C209)=0,COUNTA(INDIRECT(CONCATENATE("Area!",LEFT(ADDRESS(1,MATCH(C209,Area!$1:$1,0),4),1),"2:",LEFT(ADDRESS(1,MATCH(C209,Area!$1:$1,0),4),1),"99"))),0)</f>
        <v>0</v>
      </c>
      <c r="BB209">
        <f ca="1">IF(COUNTBLANK(D209)=0,COUNTA(INDIRECT(CONCATENATE("Setup!",LEFT(ADDRESS(1,MATCH(CONCATENATE(C209,":",D209),Setup!$1:$1,0),4),1),"2:",LEFT(ADDRESS(1,MATCH(CONCATENATE(C209,":",D209),Setup!$1:$1,0),4),1),"99"))),0)</f>
        <v>0</v>
      </c>
      <c r="BC209">
        <f ca="1">IF(COUNTBLANK(E209)=0,COUNTA(INDIRECT(CONCATENATE("Comp!",SUBSTITUTE(ADDRESS(1,MATCH(CONCATENATE(C209,":",D209,":",E209),Comp!$1:$1,0),4),"1",""),"2:",SUBSTITUTE(ADDRESS(1,MATCH(CONCATENATE(C209,":",D209,":",E209),Comp!$1:$1,0),4),"1",""),"99"))),0)</f>
        <v>0</v>
      </c>
    </row>
    <row r="210" spans="1:55">
      <c r="A210" s="20" t="s">
        <v>73</v>
      </c>
      <c r="B210" s="21"/>
      <c r="C210" s="20"/>
      <c r="D210" s="22"/>
      <c r="E210" s="22"/>
      <c r="F210" s="21"/>
      <c r="G210" s="23"/>
      <c r="H210" s="24"/>
      <c r="I210" s="22"/>
      <c r="J210" s="22"/>
      <c r="K210" s="22"/>
      <c r="L210" s="21"/>
      <c r="M210" s="20"/>
      <c r="N210" s="20"/>
      <c r="O210" s="23"/>
      <c r="P210" s="21"/>
      <c r="Q210" s="20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1"/>
      <c r="AU210" s="25" t="str">
        <f t="shared" si="6"/>
        <v>1Q42</v>
      </c>
      <c r="AV210" t="str">
        <f t="shared" si="7"/>
        <v>1Q42</v>
      </c>
      <c r="BA210">
        <f ca="1">IF(COUNTBLANK(C210)=0,COUNTA(INDIRECT(CONCATENATE("Area!",LEFT(ADDRESS(1,MATCH(C210,Area!$1:$1,0),4),1),"2:",LEFT(ADDRESS(1,MATCH(C210,Area!$1:$1,0),4),1),"99"))),0)</f>
        <v>0</v>
      </c>
      <c r="BB210">
        <f ca="1">IF(COUNTBLANK(D210)=0,COUNTA(INDIRECT(CONCATENATE("Setup!",LEFT(ADDRESS(1,MATCH(CONCATENATE(C210,":",D210),Setup!$1:$1,0),4),1),"2:",LEFT(ADDRESS(1,MATCH(CONCATENATE(C210,":",D210),Setup!$1:$1,0),4),1),"99"))),0)</f>
        <v>0</v>
      </c>
      <c r="BC210">
        <f ca="1">IF(COUNTBLANK(E210)=0,COUNTA(INDIRECT(CONCATENATE("Comp!",SUBSTITUTE(ADDRESS(1,MATCH(CONCATENATE(C210,":",D210,":",E210),Comp!$1:$1,0),4),"1",""),"2:",SUBSTITUTE(ADDRESS(1,MATCH(CONCATENATE(C210,":",D210,":",E210),Comp!$1:$1,0),4),"1",""),"99"))),0)</f>
        <v>0</v>
      </c>
    </row>
    <row r="211" spans="1:55">
      <c r="A211" s="20" t="s">
        <v>73</v>
      </c>
      <c r="B211" s="21"/>
      <c r="C211" s="20"/>
      <c r="D211" s="22"/>
      <c r="E211" s="22"/>
      <c r="F211" s="21"/>
      <c r="G211" s="23"/>
      <c r="H211" s="24"/>
      <c r="I211" s="22"/>
      <c r="J211" s="22"/>
      <c r="K211" s="22"/>
      <c r="L211" s="21"/>
      <c r="M211" s="20"/>
      <c r="N211" s="20"/>
      <c r="O211" s="23"/>
      <c r="P211" s="21"/>
      <c r="Q211" s="20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1"/>
      <c r="AU211" s="25" t="str">
        <f t="shared" si="6"/>
        <v>1Q42</v>
      </c>
      <c r="AV211" t="str">
        <f t="shared" si="7"/>
        <v>1Q42</v>
      </c>
      <c r="BA211">
        <f ca="1">IF(COUNTBLANK(C211)=0,COUNTA(INDIRECT(CONCATENATE("Area!",LEFT(ADDRESS(1,MATCH(C211,Area!$1:$1,0),4),1),"2:",LEFT(ADDRESS(1,MATCH(C211,Area!$1:$1,0),4),1),"99"))),0)</f>
        <v>0</v>
      </c>
      <c r="BB211">
        <f ca="1">IF(COUNTBLANK(D211)=0,COUNTA(INDIRECT(CONCATENATE("Setup!",LEFT(ADDRESS(1,MATCH(CONCATENATE(C211,":",D211),Setup!$1:$1,0),4),1),"2:",LEFT(ADDRESS(1,MATCH(CONCATENATE(C211,":",D211),Setup!$1:$1,0),4),1),"99"))),0)</f>
        <v>0</v>
      </c>
      <c r="BC211">
        <f ca="1">IF(COUNTBLANK(E211)=0,COUNTA(INDIRECT(CONCATENATE("Comp!",SUBSTITUTE(ADDRESS(1,MATCH(CONCATENATE(C211,":",D211,":",E211),Comp!$1:$1,0),4),"1",""),"2:",SUBSTITUTE(ADDRESS(1,MATCH(CONCATENATE(C211,":",D211,":",E211),Comp!$1:$1,0),4),"1",""),"99"))),0)</f>
        <v>0</v>
      </c>
    </row>
    <row r="212" spans="1:55">
      <c r="A212" s="20" t="s">
        <v>73</v>
      </c>
      <c r="B212" s="21"/>
      <c r="C212" s="20"/>
      <c r="D212" s="22"/>
      <c r="E212" s="22"/>
      <c r="F212" s="21"/>
      <c r="G212" s="23"/>
      <c r="H212" s="24"/>
      <c r="I212" s="22"/>
      <c r="J212" s="22"/>
      <c r="K212" s="22"/>
      <c r="L212" s="21"/>
      <c r="M212" s="20"/>
      <c r="N212" s="20"/>
      <c r="O212" s="23"/>
      <c r="P212" s="21"/>
      <c r="Q212" s="20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1"/>
      <c r="AU212" s="25" t="str">
        <f t="shared" si="6"/>
        <v>1Q42</v>
      </c>
      <c r="AV212" t="str">
        <f t="shared" si="7"/>
        <v>1Q42</v>
      </c>
      <c r="BA212">
        <f ca="1">IF(COUNTBLANK(C212)=0,COUNTA(INDIRECT(CONCATENATE("Area!",LEFT(ADDRESS(1,MATCH(C212,Area!$1:$1,0),4),1),"2:",LEFT(ADDRESS(1,MATCH(C212,Area!$1:$1,0),4),1),"99"))),0)</f>
        <v>0</v>
      </c>
      <c r="BB212">
        <f ca="1">IF(COUNTBLANK(D212)=0,COUNTA(INDIRECT(CONCATENATE("Setup!",LEFT(ADDRESS(1,MATCH(CONCATENATE(C212,":",D212),Setup!$1:$1,0),4),1),"2:",LEFT(ADDRESS(1,MATCH(CONCATENATE(C212,":",D212),Setup!$1:$1,0),4),1),"99"))),0)</f>
        <v>0</v>
      </c>
      <c r="BC212">
        <f ca="1">IF(COUNTBLANK(E212)=0,COUNTA(INDIRECT(CONCATENATE("Comp!",SUBSTITUTE(ADDRESS(1,MATCH(CONCATENATE(C212,":",D212,":",E212),Comp!$1:$1,0),4),"1",""),"2:",SUBSTITUTE(ADDRESS(1,MATCH(CONCATENATE(C212,":",D212,":",E212),Comp!$1:$1,0),4),"1",""),"99"))),0)</f>
        <v>0</v>
      </c>
    </row>
    <row r="213" spans="1:55">
      <c r="A213" s="20" t="s">
        <v>73</v>
      </c>
      <c r="B213" s="21"/>
      <c r="C213" s="20"/>
      <c r="D213" s="22"/>
      <c r="E213" s="22"/>
      <c r="F213" s="21"/>
      <c r="G213" s="23"/>
      <c r="H213" s="24"/>
      <c r="I213" s="22"/>
      <c r="J213" s="22"/>
      <c r="K213" s="22"/>
      <c r="L213" s="21"/>
      <c r="M213" s="20"/>
      <c r="N213" s="20"/>
      <c r="O213" s="23"/>
      <c r="P213" s="21"/>
      <c r="Q213" s="20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1"/>
      <c r="AU213" s="25" t="str">
        <f t="shared" si="6"/>
        <v>1Q42</v>
      </c>
      <c r="AV213" t="str">
        <f t="shared" si="7"/>
        <v>1Q42</v>
      </c>
      <c r="BA213">
        <f ca="1">IF(COUNTBLANK(C213)=0,COUNTA(INDIRECT(CONCATENATE("Area!",LEFT(ADDRESS(1,MATCH(C213,Area!$1:$1,0),4),1),"2:",LEFT(ADDRESS(1,MATCH(C213,Area!$1:$1,0),4),1),"99"))),0)</f>
        <v>0</v>
      </c>
      <c r="BB213">
        <f ca="1">IF(COUNTBLANK(D213)=0,COUNTA(INDIRECT(CONCATENATE("Setup!",LEFT(ADDRESS(1,MATCH(CONCATENATE(C213,":",D213),Setup!$1:$1,0),4),1),"2:",LEFT(ADDRESS(1,MATCH(CONCATENATE(C213,":",D213),Setup!$1:$1,0),4),1),"99"))),0)</f>
        <v>0</v>
      </c>
      <c r="BC213">
        <f ca="1">IF(COUNTBLANK(E213)=0,COUNTA(INDIRECT(CONCATENATE("Comp!",SUBSTITUTE(ADDRESS(1,MATCH(CONCATENATE(C213,":",D213,":",E213),Comp!$1:$1,0),4),"1",""),"2:",SUBSTITUTE(ADDRESS(1,MATCH(CONCATENATE(C213,":",D213,":",E213),Comp!$1:$1,0),4),"1",""),"99"))),0)</f>
        <v>0</v>
      </c>
    </row>
    <row r="214" spans="1:55">
      <c r="A214" s="20" t="s">
        <v>73</v>
      </c>
      <c r="B214" s="21"/>
      <c r="C214" s="20"/>
      <c r="D214" s="22"/>
      <c r="E214" s="22"/>
      <c r="F214" s="21"/>
      <c r="G214" s="23"/>
      <c r="H214" s="24"/>
      <c r="I214" s="22"/>
      <c r="J214" s="22"/>
      <c r="K214" s="22"/>
      <c r="L214" s="21"/>
      <c r="M214" s="20"/>
      <c r="N214" s="20"/>
      <c r="O214" s="23"/>
      <c r="P214" s="21"/>
      <c r="Q214" s="20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1"/>
      <c r="AU214" s="25" t="str">
        <f t="shared" si="6"/>
        <v>1Q42</v>
      </c>
      <c r="AV214" t="str">
        <f t="shared" si="7"/>
        <v>1Q42</v>
      </c>
      <c r="BA214">
        <f ca="1">IF(COUNTBLANK(C214)=0,COUNTA(INDIRECT(CONCATENATE("Area!",LEFT(ADDRESS(1,MATCH(C214,Area!$1:$1,0),4),1),"2:",LEFT(ADDRESS(1,MATCH(C214,Area!$1:$1,0),4),1),"99"))),0)</f>
        <v>0</v>
      </c>
      <c r="BB214">
        <f ca="1">IF(COUNTBLANK(D214)=0,COUNTA(INDIRECT(CONCATENATE("Setup!",LEFT(ADDRESS(1,MATCH(CONCATENATE(C214,":",D214),Setup!$1:$1,0),4),1),"2:",LEFT(ADDRESS(1,MATCH(CONCATENATE(C214,":",D214),Setup!$1:$1,0),4),1),"99"))),0)</f>
        <v>0</v>
      </c>
      <c r="BC214">
        <f ca="1">IF(COUNTBLANK(E214)=0,COUNTA(INDIRECT(CONCATENATE("Comp!",SUBSTITUTE(ADDRESS(1,MATCH(CONCATENATE(C214,":",D214,":",E214),Comp!$1:$1,0),4),"1",""),"2:",SUBSTITUTE(ADDRESS(1,MATCH(CONCATENATE(C214,":",D214,":",E214),Comp!$1:$1,0),4),"1",""),"99"))),0)</f>
        <v>0</v>
      </c>
    </row>
    <row r="215" spans="1:55">
      <c r="A215" s="20" t="s">
        <v>73</v>
      </c>
      <c r="B215" s="21"/>
      <c r="C215" s="20"/>
      <c r="D215" s="22"/>
      <c r="E215" s="22"/>
      <c r="F215" s="21"/>
      <c r="G215" s="23"/>
      <c r="H215" s="24"/>
      <c r="I215" s="22"/>
      <c r="J215" s="22"/>
      <c r="K215" s="22"/>
      <c r="L215" s="21"/>
      <c r="M215" s="20"/>
      <c r="N215" s="20"/>
      <c r="O215" s="23"/>
      <c r="P215" s="21"/>
      <c r="Q215" s="20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1"/>
      <c r="AU215" s="25" t="str">
        <f t="shared" si="6"/>
        <v>1Q42</v>
      </c>
      <c r="AV215" t="str">
        <f t="shared" si="7"/>
        <v>1Q42</v>
      </c>
      <c r="BA215">
        <f ca="1">IF(COUNTBLANK(C215)=0,COUNTA(INDIRECT(CONCATENATE("Area!",LEFT(ADDRESS(1,MATCH(C215,Area!$1:$1,0),4),1),"2:",LEFT(ADDRESS(1,MATCH(C215,Area!$1:$1,0),4),1),"99"))),0)</f>
        <v>0</v>
      </c>
      <c r="BB215">
        <f ca="1">IF(COUNTBLANK(D215)=0,COUNTA(INDIRECT(CONCATENATE("Setup!",LEFT(ADDRESS(1,MATCH(CONCATENATE(C215,":",D215),Setup!$1:$1,0),4),1),"2:",LEFT(ADDRESS(1,MATCH(CONCATENATE(C215,":",D215),Setup!$1:$1,0),4),1),"99"))),0)</f>
        <v>0</v>
      </c>
      <c r="BC215">
        <f ca="1">IF(COUNTBLANK(E215)=0,COUNTA(INDIRECT(CONCATENATE("Comp!",SUBSTITUTE(ADDRESS(1,MATCH(CONCATENATE(C215,":",D215,":",E215),Comp!$1:$1,0),4),"1",""),"2:",SUBSTITUTE(ADDRESS(1,MATCH(CONCATENATE(C215,":",D215,":",E215),Comp!$1:$1,0),4),"1",""),"99"))),0)</f>
        <v>0</v>
      </c>
    </row>
    <row r="216" spans="1:55">
      <c r="A216" s="20" t="s">
        <v>73</v>
      </c>
      <c r="B216" s="21"/>
      <c r="C216" s="20"/>
      <c r="D216" s="22"/>
      <c r="E216" s="22"/>
      <c r="F216" s="21"/>
      <c r="G216" s="23"/>
      <c r="H216" s="24"/>
      <c r="I216" s="22"/>
      <c r="J216" s="22"/>
      <c r="K216" s="22"/>
      <c r="L216" s="21"/>
      <c r="M216" s="20"/>
      <c r="N216" s="20"/>
      <c r="O216" s="23"/>
      <c r="P216" s="21"/>
      <c r="Q216" s="20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1"/>
      <c r="AU216" s="25" t="str">
        <f t="shared" si="6"/>
        <v>1Q42</v>
      </c>
      <c r="AV216" t="str">
        <f t="shared" si="7"/>
        <v>1Q42</v>
      </c>
      <c r="BA216">
        <f ca="1">IF(COUNTBLANK(C216)=0,COUNTA(INDIRECT(CONCATENATE("Area!",LEFT(ADDRESS(1,MATCH(C216,Area!$1:$1,0),4),1),"2:",LEFT(ADDRESS(1,MATCH(C216,Area!$1:$1,0),4),1),"99"))),0)</f>
        <v>0</v>
      </c>
      <c r="BB216">
        <f ca="1">IF(COUNTBLANK(D216)=0,COUNTA(INDIRECT(CONCATENATE("Setup!",LEFT(ADDRESS(1,MATCH(CONCATENATE(C216,":",D216),Setup!$1:$1,0),4),1),"2:",LEFT(ADDRESS(1,MATCH(CONCATENATE(C216,":",D216),Setup!$1:$1,0),4),1),"99"))),0)</f>
        <v>0</v>
      </c>
      <c r="BC216">
        <f ca="1">IF(COUNTBLANK(E216)=0,COUNTA(INDIRECT(CONCATENATE("Comp!",SUBSTITUTE(ADDRESS(1,MATCH(CONCATENATE(C216,":",D216,":",E216),Comp!$1:$1,0),4),"1",""),"2:",SUBSTITUTE(ADDRESS(1,MATCH(CONCATENATE(C216,":",D216,":",E216),Comp!$1:$1,0),4),"1",""),"99"))),0)</f>
        <v>0</v>
      </c>
    </row>
    <row r="217" spans="1:55">
      <c r="A217" s="20" t="s">
        <v>73</v>
      </c>
      <c r="B217" s="21"/>
      <c r="C217" s="20"/>
      <c r="D217" s="22"/>
      <c r="E217" s="22"/>
      <c r="F217" s="21"/>
      <c r="G217" s="23"/>
      <c r="H217" s="24"/>
      <c r="I217" s="22"/>
      <c r="J217" s="22"/>
      <c r="K217" s="22"/>
      <c r="L217" s="21"/>
      <c r="M217" s="20"/>
      <c r="N217" s="20"/>
      <c r="O217" s="23"/>
      <c r="P217" s="21"/>
      <c r="Q217" s="20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1"/>
      <c r="AU217" s="25" t="str">
        <f t="shared" si="6"/>
        <v>1Q42</v>
      </c>
      <c r="AV217" t="str">
        <f t="shared" si="7"/>
        <v>1Q42</v>
      </c>
      <c r="BA217">
        <f ca="1">IF(COUNTBLANK(C217)=0,COUNTA(INDIRECT(CONCATENATE("Area!",LEFT(ADDRESS(1,MATCH(C217,Area!$1:$1,0),4),1),"2:",LEFT(ADDRESS(1,MATCH(C217,Area!$1:$1,0),4),1),"99"))),0)</f>
        <v>0</v>
      </c>
      <c r="BB217">
        <f ca="1">IF(COUNTBLANK(D217)=0,COUNTA(INDIRECT(CONCATENATE("Setup!",LEFT(ADDRESS(1,MATCH(CONCATENATE(C217,":",D217),Setup!$1:$1,0),4),1),"2:",LEFT(ADDRESS(1,MATCH(CONCATENATE(C217,":",D217),Setup!$1:$1,0),4),1),"99"))),0)</f>
        <v>0</v>
      </c>
      <c r="BC217">
        <f ca="1">IF(COUNTBLANK(E217)=0,COUNTA(INDIRECT(CONCATENATE("Comp!",SUBSTITUTE(ADDRESS(1,MATCH(CONCATENATE(C217,":",D217,":",E217),Comp!$1:$1,0),4),"1",""),"2:",SUBSTITUTE(ADDRESS(1,MATCH(CONCATENATE(C217,":",D217,":",E217),Comp!$1:$1,0),4),"1",""),"99"))),0)</f>
        <v>0</v>
      </c>
    </row>
    <row r="218" spans="1:55">
      <c r="A218" s="20" t="s">
        <v>73</v>
      </c>
      <c r="B218" s="21"/>
      <c r="C218" s="20"/>
      <c r="D218" s="22"/>
      <c r="E218" s="22"/>
      <c r="F218" s="21"/>
      <c r="G218" s="23"/>
      <c r="H218" s="24"/>
      <c r="I218" s="22"/>
      <c r="J218" s="22"/>
      <c r="K218" s="22"/>
      <c r="L218" s="21"/>
      <c r="M218" s="20"/>
      <c r="N218" s="20"/>
      <c r="O218" s="23"/>
      <c r="P218" s="21"/>
      <c r="Q218" s="20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1"/>
      <c r="AU218" s="25" t="str">
        <f t="shared" si="6"/>
        <v>1Q42</v>
      </c>
      <c r="AV218" t="str">
        <f t="shared" si="7"/>
        <v>1Q42</v>
      </c>
      <c r="BA218">
        <f ca="1">IF(COUNTBLANK(C218)=0,COUNTA(INDIRECT(CONCATENATE("Area!",LEFT(ADDRESS(1,MATCH(C218,Area!$1:$1,0),4),1),"2:",LEFT(ADDRESS(1,MATCH(C218,Area!$1:$1,0),4),1),"99"))),0)</f>
        <v>0</v>
      </c>
      <c r="BB218">
        <f ca="1">IF(COUNTBLANK(D218)=0,COUNTA(INDIRECT(CONCATENATE("Setup!",LEFT(ADDRESS(1,MATCH(CONCATENATE(C218,":",D218),Setup!$1:$1,0),4),1),"2:",LEFT(ADDRESS(1,MATCH(CONCATENATE(C218,":",D218),Setup!$1:$1,0),4),1),"99"))),0)</f>
        <v>0</v>
      </c>
      <c r="BC218">
        <f ca="1">IF(COUNTBLANK(E218)=0,COUNTA(INDIRECT(CONCATENATE("Comp!",SUBSTITUTE(ADDRESS(1,MATCH(CONCATENATE(C218,":",D218,":",E218),Comp!$1:$1,0),4),"1",""),"2:",SUBSTITUTE(ADDRESS(1,MATCH(CONCATENATE(C218,":",D218,":",E218),Comp!$1:$1,0),4),"1",""),"99"))),0)</f>
        <v>0</v>
      </c>
    </row>
    <row r="219" spans="1:55">
      <c r="A219" s="20" t="s">
        <v>73</v>
      </c>
      <c r="B219" s="21"/>
      <c r="C219" s="20"/>
      <c r="D219" s="22"/>
      <c r="E219" s="22"/>
      <c r="F219" s="21"/>
      <c r="G219" s="23"/>
      <c r="H219" s="24"/>
      <c r="I219" s="22"/>
      <c r="J219" s="22"/>
      <c r="K219" s="22"/>
      <c r="L219" s="21"/>
      <c r="M219" s="20"/>
      <c r="N219" s="20"/>
      <c r="O219" s="23"/>
      <c r="P219" s="21"/>
      <c r="Q219" s="20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1"/>
      <c r="AU219" s="25" t="str">
        <f t="shared" si="6"/>
        <v>1Q42</v>
      </c>
      <c r="AV219" t="str">
        <f t="shared" si="7"/>
        <v>1Q42</v>
      </c>
      <c r="BA219">
        <f ca="1">IF(COUNTBLANK(C219)=0,COUNTA(INDIRECT(CONCATENATE("Area!",LEFT(ADDRESS(1,MATCH(C219,Area!$1:$1,0),4),1),"2:",LEFT(ADDRESS(1,MATCH(C219,Area!$1:$1,0),4),1),"99"))),0)</f>
        <v>0</v>
      </c>
      <c r="BB219">
        <f ca="1">IF(COUNTBLANK(D219)=0,COUNTA(INDIRECT(CONCATENATE("Setup!",LEFT(ADDRESS(1,MATCH(CONCATENATE(C219,":",D219),Setup!$1:$1,0),4),1),"2:",LEFT(ADDRESS(1,MATCH(CONCATENATE(C219,":",D219),Setup!$1:$1,0),4),1),"99"))),0)</f>
        <v>0</v>
      </c>
      <c r="BC219">
        <f ca="1">IF(COUNTBLANK(E219)=0,COUNTA(INDIRECT(CONCATENATE("Comp!",SUBSTITUTE(ADDRESS(1,MATCH(CONCATENATE(C219,":",D219,":",E219),Comp!$1:$1,0),4),"1",""),"2:",SUBSTITUTE(ADDRESS(1,MATCH(CONCATENATE(C219,":",D219,":",E219),Comp!$1:$1,0),4),"1",""),"99"))),0)</f>
        <v>0</v>
      </c>
    </row>
    <row r="220" spans="1:55">
      <c r="A220" s="20" t="s">
        <v>73</v>
      </c>
      <c r="B220" s="21"/>
      <c r="C220" s="20"/>
      <c r="D220" s="22"/>
      <c r="E220" s="22"/>
      <c r="F220" s="21"/>
      <c r="G220" s="23"/>
      <c r="H220" s="24"/>
      <c r="I220" s="22"/>
      <c r="J220" s="22"/>
      <c r="K220" s="22"/>
      <c r="L220" s="21"/>
      <c r="M220" s="20"/>
      <c r="N220" s="20"/>
      <c r="O220" s="23"/>
      <c r="P220" s="21"/>
      <c r="Q220" s="20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1"/>
      <c r="AU220" s="25" t="str">
        <f t="shared" si="6"/>
        <v>1Q42</v>
      </c>
      <c r="AV220" t="str">
        <f t="shared" si="7"/>
        <v>1Q42</v>
      </c>
      <c r="BA220">
        <f ca="1">IF(COUNTBLANK(C220)=0,COUNTA(INDIRECT(CONCATENATE("Area!",LEFT(ADDRESS(1,MATCH(C220,Area!$1:$1,0),4),1),"2:",LEFT(ADDRESS(1,MATCH(C220,Area!$1:$1,0),4),1),"99"))),0)</f>
        <v>0</v>
      </c>
      <c r="BB220">
        <f ca="1">IF(COUNTBLANK(D220)=0,COUNTA(INDIRECT(CONCATENATE("Setup!",LEFT(ADDRESS(1,MATCH(CONCATENATE(C220,":",D220),Setup!$1:$1,0),4),1),"2:",LEFT(ADDRESS(1,MATCH(CONCATENATE(C220,":",D220),Setup!$1:$1,0),4),1),"99"))),0)</f>
        <v>0</v>
      </c>
      <c r="BC220">
        <f ca="1">IF(COUNTBLANK(E220)=0,COUNTA(INDIRECT(CONCATENATE("Comp!",SUBSTITUTE(ADDRESS(1,MATCH(CONCATENATE(C220,":",D220,":",E220),Comp!$1:$1,0),4),"1",""),"2:",SUBSTITUTE(ADDRESS(1,MATCH(CONCATENATE(C220,":",D220,":",E220),Comp!$1:$1,0),4),"1",""),"99"))),0)</f>
        <v>0</v>
      </c>
    </row>
    <row r="221" spans="1:55">
      <c r="A221" s="20" t="s">
        <v>73</v>
      </c>
      <c r="B221" s="21"/>
      <c r="C221" s="20"/>
      <c r="D221" s="22"/>
      <c r="E221" s="22"/>
      <c r="F221" s="21"/>
      <c r="G221" s="23"/>
      <c r="H221" s="24"/>
      <c r="I221" s="22"/>
      <c r="J221" s="22"/>
      <c r="K221" s="22"/>
      <c r="L221" s="21"/>
      <c r="M221" s="20"/>
      <c r="N221" s="20"/>
      <c r="O221" s="23"/>
      <c r="P221" s="21"/>
      <c r="Q221" s="20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1"/>
      <c r="AU221" s="25" t="str">
        <f t="shared" si="6"/>
        <v>1Q42</v>
      </c>
      <c r="AV221" t="str">
        <f t="shared" si="7"/>
        <v>1Q42</v>
      </c>
      <c r="BA221">
        <f ca="1">IF(COUNTBLANK(C221)=0,COUNTA(INDIRECT(CONCATENATE("Area!",LEFT(ADDRESS(1,MATCH(C221,Area!$1:$1,0),4),1),"2:",LEFT(ADDRESS(1,MATCH(C221,Area!$1:$1,0),4),1),"99"))),0)</f>
        <v>0</v>
      </c>
      <c r="BB221">
        <f ca="1">IF(COUNTBLANK(D221)=0,COUNTA(INDIRECT(CONCATENATE("Setup!",LEFT(ADDRESS(1,MATCH(CONCATENATE(C221,":",D221),Setup!$1:$1,0),4),1),"2:",LEFT(ADDRESS(1,MATCH(CONCATENATE(C221,":",D221),Setup!$1:$1,0),4),1),"99"))),0)</f>
        <v>0</v>
      </c>
      <c r="BC221">
        <f ca="1">IF(COUNTBLANK(E221)=0,COUNTA(INDIRECT(CONCATENATE("Comp!",SUBSTITUTE(ADDRESS(1,MATCH(CONCATENATE(C221,":",D221,":",E221),Comp!$1:$1,0),4),"1",""),"2:",SUBSTITUTE(ADDRESS(1,MATCH(CONCATENATE(C221,":",D221,":",E221),Comp!$1:$1,0),4),"1",""),"99"))),0)</f>
        <v>0</v>
      </c>
    </row>
    <row r="222" spans="1:55">
      <c r="A222" s="20" t="s">
        <v>73</v>
      </c>
      <c r="B222" s="21"/>
      <c r="C222" s="20"/>
      <c r="D222" s="22"/>
      <c r="E222" s="22"/>
      <c r="F222" s="21"/>
      <c r="G222" s="23"/>
      <c r="H222" s="24"/>
      <c r="I222" s="22"/>
      <c r="J222" s="22"/>
      <c r="K222" s="22"/>
      <c r="L222" s="21"/>
      <c r="M222" s="20"/>
      <c r="N222" s="20"/>
      <c r="O222" s="23"/>
      <c r="P222" s="21"/>
      <c r="Q222" s="20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1"/>
      <c r="AU222" s="25" t="str">
        <f t="shared" si="6"/>
        <v>1Q42</v>
      </c>
      <c r="AV222" t="str">
        <f t="shared" si="7"/>
        <v>1Q42</v>
      </c>
      <c r="BA222">
        <f ca="1">IF(COUNTBLANK(C222)=0,COUNTA(INDIRECT(CONCATENATE("Area!",LEFT(ADDRESS(1,MATCH(C222,Area!$1:$1,0),4),1),"2:",LEFT(ADDRESS(1,MATCH(C222,Area!$1:$1,0),4),1),"99"))),0)</f>
        <v>0</v>
      </c>
      <c r="BB222">
        <f ca="1">IF(COUNTBLANK(D222)=0,COUNTA(INDIRECT(CONCATENATE("Setup!",LEFT(ADDRESS(1,MATCH(CONCATENATE(C222,":",D222),Setup!$1:$1,0),4),1),"2:",LEFT(ADDRESS(1,MATCH(CONCATENATE(C222,":",D222),Setup!$1:$1,0),4),1),"99"))),0)</f>
        <v>0</v>
      </c>
      <c r="BC222">
        <f ca="1">IF(COUNTBLANK(E222)=0,COUNTA(INDIRECT(CONCATENATE("Comp!",SUBSTITUTE(ADDRESS(1,MATCH(CONCATENATE(C222,":",D222,":",E222),Comp!$1:$1,0),4),"1",""),"2:",SUBSTITUTE(ADDRESS(1,MATCH(CONCATENATE(C222,":",D222,":",E222),Comp!$1:$1,0),4),"1",""),"99"))),0)</f>
        <v>0</v>
      </c>
    </row>
    <row r="223" spans="1:55">
      <c r="A223" s="20" t="s">
        <v>73</v>
      </c>
      <c r="B223" s="21"/>
      <c r="C223" s="20"/>
      <c r="D223" s="22"/>
      <c r="E223" s="22"/>
      <c r="F223" s="21"/>
      <c r="G223" s="23"/>
      <c r="H223" s="24"/>
      <c r="I223" s="22"/>
      <c r="J223" s="22"/>
      <c r="K223" s="22"/>
      <c r="L223" s="21"/>
      <c r="M223" s="20"/>
      <c r="N223" s="20"/>
      <c r="O223" s="23"/>
      <c r="P223" s="21"/>
      <c r="Q223" s="20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1"/>
      <c r="AU223" s="25" t="str">
        <f t="shared" si="6"/>
        <v>1Q42</v>
      </c>
      <c r="AV223" t="str">
        <f t="shared" si="7"/>
        <v>1Q42</v>
      </c>
      <c r="BA223">
        <f ca="1">IF(COUNTBLANK(C223)=0,COUNTA(INDIRECT(CONCATENATE("Area!",LEFT(ADDRESS(1,MATCH(C223,Area!$1:$1,0),4),1),"2:",LEFT(ADDRESS(1,MATCH(C223,Area!$1:$1,0),4),1),"99"))),0)</f>
        <v>0</v>
      </c>
      <c r="BB223">
        <f ca="1">IF(COUNTBLANK(D223)=0,COUNTA(INDIRECT(CONCATENATE("Setup!",LEFT(ADDRESS(1,MATCH(CONCATENATE(C223,":",D223),Setup!$1:$1,0),4),1),"2:",LEFT(ADDRESS(1,MATCH(CONCATENATE(C223,":",D223),Setup!$1:$1,0),4),1),"99"))),0)</f>
        <v>0</v>
      </c>
      <c r="BC223">
        <f ca="1">IF(COUNTBLANK(E223)=0,COUNTA(INDIRECT(CONCATENATE("Comp!",SUBSTITUTE(ADDRESS(1,MATCH(CONCATENATE(C223,":",D223,":",E223),Comp!$1:$1,0),4),"1",""),"2:",SUBSTITUTE(ADDRESS(1,MATCH(CONCATENATE(C223,":",D223,":",E223),Comp!$1:$1,0),4),"1",""),"99"))),0)</f>
        <v>0</v>
      </c>
    </row>
    <row r="224" spans="1:55">
      <c r="A224" s="20" t="s">
        <v>73</v>
      </c>
      <c r="B224" s="21"/>
      <c r="C224" s="20"/>
      <c r="D224" s="22"/>
      <c r="E224" s="22"/>
      <c r="F224" s="21"/>
      <c r="G224" s="23"/>
      <c r="H224" s="24"/>
      <c r="I224" s="22"/>
      <c r="J224" s="22"/>
      <c r="K224" s="22"/>
      <c r="L224" s="21"/>
      <c r="M224" s="20"/>
      <c r="N224" s="20"/>
      <c r="O224" s="23"/>
      <c r="P224" s="21"/>
      <c r="Q224" s="20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1"/>
      <c r="AU224" s="25" t="str">
        <f t="shared" si="6"/>
        <v>1Q42</v>
      </c>
      <c r="AV224" t="str">
        <f t="shared" si="7"/>
        <v>1Q42</v>
      </c>
      <c r="BA224">
        <f ca="1">IF(COUNTBLANK(C224)=0,COUNTA(INDIRECT(CONCATENATE("Area!",LEFT(ADDRESS(1,MATCH(C224,Area!$1:$1,0),4),1),"2:",LEFT(ADDRESS(1,MATCH(C224,Area!$1:$1,0),4),1),"99"))),0)</f>
        <v>0</v>
      </c>
      <c r="BB224">
        <f ca="1">IF(COUNTBLANK(D224)=0,COUNTA(INDIRECT(CONCATENATE("Setup!",LEFT(ADDRESS(1,MATCH(CONCATENATE(C224,":",D224),Setup!$1:$1,0),4),1),"2:",LEFT(ADDRESS(1,MATCH(CONCATENATE(C224,":",D224),Setup!$1:$1,0),4),1),"99"))),0)</f>
        <v>0</v>
      </c>
      <c r="BC224">
        <f ca="1">IF(COUNTBLANK(E224)=0,COUNTA(INDIRECT(CONCATENATE("Comp!",SUBSTITUTE(ADDRESS(1,MATCH(CONCATENATE(C224,":",D224,":",E224),Comp!$1:$1,0),4),"1",""),"2:",SUBSTITUTE(ADDRESS(1,MATCH(CONCATENATE(C224,":",D224,":",E224),Comp!$1:$1,0),4),"1",""),"99"))),0)</f>
        <v>0</v>
      </c>
    </row>
    <row r="225" spans="1:55">
      <c r="A225" s="20" t="s">
        <v>73</v>
      </c>
      <c r="B225" s="21"/>
      <c r="C225" s="20"/>
      <c r="D225" s="22"/>
      <c r="E225" s="22"/>
      <c r="F225" s="21"/>
      <c r="G225" s="23"/>
      <c r="H225" s="24"/>
      <c r="I225" s="22"/>
      <c r="J225" s="22"/>
      <c r="K225" s="22"/>
      <c r="L225" s="21"/>
      <c r="M225" s="20"/>
      <c r="N225" s="20"/>
      <c r="O225" s="23"/>
      <c r="P225" s="21"/>
      <c r="Q225" s="20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1"/>
      <c r="AU225" s="25" t="str">
        <f t="shared" si="6"/>
        <v>1Q42</v>
      </c>
      <c r="AV225" t="str">
        <f t="shared" si="7"/>
        <v>1Q42</v>
      </c>
      <c r="BA225">
        <f ca="1">IF(COUNTBLANK(C225)=0,COUNTA(INDIRECT(CONCATENATE("Area!",LEFT(ADDRESS(1,MATCH(C225,Area!$1:$1,0),4),1),"2:",LEFT(ADDRESS(1,MATCH(C225,Area!$1:$1,0),4),1),"99"))),0)</f>
        <v>0</v>
      </c>
      <c r="BB225">
        <f ca="1">IF(COUNTBLANK(D225)=0,COUNTA(INDIRECT(CONCATENATE("Setup!",LEFT(ADDRESS(1,MATCH(CONCATENATE(C225,":",D225),Setup!$1:$1,0),4),1),"2:",LEFT(ADDRESS(1,MATCH(CONCATENATE(C225,":",D225),Setup!$1:$1,0),4),1),"99"))),0)</f>
        <v>0</v>
      </c>
      <c r="BC225">
        <f ca="1">IF(COUNTBLANK(E225)=0,COUNTA(INDIRECT(CONCATENATE("Comp!",SUBSTITUTE(ADDRESS(1,MATCH(CONCATENATE(C225,":",D225,":",E225),Comp!$1:$1,0),4),"1",""),"2:",SUBSTITUTE(ADDRESS(1,MATCH(CONCATENATE(C225,":",D225,":",E225),Comp!$1:$1,0),4),"1",""),"99"))),0)</f>
        <v>0</v>
      </c>
    </row>
    <row r="226" spans="1:55">
      <c r="A226" s="20" t="s">
        <v>73</v>
      </c>
      <c r="B226" s="21"/>
      <c r="C226" s="20"/>
      <c r="D226" s="22"/>
      <c r="E226" s="22"/>
      <c r="F226" s="21"/>
      <c r="G226" s="23"/>
      <c r="H226" s="24"/>
      <c r="I226" s="22"/>
      <c r="J226" s="22"/>
      <c r="K226" s="22"/>
      <c r="L226" s="21"/>
      <c r="M226" s="20"/>
      <c r="N226" s="20"/>
      <c r="O226" s="23"/>
      <c r="P226" s="21"/>
      <c r="Q226" s="20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1"/>
      <c r="AU226" s="25" t="str">
        <f t="shared" si="6"/>
        <v>1Q42</v>
      </c>
      <c r="AV226" t="str">
        <f t="shared" si="7"/>
        <v>1Q42</v>
      </c>
      <c r="BA226">
        <f ca="1">IF(COUNTBLANK(C226)=0,COUNTA(INDIRECT(CONCATENATE("Area!",LEFT(ADDRESS(1,MATCH(C226,Area!$1:$1,0),4),1),"2:",LEFT(ADDRESS(1,MATCH(C226,Area!$1:$1,0),4),1),"99"))),0)</f>
        <v>0</v>
      </c>
      <c r="BB226">
        <f ca="1">IF(COUNTBLANK(D226)=0,COUNTA(INDIRECT(CONCATENATE("Setup!",LEFT(ADDRESS(1,MATCH(CONCATENATE(C226,":",D226),Setup!$1:$1,0),4),1),"2:",LEFT(ADDRESS(1,MATCH(CONCATENATE(C226,":",D226),Setup!$1:$1,0),4),1),"99"))),0)</f>
        <v>0</v>
      </c>
      <c r="BC226">
        <f ca="1">IF(COUNTBLANK(E226)=0,COUNTA(INDIRECT(CONCATENATE("Comp!",SUBSTITUTE(ADDRESS(1,MATCH(CONCATENATE(C226,":",D226,":",E226),Comp!$1:$1,0),4),"1",""),"2:",SUBSTITUTE(ADDRESS(1,MATCH(CONCATENATE(C226,":",D226,":",E226),Comp!$1:$1,0),4),"1",""),"99"))),0)</f>
        <v>0</v>
      </c>
    </row>
    <row r="227" spans="1:55">
      <c r="A227" s="20" t="s">
        <v>73</v>
      </c>
      <c r="B227" s="21"/>
      <c r="C227" s="20"/>
      <c r="D227" s="22"/>
      <c r="E227" s="22"/>
      <c r="F227" s="21"/>
      <c r="G227" s="23"/>
      <c r="H227" s="24"/>
      <c r="I227" s="22"/>
      <c r="J227" s="22"/>
      <c r="K227" s="22"/>
      <c r="L227" s="21"/>
      <c r="M227" s="20"/>
      <c r="N227" s="20"/>
      <c r="O227" s="23"/>
      <c r="P227" s="21"/>
      <c r="Q227" s="20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1"/>
      <c r="AU227" s="25" t="str">
        <f t="shared" si="6"/>
        <v>1Q42</v>
      </c>
      <c r="AV227" t="str">
        <f t="shared" si="7"/>
        <v>1Q42</v>
      </c>
      <c r="BA227">
        <f ca="1">IF(COUNTBLANK(C227)=0,COUNTA(INDIRECT(CONCATENATE("Area!",LEFT(ADDRESS(1,MATCH(C227,Area!$1:$1,0),4),1),"2:",LEFT(ADDRESS(1,MATCH(C227,Area!$1:$1,0),4),1),"99"))),0)</f>
        <v>0</v>
      </c>
      <c r="BB227">
        <f ca="1">IF(COUNTBLANK(D227)=0,COUNTA(INDIRECT(CONCATENATE("Setup!",LEFT(ADDRESS(1,MATCH(CONCATENATE(C227,":",D227),Setup!$1:$1,0),4),1),"2:",LEFT(ADDRESS(1,MATCH(CONCATENATE(C227,":",D227),Setup!$1:$1,0),4),1),"99"))),0)</f>
        <v>0</v>
      </c>
      <c r="BC227">
        <f ca="1">IF(COUNTBLANK(E227)=0,COUNTA(INDIRECT(CONCATENATE("Comp!",SUBSTITUTE(ADDRESS(1,MATCH(CONCATENATE(C227,":",D227,":",E227),Comp!$1:$1,0),4),"1",""),"2:",SUBSTITUTE(ADDRESS(1,MATCH(CONCATENATE(C227,":",D227,":",E227),Comp!$1:$1,0),4),"1",""),"99"))),0)</f>
        <v>0</v>
      </c>
    </row>
    <row r="228" spans="1:55">
      <c r="A228" s="20" t="s">
        <v>73</v>
      </c>
      <c r="B228" s="21"/>
      <c r="C228" s="20"/>
      <c r="D228" s="22"/>
      <c r="E228" s="22"/>
      <c r="F228" s="21"/>
      <c r="G228" s="23"/>
      <c r="H228" s="24"/>
      <c r="I228" s="22"/>
      <c r="J228" s="22"/>
      <c r="K228" s="22"/>
      <c r="L228" s="21"/>
      <c r="M228" s="20"/>
      <c r="N228" s="20"/>
      <c r="O228" s="23"/>
      <c r="P228" s="21"/>
      <c r="Q228" s="20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1"/>
      <c r="AU228" s="25" t="str">
        <f t="shared" si="6"/>
        <v>1Q42</v>
      </c>
      <c r="AV228" t="str">
        <f t="shared" si="7"/>
        <v>1Q42</v>
      </c>
      <c r="BA228">
        <f ca="1">IF(COUNTBLANK(C228)=0,COUNTA(INDIRECT(CONCATENATE("Area!",LEFT(ADDRESS(1,MATCH(C228,Area!$1:$1,0),4),1),"2:",LEFT(ADDRESS(1,MATCH(C228,Area!$1:$1,0),4),1),"99"))),0)</f>
        <v>0</v>
      </c>
      <c r="BB228">
        <f ca="1">IF(COUNTBLANK(D228)=0,COUNTA(INDIRECT(CONCATENATE("Setup!",LEFT(ADDRESS(1,MATCH(CONCATENATE(C228,":",D228),Setup!$1:$1,0),4),1),"2:",LEFT(ADDRESS(1,MATCH(CONCATENATE(C228,":",D228),Setup!$1:$1,0),4),1),"99"))),0)</f>
        <v>0</v>
      </c>
      <c r="BC228">
        <f ca="1">IF(COUNTBLANK(E228)=0,COUNTA(INDIRECT(CONCATENATE("Comp!",SUBSTITUTE(ADDRESS(1,MATCH(CONCATENATE(C228,":",D228,":",E228),Comp!$1:$1,0),4),"1",""),"2:",SUBSTITUTE(ADDRESS(1,MATCH(CONCATENATE(C228,":",D228,":",E228),Comp!$1:$1,0),4),"1",""),"99"))),0)</f>
        <v>0</v>
      </c>
    </row>
    <row r="229" spans="1:55">
      <c r="A229" s="20" t="s">
        <v>73</v>
      </c>
      <c r="B229" s="21"/>
      <c r="C229" s="20"/>
      <c r="D229" s="22"/>
      <c r="E229" s="22"/>
      <c r="F229" s="21"/>
      <c r="G229" s="23"/>
      <c r="H229" s="24"/>
      <c r="I229" s="22"/>
      <c r="J229" s="22"/>
      <c r="K229" s="22"/>
      <c r="L229" s="21"/>
      <c r="M229" s="20"/>
      <c r="N229" s="20"/>
      <c r="O229" s="23"/>
      <c r="P229" s="21"/>
      <c r="Q229" s="20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1"/>
      <c r="AU229" s="25" t="str">
        <f t="shared" si="6"/>
        <v>1Q42</v>
      </c>
      <c r="AV229" t="str">
        <f t="shared" si="7"/>
        <v>1Q42</v>
      </c>
      <c r="BA229">
        <f ca="1">IF(COUNTBLANK(C229)=0,COUNTA(INDIRECT(CONCATENATE("Area!",LEFT(ADDRESS(1,MATCH(C229,Area!$1:$1,0),4),1),"2:",LEFT(ADDRESS(1,MATCH(C229,Area!$1:$1,0),4),1),"99"))),0)</f>
        <v>0</v>
      </c>
      <c r="BB229">
        <f ca="1">IF(COUNTBLANK(D229)=0,COUNTA(INDIRECT(CONCATENATE("Setup!",LEFT(ADDRESS(1,MATCH(CONCATENATE(C229,":",D229),Setup!$1:$1,0),4),1),"2:",LEFT(ADDRESS(1,MATCH(CONCATENATE(C229,":",D229),Setup!$1:$1,0),4),1),"99"))),0)</f>
        <v>0</v>
      </c>
      <c r="BC229">
        <f ca="1">IF(COUNTBLANK(E229)=0,COUNTA(INDIRECT(CONCATENATE("Comp!",SUBSTITUTE(ADDRESS(1,MATCH(CONCATENATE(C229,":",D229,":",E229),Comp!$1:$1,0),4),"1",""),"2:",SUBSTITUTE(ADDRESS(1,MATCH(CONCATENATE(C229,":",D229,":",E229),Comp!$1:$1,0),4),"1",""),"99"))),0)</f>
        <v>0</v>
      </c>
    </row>
    <row r="230" spans="1:55">
      <c r="A230" s="20" t="s">
        <v>73</v>
      </c>
      <c r="B230" s="21"/>
      <c r="C230" s="20"/>
      <c r="D230" s="22"/>
      <c r="E230" s="22"/>
      <c r="F230" s="21"/>
      <c r="G230" s="23"/>
      <c r="H230" s="24"/>
      <c r="I230" s="22"/>
      <c r="J230" s="22"/>
      <c r="K230" s="22"/>
      <c r="L230" s="21"/>
      <c r="M230" s="20"/>
      <c r="N230" s="20"/>
      <c r="O230" s="23"/>
      <c r="P230" s="21"/>
      <c r="Q230" s="20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1"/>
      <c r="AU230" s="25" t="str">
        <f t="shared" si="6"/>
        <v>1Q42</v>
      </c>
      <c r="AV230" t="str">
        <f t="shared" si="7"/>
        <v>1Q42</v>
      </c>
      <c r="BA230">
        <f ca="1">IF(COUNTBLANK(C230)=0,COUNTA(INDIRECT(CONCATENATE("Area!",LEFT(ADDRESS(1,MATCH(C230,Area!$1:$1,0),4),1),"2:",LEFT(ADDRESS(1,MATCH(C230,Area!$1:$1,0),4),1),"99"))),0)</f>
        <v>0</v>
      </c>
      <c r="BB230">
        <f ca="1">IF(COUNTBLANK(D230)=0,COUNTA(INDIRECT(CONCATENATE("Setup!",LEFT(ADDRESS(1,MATCH(CONCATENATE(C230,":",D230),Setup!$1:$1,0),4),1),"2:",LEFT(ADDRESS(1,MATCH(CONCATENATE(C230,":",D230),Setup!$1:$1,0),4),1),"99"))),0)</f>
        <v>0</v>
      </c>
      <c r="BC230">
        <f ca="1">IF(COUNTBLANK(E230)=0,COUNTA(INDIRECT(CONCATENATE("Comp!",SUBSTITUTE(ADDRESS(1,MATCH(CONCATENATE(C230,":",D230,":",E230),Comp!$1:$1,0),4),"1",""),"2:",SUBSTITUTE(ADDRESS(1,MATCH(CONCATENATE(C230,":",D230,":",E230),Comp!$1:$1,0),4),"1",""),"99"))),0)</f>
        <v>0</v>
      </c>
    </row>
    <row r="231" spans="1:55">
      <c r="A231" s="20" t="s">
        <v>73</v>
      </c>
      <c r="B231" s="21"/>
      <c r="C231" s="20"/>
      <c r="D231" s="22"/>
      <c r="E231" s="22"/>
      <c r="F231" s="21"/>
      <c r="G231" s="23"/>
      <c r="H231" s="24"/>
      <c r="I231" s="22"/>
      <c r="J231" s="22"/>
      <c r="K231" s="22"/>
      <c r="L231" s="21"/>
      <c r="M231" s="20"/>
      <c r="N231" s="20"/>
      <c r="O231" s="23"/>
      <c r="P231" s="21"/>
      <c r="Q231" s="20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1"/>
      <c r="AU231" s="25" t="str">
        <f t="shared" si="6"/>
        <v>1Q42</v>
      </c>
      <c r="AV231" t="str">
        <f t="shared" si="7"/>
        <v>1Q42</v>
      </c>
      <c r="BA231">
        <f ca="1">IF(COUNTBLANK(C231)=0,COUNTA(INDIRECT(CONCATENATE("Area!",LEFT(ADDRESS(1,MATCH(C231,Area!$1:$1,0),4),1),"2:",LEFT(ADDRESS(1,MATCH(C231,Area!$1:$1,0),4),1),"99"))),0)</f>
        <v>0</v>
      </c>
      <c r="BB231">
        <f ca="1">IF(COUNTBLANK(D231)=0,COUNTA(INDIRECT(CONCATENATE("Setup!",LEFT(ADDRESS(1,MATCH(CONCATENATE(C231,":",D231),Setup!$1:$1,0),4),1),"2:",LEFT(ADDRESS(1,MATCH(CONCATENATE(C231,":",D231),Setup!$1:$1,0),4),1),"99"))),0)</f>
        <v>0</v>
      </c>
      <c r="BC231">
        <f ca="1">IF(COUNTBLANK(E231)=0,COUNTA(INDIRECT(CONCATENATE("Comp!",SUBSTITUTE(ADDRESS(1,MATCH(CONCATENATE(C231,":",D231,":",E231),Comp!$1:$1,0),4),"1",""),"2:",SUBSTITUTE(ADDRESS(1,MATCH(CONCATENATE(C231,":",D231,":",E231),Comp!$1:$1,0),4),"1",""),"99"))),0)</f>
        <v>0</v>
      </c>
    </row>
    <row r="232" spans="1:55">
      <c r="A232" s="20" t="s">
        <v>73</v>
      </c>
      <c r="B232" s="21"/>
      <c r="C232" s="20"/>
      <c r="D232" s="22"/>
      <c r="E232" s="22"/>
      <c r="F232" s="21"/>
      <c r="G232" s="23"/>
      <c r="H232" s="24"/>
      <c r="I232" s="22"/>
      <c r="J232" s="22"/>
      <c r="K232" s="22"/>
      <c r="L232" s="21"/>
      <c r="M232" s="20"/>
      <c r="N232" s="20"/>
      <c r="O232" s="23"/>
      <c r="P232" s="21"/>
      <c r="Q232" s="20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1"/>
      <c r="AU232" s="25" t="str">
        <f t="shared" si="6"/>
        <v>1Q42</v>
      </c>
      <c r="AV232" t="str">
        <f t="shared" si="7"/>
        <v>1Q42</v>
      </c>
      <c r="BA232">
        <f ca="1">IF(COUNTBLANK(C232)=0,COUNTA(INDIRECT(CONCATENATE("Area!",LEFT(ADDRESS(1,MATCH(C232,Area!$1:$1,0),4),1),"2:",LEFT(ADDRESS(1,MATCH(C232,Area!$1:$1,0),4),1),"99"))),0)</f>
        <v>0</v>
      </c>
      <c r="BB232">
        <f ca="1">IF(COUNTBLANK(D232)=0,COUNTA(INDIRECT(CONCATENATE("Setup!",LEFT(ADDRESS(1,MATCH(CONCATENATE(C232,":",D232),Setup!$1:$1,0),4),1),"2:",LEFT(ADDRESS(1,MATCH(CONCATENATE(C232,":",D232),Setup!$1:$1,0),4),1),"99"))),0)</f>
        <v>0</v>
      </c>
      <c r="BC232">
        <f ca="1">IF(COUNTBLANK(E232)=0,COUNTA(INDIRECT(CONCATENATE("Comp!",SUBSTITUTE(ADDRESS(1,MATCH(CONCATENATE(C232,":",D232,":",E232),Comp!$1:$1,0),4),"1",""),"2:",SUBSTITUTE(ADDRESS(1,MATCH(CONCATENATE(C232,":",D232,":",E232),Comp!$1:$1,0),4),"1",""),"99"))),0)</f>
        <v>0</v>
      </c>
    </row>
    <row r="233" spans="1:55">
      <c r="A233" s="20" t="s">
        <v>73</v>
      </c>
      <c r="B233" s="21"/>
      <c r="C233" s="20"/>
      <c r="D233" s="22"/>
      <c r="E233" s="22"/>
      <c r="F233" s="21"/>
      <c r="G233" s="23"/>
      <c r="H233" s="24"/>
      <c r="I233" s="22"/>
      <c r="J233" s="22"/>
      <c r="K233" s="22"/>
      <c r="L233" s="21"/>
      <c r="M233" s="20"/>
      <c r="N233" s="20"/>
      <c r="O233" s="23"/>
      <c r="P233" s="21"/>
      <c r="Q233" s="20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1"/>
      <c r="AU233" s="25" t="str">
        <f t="shared" si="6"/>
        <v>1Q42</v>
      </c>
      <c r="AV233" t="str">
        <f t="shared" si="7"/>
        <v>1Q42</v>
      </c>
      <c r="BA233">
        <f ca="1">IF(COUNTBLANK(C233)=0,COUNTA(INDIRECT(CONCATENATE("Area!",LEFT(ADDRESS(1,MATCH(C233,Area!$1:$1,0),4),1),"2:",LEFT(ADDRESS(1,MATCH(C233,Area!$1:$1,0),4),1),"99"))),0)</f>
        <v>0</v>
      </c>
      <c r="BB233">
        <f ca="1">IF(COUNTBLANK(D233)=0,COUNTA(INDIRECT(CONCATENATE("Setup!",LEFT(ADDRESS(1,MATCH(CONCATENATE(C233,":",D233),Setup!$1:$1,0),4),1),"2:",LEFT(ADDRESS(1,MATCH(CONCATENATE(C233,":",D233),Setup!$1:$1,0),4),1),"99"))),0)</f>
        <v>0</v>
      </c>
      <c r="BC233">
        <f ca="1">IF(COUNTBLANK(E233)=0,COUNTA(INDIRECT(CONCATENATE("Comp!",SUBSTITUTE(ADDRESS(1,MATCH(CONCATENATE(C233,":",D233,":",E233),Comp!$1:$1,0),4),"1",""),"2:",SUBSTITUTE(ADDRESS(1,MATCH(CONCATENATE(C233,":",D233,":",E233),Comp!$1:$1,0),4),"1",""),"99"))),0)</f>
        <v>0</v>
      </c>
    </row>
    <row r="234" spans="1:55">
      <c r="A234" s="20" t="s">
        <v>73</v>
      </c>
      <c r="B234" s="21"/>
      <c r="C234" s="20"/>
      <c r="D234" s="22"/>
      <c r="E234" s="22"/>
      <c r="F234" s="21"/>
      <c r="G234" s="23"/>
      <c r="H234" s="24"/>
      <c r="I234" s="22"/>
      <c r="J234" s="22"/>
      <c r="K234" s="22"/>
      <c r="L234" s="21"/>
      <c r="M234" s="20"/>
      <c r="N234" s="20"/>
      <c r="O234" s="23"/>
      <c r="P234" s="21"/>
      <c r="Q234" s="20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1"/>
      <c r="AU234" s="25" t="str">
        <f t="shared" si="6"/>
        <v>1Q42</v>
      </c>
      <c r="AV234" t="str">
        <f t="shared" si="7"/>
        <v>1Q42</v>
      </c>
      <c r="BA234">
        <f ca="1">IF(COUNTBLANK(C234)=0,COUNTA(INDIRECT(CONCATENATE("Area!",LEFT(ADDRESS(1,MATCH(C234,Area!$1:$1,0),4),1),"2:",LEFT(ADDRESS(1,MATCH(C234,Area!$1:$1,0),4),1),"99"))),0)</f>
        <v>0</v>
      </c>
      <c r="BB234">
        <f ca="1">IF(COUNTBLANK(D234)=0,COUNTA(INDIRECT(CONCATENATE("Setup!",LEFT(ADDRESS(1,MATCH(CONCATENATE(C234,":",D234),Setup!$1:$1,0),4),1),"2:",LEFT(ADDRESS(1,MATCH(CONCATENATE(C234,":",D234),Setup!$1:$1,0),4),1),"99"))),0)</f>
        <v>0</v>
      </c>
      <c r="BC234">
        <f ca="1">IF(COUNTBLANK(E234)=0,COUNTA(INDIRECT(CONCATENATE("Comp!",SUBSTITUTE(ADDRESS(1,MATCH(CONCATENATE(C234,":",D234,":",E234),Comp!$1:$1,0),4),"1",""),"2:",SUBSTITUTE(ADDRESS(1,MATCH(CONCATENATE(C234,":",D234,":",E234),Comp!$1:$1,0),4),"1",""),"99"))),0)</f>
        <v>0</v>
      </c>
    </row>
    <row r="235" spans="1:55">
      <c r="A235" s="20" t="s">
        <v>73</v>
      </c>
      <c r="B235" s="21"/>
      <c r="C235" s="20"/>
      <c r="D235" s="22"/>
      <c r="E235" s="22"/>
      <c r="F235" s="21"/>
      <c r="G235" s="23"/>
      <c r="H235" s="24"/>
      <c r="I235" s="22"/>
      <c r="J235" s="22"/>
      <c r="K235" s="22"/>
      <c r="L235" s="21"/>
      <c r="M235" s="20"/>
      <c r="N235" s="20"/>
      <c r="O235" s="23"/>
      <c r="P235" s="21"/>
      <c r="Q235" s="20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1"/>
      <c r="AU235" s="25" t="str">
        <f t="shared" si="6"/>
        <v>1Q42</v>
      </c>
      <c r="AV235" t="str">
        <f t="shared" si="7"/>
        <v>1Q42</v>
      </c>
      <c r="BA235">
        <f ca="1">IF(COUNTBLANK(C235)=0,COUNTA(INDIRECT(CONCATENATE("Area!",LEFT(ADDRESS(1,MATCH(C235,Area!$1:$1,0),4),1),"2:",LEFT(ADDRESS(1,MATCH(C235,Area!$1:$1,0),4),1),"99"))),0)</f>
        <v>0</v>
      </c>
      <c r="BB235">
        <f ca="1">IF(COUNTBLANK(D235)=0,COUNTA(INDIRECT(CONCATENATE("Setup!",LEFT(ADDRESS(1,MATCH(CONCATENATE(C235,":",D235),Setup!$1:$1,0),4),1),"2:",LEFT(ADDRESS(1,MATCH(CONCATENATE(C235,":",D235),Setup!$1:$1,0),4),1),"99"))),0)</f>
        <v>0</v>
      </c>
      <c r="BC235">
        <f ca="1">IF(COUNTBLANK(E235)=0,COUNTA(INDIRECT(CONCATENATE("Comp!",SUBSTITUTE(ADDRESS(1,MATCH(CONCATENATE(C235,":",D235,":",E235),Comp!$1:$1,0),4),"1",""),"2:",SUBSTITUTE(ADDRESS(1,MATCH(CONCATENATE(C235,":",D235,":",E235),Comp!$1:$1,0),4),"1",""),"99"))),0)</f>
        <v>0</v>
      </c>
    </row>
    <row r="236" spans="1:55">
      <c r="A236" s="20" t="s">
        <v>73</v>
      </c>
      <c r="B236" s="21"/>
      <c r="C236" s="20"/>
      <c r="D236" s="22"/>
      <c r="E236" s="22"/>
      <c r="F236" s="21"/>
      <c r="G236" s="23"/>
      <c r="H236" s="24"/>
      <c r="I236" s="22"/>
      <c r="J236" s="22"/>
      <c r="K236" s="22"/>
      <c r="L236" s="21"/>
      <c r="M236" s="20"/>
      <c r="N236" s="20"/>
      <c r="O236" s="23"/>
      <c r="P236" s="21"/>
      <c r="Q236" s="20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1"/>
      <c r="AU236" s="25" t="str">
        <f t="shared" si="6"/>
        <v>1Q42</v>
      </c>
      <c r="AV236" t="str">
        <f t="shared" si="7"/>
        <v>1Q42</v>
      </c>
      <c r="BA236">
        <f ca="1">IF(COUNTBLANK(C236)=0,COUNTA(INDIRECT(CONCATENATE("Area!",LEFT(ADDRESS(1,MATCH(C236,Area!$1:$1,0),4),1),"2:",LEFT(ADDRESS(1,MATCH(C236,Area!$1:$1,0),4),1),"99"))),0)</f>
        <v>0</v>
      </c>
      <c r="BB236">
        <f ca="1">IF(COUNTBLANK(D236)=0,COUNTA(INDIRECT(CONCATENATE("Setup!",LEFT(ADDRESS(1,MATCH(CONCATENATE(C236,":",D236),Setup!$1:$1,0),4),1),"2:",LEFT(ADDRESS(1,MATCH(CONCATENATE(C236,":",D236),Setup!$1:$1,0),4),1),"99"))),0)</f>
        <v>0</v>
      </c>
      <c r="BC236">
        <f ca="1">IF(COUNTBLANK(E236)=0,COUNTA(INDIRECT(CONCATENATE("Comp!",SUBSTITUTE(ADDRESS(1,MATCH(CONCATENATE(C236,":",D236,":",E236),Comp!$1:$1,0),4),"1",""),"2:",SUBSTITUTE(ADDRESS(1,MATCH(CONCATENATE(C236,":",D236,":",E236),Comp!$1:$1,0),4),"1",""),"99"))),0)</f>
        <v>0</v>
      </c>
    </row>
    <row r="237" spans="1:55">
      <c r="A237" s="20" t="s">
        <v>73</v>
      </c>
      <c r="B237" s="21"/>
      <c r="C237" s="20"/>
      <c r="D237" s="22"/>
      <c r="E237" s="22"/>
      <c r="F237" s="21"/>
      <c r="G237" s="23"/>
      <c r="H237" s="24"/>
      <c r="I237" s="22"/>
      <c r="J237" s="22"/>
      <c r="K237" s="22"/>
      <c r="L237" s="21"/>
      <c r="M237" s="20"/>
      <c r="N237" s="20"/>
      <c r="O237" s="23"/>
      <c r="P237" s="21"/>
      <c r="Q237" s="20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1"/>
      <c r="AU237" s="25" t="str">
        <f t="shared" si="6"/>
        <v>1Q42</v>
      </c>
      <c r="AV237" t="str">
        <f t="shared" si="7"/>
        <v>1Q42</v>
      </c>
      <c r="BA237">
        <f ca="1">IF(COUNTBLANK(C237)=0,COUNTA(INDIRECT(CONCATENATE("Area!",LEFT(ADDRESS(1,MATCH(C237,Area!$1:$1,0),4),1),"2:",LEFT(ADDRESS(1,MATCH(C237,Area!$1:$1,0),4),1),"99"))),0)</f>
        <v>0</v>
      </c>
      <c r="BB237">
        <f ca="1">IF(COUNTBLANK(D237)=0,COUNTA(INDIRECT(CONCATENATE("Setup!",LEFT(ADDRESS(1,MATCH(CONCATENATE(C237,":",D237),Setup!$1:$1,0),4),1),"2:",LEFT(ADDRESS(1,MATCH(CONCATENATE(C237,":",D237),Setup!$1:$1,0),4),1),"99"))),0)</f>
        <v>0</v>
      </c>
      <c r="BC237">
        <f ca="1">IF(COUNTBLANK(E237)=0,COUNTA(INDIRECT(CONCATENATE("Comp!",SUBSTITUTE(ADDRESS(1,MATCH(CONCATENATE(C237,":",D237,":",E237),Comp!$1:$1,0),4),"1",""),"2:",SUBSTITUTE(ADDRESS(1,MATCH(CONCATENATE(C237,":",D237,":",E237),Comp!$1:$1,0),4),"1",""),"99"))),0)</f>
        <v>0</v>
      </c>
    </row>
    <row r="238" spans="1:55">
      <c r="A238" s="20" t="s">
        <v>73</v>
      </c>
      <c r="B238" s="21"/>
      <c r="C238" s="20"/>
      <c r="D238" s="22"/>
      <c r="E238" s="22"/>
      <c r="F238" s="21"/>
      <c r="G238" s="23"/>
      <c r="H238" s="24"/>
      <c r="I238" s="22"/>
      <c r="J238" s="22"/>
      <c r="K238" s="22"/>
      <c r="L238" s="21"/>
      <c r="M238" s="20"/>
      <c r="N238" s="20"/>
      <c r="O238" s="23"/>
      <c r="P238" s="21"/>
      <c r="Q238" s="20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1"/>
      <c r="AU238" s="25" t="str">
        <f t="shared" si="6"/>
        <v>1Q42</v>
      </c>
      <c r="AV238" t="str">
        <f t="shared" si="7"/>
        <v>1Q42</v>
      </c>
      <c r="BA238">
        <f ca="1">IF(COUNTBLANK(C238)=0,COUNTA(INDIRECT(CONCATENATE("Area!",LEFT(ADDRESS(1,MATCH(C238,Area!$1:$1,0),4),1),"2:",LEFT(ADDRESS(1,MATCH(C238,Area!$1:$1,0),4),1),"99"))),0)</f>
        <v>0</v>
      </c>
      <c r="BB238">
        <f ca="1">IF(COUNTBLANK(D238)=0,COUNTA(INDIRECT(CONCATENATE("Setup!",LEFT(ADDRESS(1,MATCH(CONCATENATE(C238,":",D238),Setup!$1:$1,0),4),1),"2:",LEFT(ADDRESS(1,MATCH(CONCATENATE(C238,":",D238),Setup!$1:$1,0),4),1),"99"))),0)</f>
        <v>0</v>
      </c>
      <c r="BC238">
        <f ca="1">IF(COUNTBLANK(E238)=0,COUNTA(INDIRECT(CONCATENATE("Comp!",SUBSTITUTE(ADDRESS(1,MATCH(CONCATENATE(C238,":",D238,":",E238),Comp!$1:$1,0),4),"1",""),"2:",SUBSTITUTE(ADDRESS(1,MATCH(CONCATENATE(C238,":",D238,":",E238),Comp!$1:$1,0),4),"1",""),"99"))),0)</f>
        <v>0</v>
      </c>
    </row>
    <row r="239" spans="1:55">
      <c r="A239" s="20" t="s">
        <v>73</v>
      </c>
      <c r="B239" s="21"/>
      <c r="C239" s="20"/>
      <c r="D239" s="22"/>
      <c r="E239" s="22"/>
      <c r="F239" s="21"/>
      <c r="G239" s="23"/>
      <c r="H239" s="24"/>
      <c r="I239" s="22"/>
      <c r="J239" s="22"/>
      <c r="K239" s="22"/>
      <c r="L239" s="21"/>
      <c r="M239" s="20"/>
      <c r="N239" s="20"/>
      <c r="O239" s="23"/>
      <c r="P239" s="21"/>
      <c r="Q239" s="20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1"/>
      <c r="AU239" s="25" t="str">
        <f t="shared" si="6"/>
        <v>1Q42</v>
      </c>
      <c r="AV239" t="str">
        <f t="shared" si="7"/>
        <v>1Q42</v>
      </c>
      <c r="BA239">
        <f ca="1">IF(COUNTBLANK(C239)=0,COUNTA(INDIRECT(CONCATENATE("Area!",LEFT(ADDRESS(1,MATCH(C239,Area!$1:$1,0),4),1),"2:",LEFT(ADDRESS(1,MATCH(C239,Area!$1:$1,0),4),1),"99"))),0)</f>
        <v>0</v>
      </c>
      <c r="BB239">
        <f ca="1">IF(COUNTBLANK(D239)=0,COUNTA(INDIRECT(CONCATENATE("Setup!",LEFT(ADDRESS(1,MATCH(CONCATENATE(C239,":",D239),Setup!$1:$1,0),4),1),"2:",LEFT(ADDRESS(1,MATCH(CONCATENATE(C239,":",D239),Setup!$1:$1,0),4),1),"99"))),0)</f>
        <v>0</v>
      </c>
      <c r="BC239">
        <f ca="1">IF(COUNTBLANK(E239)=0,COUNTA(INDIRECT(CONCATENATE("Comp!",SUBSTITUTE(ADDRESS(1,MATCH(CONCATENATE(C239,":",D239,":",E239),Comp!$1:$1,0),4),"1",""),"2:",SUBSTITUTE(ADDRESS(1,MATCH(CONCATENATE(C239,":",D239,":",E239),Comp!$1:$1,0),4),"1",""),"99"))),0)</f>
        <v>0</v>
      </c>
    </row>
    <row r="240" spans="1:55">
      <c r="A240" s="20" t="s">
        <v>73</v>
      </c>
      <c r="B240" s="21"/>
      <c r="C240" s="20"/>
      <c r="D240" s="22"/>
      <c r="E240" s="22"/>
      <c r="F240" s="21"/>
      <c r="G240" s="23"/>
      <c r="H240" s="24"/>
      <c r="I240" s="22"/>
      <c r="J240" s="22"/>
      <c r="K240" s="22"/>
      <c r="L240" s="21"/>
      <c r="M240" s="20"/>
      <c r="N240" s="20"/>
      <c r="O240" s="23"/>
      <c r="P240" s="21"/>
      <c r="Q240" s="20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1"/>
      <c r="AU240" s="25" t="str">
        <f t="shared" si="6"/>
        <v>1Q42</v>
      </c>
      <c r="AV240" t="str">
        <f t="shared" si="7"/>
        <v>1Q42</v>
      </c>
      <c r="BA240">
        <f ca="1">IF(COUNTBLANK(C240)=0,COUNTA(INDIRECT(CONCATENATE("Area!",LEFT(ADDRESS(1,MATCH(C240,Area!$1:$1,0),4),1),"2:",LEFT(ADDRESS(1,MATCH(C240,Area!$1:$1,0),4),1),"99"))),0)</f>
        <v>0</v>
      </c>
      <c r="BB240">
        <f ca="1">IF(COUNTBLANK(D240)=0,COUNTA(INDIRECT(CONCATENATE("Setup!",LEFT(ADDRESS(1,MATCH(CONCATENATE(C240,":",D240),Setup!$1:$1,0),4),1),"2:",LEFT(ADDRESS(1,MATCH(CONCATENATE(C240,":",D240),Setup!$1:$1,0),4),1),"99"))),0)</f>
        <v>0</v>
      </c>
      <c r="BC240">
        <f ca="1">IF(COUNTBLANK(E240)=0,COUNTA(INDIRECT(CONCATENATE("Comp!",SUBSTITUTE(ADDRESS(1,MATCH(CONCATENATE(C240,":",D240,":",E240),Comp!$1:$1,0),4),"1",""),"2:",SUBSTITUTE(ADDRESS(1,MATCH(CONCATENATE(C240,":",D240,":",E240),Comp!$1:$1,0),4),"1",""),"99"))),0)</f>
        <v>0</v>
      </c>
    </row>
    <row r="241" spans="1:55">
      <c r="A241" s="20" t="s">
        <v>73</v>
      </c>
      <c r="B241" s="21"/>
      <c r="C241" s="20"/>
      <c r="D241" s="22"/>
      <c r="E241" s="22"/>
      <c r="F241" s="21"/>
      <c r="G241" s="23"/>
      <c r="H241" s="24"/>
      <c r="I241" s="22"/>
      <c r="J241" s="22"/>
      <c r="K241" s="22"/>
      <c r="L241" s="21"/>
      <c r="M241" s="20"/>
      <c r="N241" s="20"/>
      <c r="O241" s="23"/>
      <c r="P241" s="21"/>
      <c r="Q241" s="20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1"/>
      <c r="AU241" s="25" t="str">
        <f t="shared" si="6"/>
        <v>1Q42</v>
      </c>
      <c r="AV241" t="str">
        <f t="shared" si="7"/>
        <v>1Q42</v>
      </c>
      <c r="BA241">
        <f ca="1">IF(COUNTBLANK(C241)=0,COUNTA(INDIRECT(CONCATENATE("Area!",LEFT(ADDRESS(1,MATCH(C241,Area!$1:$1,0),4),1),"2:",LEFT(ADDRESS(1,MATCH(C241,Area!$1:$1,0),4),1),"99"))),0)</f>
        <v>0</v>
      </c>
      <c r="BB241">
        <f ca="1">IF(COUNTBLANK(D241)=0,COUNTA(INDIRECT(CONCATENATE("Setup!",LEFT(ADDRESS(1,MATCH(CONCATENATE(C241,":",D241),Setup!$1:$1,0),4),1),"2:",LEFT(ADDRESS(1,MATCH(CONCATENATE(C241,":",D241),Setup!$1:$1,0),4),1),"99"))),0)</f>
        <v>0</v>
      </c>
      <c r="BC241">
        <f ca="1">IF(COUNTBLANK(E241)=0,COUNTA(INDIRECT(CONCATENATE("Comp!",SUBSTITUTE(ADDRESS(1,MATCH(CONCATENATE(C241,":",D241,":",E241),Comp!$1:$1,0),4),"1",""),"2:",SUBSTITUTE(ADDRESS(1,MATCH(CONCATENATE(C241,":",D241,":",E241),Comp!$1:$1,0),4),"1",""),"99"))),0)</f>
        <v>0</v>
      </c>
    </row>
    <row r="242" spans="1:55">
      <c r="A242" s="20" t="s">
        <v>73</v>
      </c>
      <c r="B242" s="21"/>
      <c r="C242" s="20"/>
      <c r="D242" s="22"/>
      <c r="E242" s="22"/>
      <c r="F242" s="21"/>
      <c r="G242" s="23"/>
      <c r="H242" s="24"/>
      <c r="I242" s="22"/>
      <c r="J242" s="22"/>
      <c r="K242" s="22"/>
      <c r="L242" s="21"/>
      <c r="M242" s="20"/>
      <c r="N242" s="20"/>
      <c r="O242" s="23"/>
      <c r="P242" s="21"/>
      <c r="Q242" s="20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1"/>
      <c r="AU242" s="25" t="str">
        <f t="shared" si="6"/>
        <v>1Q42</v>
      </c>
      <c r="AV242" t="str">
        <f t="shared" si="7"/>
        <v>1Q42</v>
      </c>
      <c r="BA242">
        <f ca="1">IF(COUNTBLANK(C242)=0,COUNTA(INDIRECT(CONCATENATE("Area!",LEFT(ADDRESS(1,MATCH(C242,Area!$1:$1,0),4),1),"2:",LEFT(ADDRESS(1,MATCH(C242,Area!$1:$1,0),4),1),"99"))),0)</f>
        <v>0</v>
      </c>
      <c r="BB242">
        <f ca="1">IF(COUNTBLANK(D242)=0,COUNTA(INDIRECT(CONCATENATE("Setup!",LEFT(ADDRESS(1,MATCH(CONCATENATE(C242,":",D242),Setup!$1:$1,0),4),1),"2:",LEFT(ADDRESS(1,MATCH(CONCATENATE(C242,":",D242),Setup!$1:$1,0),4),1),"99"))),0)</f>
        <v>0</v>
      </c>
      <c r="BC242">
        <f ca="1">IF(COUNTBLANK(E242)=0,COUNTA(INDIRECT(CONCATENATE("Comp!",SUBSTITUTE(ADDRESS(1,MATCH(CONCATENATE(C242,":",D242,":",E242),Comp!$1:$1,0),4),"1",""),"2:",SUBSTITUTE(ADDRESS(1,MATCH(CONCATENATE(C242,":",D242,":",E242),Comp!$1:$1,0),4),"1",""),"99"))),0)</f>
        <v>0</v>
      </c>
    </row>
    <row r="243" spans="1:55">
      <c r="A243" s="20" t="s">
        <v>73</v>
      </c>
      <c r="B243" s="21"/>
      <c r="C243" s="20"/>
      <c r="D243" s="22"/>
      <c r="E243" s="22"/>
      <c r="F243" s="21"/>
      <c r="G243" s="23"/>
      <c r="H243" s="24"/>
      <c r="I243" s="22"/>
      <c r="J243" s="22"/>
      <c r="K243" s="22"/>
      <c r="L243" s="21"/>
      <c r="M243" s="20"/>
      <c r="N243" s="20"/>
      <c r="O243" s="23"/>
      <c r="P243" s="21"/>
      <c r="Q243" s="20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1"/>
      <c r="AU243" s="25" t="str">
        <f t="shared" si="6"/>
        <v>1Q42</v>
      </c>
      <c r="AV243" t="str">
        <f t="shared" si="7"/>
        <v>1Q42</v>
      </c>
      <c r="BA243">
        <f ca="1">IF(COUNTBLANK(C243)=0,COUNTA(INDIRECT(CONCATENATE("Area!",LEFT(ADDRESS(1,MATCH(C243,Area!$1:$1,0),4),1),"2:",LEFT(ADDRESS(1,MATCH(C243,Area!$1:$1,0),4),1),"99"))),0)</f>
        <v>0</v>
      </c>
      <c r="BB243">
        <f ca="1">IF(COUNTBLANK(D243)=0,COUNTA(INDIRECT(CONCATENATE("Setup!",LEFT(ADDRESS(1,MATCH(CONCATENATE(C243,":",D243),Setup!$1:$1,0),4),1),"2:",LEFT(ADDRESS(1,MATCH(CONCATENATE(C243,":",D243),Setup!$1:$1,0),4),1),"99"))),0)</f>
        <v>0</v>
      </c>
      <c r="BC243">
        <f ca="1">IF(COUNTBLANK(E243)=0,COUNTA(INDIRECT(CONCATENATE("Comp!",SUBSTITUTE(ADDRESS(1,MATCH(CONCATENATE(C243,":",D243,":",E243),Comp!$1:$1,0),4),"1",""),"2:",SUBSTITUTE(ADDRESS(1,MATCH(CONCATENATE(C243,":",D243,":",E243),Comp!$1:$1,0),4),"1",""),"99"))),0)</f>
        <v>0</v>
      </c>
    </row>
    <row r="244" spans="1:55">
      <c r="A244" s="20" t="s">
        <v>73</v>
      </c>
      <c r="B244" s="21"/>
      <c r="C244" s="20"/>
      <c r="D244" s="22"/>
      <c r="E244" s="22"/>
      <c r="F244" s="21"/>
      <c r="G244" s="23"/>
      <c r="H244" s="24"/>
      <c r="I244" s="22"/>
      <c r="J244" s="22"/>
      <c r="K244" s="22"/>
      <c r="L244" s="21"/>
      <c r="M244" s="20"/>
      <c r="N244" s="20"/>
      <c r="O244" s="23"/>
      <c r="P244" s="21"/>
      <c r="Q244" s="20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1"/>
      <c r="AU244" s="25" t="str">
        <f t="shared" si="6"/>
        <v>1Q42</v>
      </c>
      <c r="AV244" t="str">
        <f t="shared" si="7"/>
        <v>1Q42</v>
      </c>
      <c r="BA244">
        <f ca="1">IF(COUNTBLANK(C244)=0,COUNTA(INDIRECT(CONCATENATE("Area!",LEFT(ADDRESS(1,MATCH(C244,Area!$1:$1,0),4),1),"2:",LEFT(ADDRESS(1,MATCH(C244,Area!$1:$1,0),4),1),"99"))),0)</f>
        <v>0</v>
      </c>
      <c r="BB244">
        <f ca="1">IF(COUNTBLANK(D244)=0,COUNTA(INDIRECT(CONCATENATE("Setup!",LEFT(ADDRESS(1,MATCH(CONCATENATE(C244,":",D244),Setup!$1:$1,0),4),1),"2:",LEFT(ADDRESS(1,MATCH(CONCATENATE(C244,":",D244),Setup!$1:$1,0),4),1),"99"))),0)</f>
        <v>0</v>
      </c>
      <c r="BC244">
        <f ca="1">IF(COUNTBLANK(E244)=0,COUNTA(INDIRECT(CONCATENATE("Comp!",SUBSTITUTE(ADDRESS(1,MATCH(CONCATENATE(C244,":",D244,":",E244),Comp!$1:$1,0),4),"1",""),"2:",SUBSTITUTE(ADDRESS(1,MATCH(CONCATENATE(C244,":",D244,":",E244),Comp!$1:$1,0),4),"1",""),"99"))),0)</f>
        <v>0</v>
      </c>
    </row>
    <row r="245" spans="1:55">
      <c r="A245" s="20" t="s">
        <v>73</v>
      </c>
      <c r="B245" s="21"/>
      <c r="C245" s="20"/>
      <c r="D245" s="22"/>
      <c r="E245" s="22"/>
      <c r="F245" s="21"/>
      <c r="G245" s="23"/>
      <c r="H245" s="24"/>
      <c r="I245" s="22"/>
      <c r="J245" s="22"/>
      <c r="K245" s="22"/>
      <c r="L245" s="21"/>
      <c r="M245" s="20"/>
      <c r="N245" s="20"/>
      <c r="O245" s="23"/>
      <c r="P245" s="21"/>
      <c r="Q245" s="20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1"/>
      <c r="AU245" s="25" t="str">
        <f t="shared" si="6"/>
        <v>1Q42</v>
      </c>
      <c r="AV245" t="str">
        <f t="shared" si="7"/>
        <v>1Q42</v>
      </c>
      <c r="BA245">
        <f ca="1">IF(COUNTBLANK(C245)=0,COUNTA(INDIRECT(CONCATENATE("Area!",LEFT(ADDRESS(1,MATCH(C245,Area!$1:$1,0),4),1),"2:",LEFT(ADDRESS(1,MATCH(C245,Area!$1:$1,0),4),1),"99"))),0)</f>
        <v>0</v>
      </c>
      <c r="BB245">
        <f ca="1">IF(COUNTBLANK(D245)=0,COUNTA(INDIRECT(CONCATENATE("Setup!",LEFT(ADDRESS(1,MATCH(CONCATENATE(C245,":",D245),Setup!$1:$1,0),4),1),"2:",LEFT(ADDRESS(1,MATCH(CONCATENATE(C245,":",D245),Setup!$1:$1,0),4),1),"99"))),0)</f>
        <v>0</v>
      </c>
      <c r="BC245">
        <f ca="1">IF(COUNTBLANK(E245)=0,COUNTA(INDIRECT(CONCATENATE("Comp!",SUBSTITUTE(ADDRESS(1,MATCH(CONCATENATE(C245,":",D245,":",E245),Comp!$1:$1,0),4),"1",""),"2:",SUBSTITUTE(ADDRESS(1,MATCH(CONCATENATE(C245,":",D245,":",E245),Comp!$1:$1,0),4),"1",""),"99"))),0)</f>
        <v>0</v>
      </c>
    </row>
    <row r="246" spans="1:55">
      <c r="A246" s="20" t="s">
        <v>73</v>
      </c>
      <c r="B246" s="21"/>
      <c r="C246" s="20"/>
      <c r="D246" s="22"/>
      <c r="E246" s="22"/>
      <c r="F246" s="21"/>
      <c r="G246" s="23"/>
      <c r="H246" s="24"/>
      <c r="I246" s="22"/>
      <c r="J246" s="22"/>
      <c r="K246" s="22"/>
      <c r="L246" s="21"/>
      <c r="M246" s="20"/>
      <c r="N246" s="20"/>
      <c r="O246" s="23"/>
      <c r="P246" s="21"/>
      <c r="Q246" s="20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1"/>
      <c r="AU246" s="25" t="str">
        <f t="shared" si="6"/>
        <v>1Q42</v>
      </c>
      <c r="AV246" t="str">
        <f t="shared" si="7"/>
        <v>1Q42</v>
      </c>
      <c r="BA246">
        <f ca="1">IF(COUNTBLANK(C246)=0,COUNTA(INDIRECT(CONCATENATE("Area!",LEFT(ADDRESS(1,MATCH(C246,Area!$1:$1,0),4),1),"2:",LEFT(ADDRESS(1,MATCH(C246,Area!$1:$1,0),4),1),"99"))),0)</f>
        <v>0</v>
      </c>
      <c r="BB246">
        <f ca="1">IF(COUNTBLANK(D246)=0,COUNTA(INDIRECT(CONCATENATE("Setup!",LEFT(ADDRESS(1,MATCH(CONCATENATE(C246,":",D246),Setup!$1:$1,0),4),1),"2:",LEFT(ADDRESS(1,MATCH(CONCATENATE(C246,":",D246),Setup!$1:$1,0),4),1),"99"))),0)</f>
        <v>0</v>
      </c>
      <c r="BC246">
        <f ca="1">IF(COUNTBLANK(E246)=0,COUNTA(INDIRECT(CONCATENATE("Comp!",SUBSTITUTE(ADDRESS(1,MATCH(CONCATENATE(C246,":",D246,":",E246),Comp!$1:$1,0),4),"1",""),"2:",SUBSTITUTE(ADDRESS(1,MATCH(CONCATENATE(C246,":",D246,":",E246),Comp!$1:$1,0),4),"1",""),"99"))),0)</f>
        <v>0</v>
      </c>
    </row>
    <row r="247" spans="1:55">
      <c r="A247" s="20" t="s">
        <v>73</v>
      </c>
      <c r="B247" s="21"/>
      <c r="C247" s="20"/>
      <c r="D247" s="22"/>
      <c r="E247" s="22"/>
      <c r="F247" s="21"/>
      <c r="G247" s="23"/>
      <c r="H247" s="24"/>
      <c r="I247" s="22"/>
      <c r="J247" s="22"/>
      <c r="K247" s="22"/>
      <c r="L247" s="21"/>
      <c r="M247" s="20"/>
      <c r="N247" s="20"/>
      <c r="O247" s="23"/>
      <c r="P247" s="21"/>
      <c r="Q247" s="20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1"/>
      <c r="AU247" s="25" t="str">
        <f t="shared" si="6"/>
        <v>1Q42</v>
      </c>
      <c r="AV247" t="str">
        <f t="shared" si="7"/>
        <v>1Q42</v>
      </c>
      <c r="BA247">
        <f ca="1">IF(COUNTBLANK(C247)=0,COUNTA(INDIRECT(CONCATENATE("Area!",LEFT(ADDRESS(1,MATCH(C247,Area!$1:$1,0),4),1),"2:",LEFT(ADDRESS(1,MATCH(C247,Area!$1:$1,0),4),1),"99"))),0)</f>
        <v>0</v>
      </c>
      <c r="BB247">
        <f ca="1">IF(COUNTBLANK(D247)=0,COUNTA(INDIRECT(CONCATENATE("Setup!",LEFT(ADDRESS(1,MATCH(CONCATENATE(C247,":",D247),Setup!$1:$1,0),4),1),"2:",LEFT(ADDRESS(1,MATCH(CONCATENATE(C247,":",D247),Setup!$1:$1,0),4),1),"99"))),0)</f>
        <v>0</v>
      </c>
      <c r="BC247">
        <f ca="1">IF(COUNTBLANK(E247)=0,COUNTA(INDIRECT(CONCATENATE("Comp!",SUBSTITUTE(ADDRESS(1,MATCH(CONCATENATE(C247,":",D247,":",E247),Comp!$1:$1,0),4),"1",""),"2:",SUBSTITUTE(ADDRESS(1,MATCH(CONCATENATE(C247,":",D247,":",E247),Comp!$1:$1,0),4),"1",""),"99"))),0)</f>
        <v>0</v>
      </c>
    </row>
    <row r="248" spans="1:55">
      <c r="A248" s="20" t="s">
        <v>73</v>
      </c>
      <c r="B248" s="21"/>
      <c r="C248" s="20"/>
      <c r="D248" s="22"/>
      <c r="E248" s="22"/>
      <c r="F248" s="21"/>
      <c r="G248" s="23"/>
      <c r="H248" s="24"/>
      <c r="I248" s="22"/>
      <c r="J248" s="22"/>
      <c r="K248" s="22"/>
      <c r="L248" s="21"/>
      <c r="M248" s="20"/>
      <c r="N248" s="20"/>
      <c r="O248" s="23"/>
      <c r="P248" s="21"/>
      <c r="Q248" s="20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1"/>
      <c r="AU248" s="25" t="str">
        <f t="shared" si="6"/>
        <v>1Q42</v>
      </c>
      <c r="AV248" t="str">
        <f t="shared" si="7"/>
        <v>1Q42</v>
      </c>
      <c r="BA248">
        <f ca="1">IF(COUNTBLANK(C248)=0,COUNTA(INDIRECT(CONCATENATE("Area!",LEFT(ADDRESS(1,MATCH(C248,Area!$1:$1,0),4),1),"2:",LEFT(ADDRESS(1,MATCH(C248,Area!$1:$1,0),4),1),"99"))),0)</f>
        <v>0</v>
      </c>
      <c r="BB248">
        <f ca="1">IF(COUNTBLANK(D248)=0,COUNTA(INDIRECT(CONCATENATE("Setup!",LEFT(ADDRESS(1,MATCH(CONCATENATE(C248,":",D248),Setup!$1:$1,0),4),1),"2:",LEFT(ADDRESS(1,MATCH(CONCATENATE(C248,":",D248),Setup!$1:$1,0),4),1),"99"))),0)</f>
        <v>0</v>
      </c>
      <c r="BC248">
        <f ca="1">IF(COUNTBLANK(E248)=0,COUNTA(INDIRECT(CONCATENATE("Comp!",SUBSTITUTE(ADDRESS(1,MATCH(CONCATENATE(C248,":",D248,":",E248),Comp!$1:$1,0),4),"1",""),"2:",SUBSTITUTE(ADDRESS(1,MATCH(CONCATENATE(C248,":",D248,":",E248),Comp!$1:$1,0),4),"1",""),"99"))),0)</f>
        <v>0</v>
      </c>
    </row>
    <row r="249" spans="1:55">
      <c r="A249" s="20" t="s">
        <v>73</v>
      </c>
      <c r="B249" s="21"/>
      <c r="C249" s="20"/>
      <c r="D249" s="22"/>
      <c r="E249" s="22"/>
      <c r="F249" s="21"/>
      <c r="G249" s="23"/>
      <c r="H249" s="24"/>
      <c r="I249" s="22"/>
      <c r="J249" s="22"/>
      <c r="K249" s="22"/>
      <c r="L249" s="21"/>
      <c r="M249" s="20"/>
      <c r="N249" s="20"/>
      <c r="O249" s="23"/>
      <c r="P249" s="21"/>
      <c r="Q249" s="20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1"/>
      <c r="AU249" s="25" t="str">
        <f t="shared" si="6"/>
        <v>1Q42</v>
      </c>
      <c r="AV249" t="str">
        <f t="shared" si="7"/>
        <v>1Q42</v>
      </c>
      <c r="BA249">
        <f ca="1">IF(COUNTBLANK(C249)=0,COUNTA(INDIRECT(CONCATENATE("Area!",LEFT(ADDRESS(1,MATCH(C249,Area!$1:$1,0),4),1),"2:",LEFT(ADDRESS(1,MATCH(C249,Area!$1:$1,0),4),1),"99"))),0)</f>
        <v>0</v>
      </c>
      <c r="BB249">
        <f ca="1">IF(COUNTBLANK(D249)=0,COUNTA(INDIRECT(CONCATENATE("Setup!",LEFT(ADDRESS(1,MATCH(CONCATENATE(C249,":",D249),Setup!$1:$1,0),4),1),"2:",LEFT(ADDRESS(1,MATCH(CONCATENATE(C249,":",D249),Setup!$1:$1,0),4),1),"99"))),0)</f>
        <v>0</v>
      </c>
      <c r="BC249">
        <f ca="1">IF(COUNTBLANK(E249)=0,COUNTA(INDIRECT(CONCATENATE("Comp!",SUBSTITUTE(ADDRESS(1,MATCH(CONCATENATE(C249,":",D249,":",E249),Comp!$1:$1,0),4),"1",""),"2:",SUBSTITUTE(ADDRESS(1,MATCH(CONCATENATE(C249,":",D249,":",E249),Comp!$1:$1,0),4),"1",""),"99"))),0)</f>
        <v>0</v>
      </c>
    </row>
    <row r="250" spans="1:55">
      <c r="A250" s="20" t="s">
        <v>73</v>
      </c>
      <c r="B250" s="21"/>
      <c r="C250" s="20"/>
      <c r="D250" s="22"/>
      <c r="E250" s="22"/>
      <c r="F250" s="21"/>
      <c r="G250" s="23"/>
      <c r="H250" s="24"/>
      <c r="I250" s="22"/>
      <c r="J250" s="22"/>
      <c r="K250" s="22"/>
      <c r="L250" s="21"/>
      <c r="M250" s="20"/>
      <c r="N250" s="20"/>
      <c r="O250" s="23"/>
      <c r="P250" s="21"/>
      <c r="Q250" s="20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1"/>
      <c r="AU250" s="25" t="str">
        <f t="shared" si="6"/>
        <v>1Q42</v>
      </c>
      <c r="AV250" t="str">
        <f t="shared" si="7"/>
        <v>1Q42</v>
      </c>
      <c r="BA250">
        <f ca="1">IF(COUNTBLANK(C250)=0,COUNTA(INDIRECT(CONCATENATE("Area!",LEFT(ADDRESS(1,MATCH(C250,Area!$1:$1,0),4),1),"2:",LEFT(ADDRESS(1,MATCH(C250,Area!$1:$1,0),4),1),"99"))),0)</f>
        <v>0</v>
      </c>
      <c r="BB250">
        <f ca="1">IF(COUNTBLANK(D250)=0,COUNTA(INDIRECT(CONCATENATE("Setup!",LEFT(ADDRESS(1,MATCH(CONCATENATE(C250,":",D250),Setup!$1:$1,0),4),1),"2:",LEFT(ADDRESS(1,MATCH(CONCATENATE(C250,":",D250),Setup!$1:$1,0),4),1),"99"))),0)</f>
        <v>0</v>
      </c>
      <c r="BC250">
        <f ca="1">IF(COUNTBLANK(E250)=0,COUNTA(INDIRECT(CONCATENATE("Comp!",SUBSTITUTE(ADDRESS(1,MATCH(CONCATENATE(C250,":",D250,":",E250),Comp!$1:$1,0),4),"1",""),"2:",SUBSTITUTE(ADDRESS(1,MATCH(CONCATENATE(C250,":",D250,":",E250),Comp!$1:$1,0),4),"1",""),"99"))),0)</f>
        <v>0</v>
      </c>
    </row>
    <row r="251" spans="1:55">
      <c r="A251" s="20" t="s">
        <v>73</v>
      </c>
      <c r="B251" s="21"/>
      <c r="C251" s="20"/>
      <c r="D251" s="22"/>
      <c r="E251" s="22"/>
      <c r="F251" s="21"/>
      <c r="G251" s="23"/>
      <c r="H251" s="24"/>
      <c r="I251" s="22"/>
      <c r="J251" s="22"/>
      <c r="K251" s="22"/>
      <c r="L251" s="21"/>
      <c r="M251" s="20"/>
      <c r="N251" s="20"/>
      <c r="O251" s="23"/>
      <c r="P251" s="21"/>
      <c r="Q251" s="20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1"/>
      <c r="AU251" s="25" t="str">
        <f t="shared" si="6"/>
        <v>1Q42</v>
      </c>
      <c r="AV251" t="str">
        <f t="shared" si="7"/>
        <v>1Q42</v>
      </c>
      <c r="BA251">
        <f ca="1">IF(COUNTBLANK(C251)=0,COUNTA(INDIRECT(CONCATENATE("Area!",LEFT(ADDRESS(1,MATCH(C251,Area!$1:$1,0),4),1),"2:",LEFT(ADDRESS(1,MATCH(C251,Area!$1:$1,0),4),1),"99"))),0)</f>
        <v>0</v>
      </c>
      <c r="BB251">
        <f ca="1">IF(COUNTBLANK(D251)=0,COUNTA(INDIRECT(CONCATENATE("Setup!",LEFT(ADDRESS(1,MATCH(CONCATENATE(C251,":",D251),Setup!$1:$1,0),4),1),"2:",LEFT(ADDRESS(1,MATCH(CONCATENATE(C251,":",D251),Setup!$1:$1,0),4),1),"99"))),0)</f>
        <v>0</v>
      </c>
      <c r="BC251">
        <f ca="1">IF(COUNTBLANK(E251)=0,COUNTA(INDIRECT(CONCATENATE("Comp!",SUBSTITUTE(ADDRESS(1,MATCH(CONCATENATE(C251,":",D251,":",E251),Comp!$1:$1,0),4),"1",""),"2:",SUBSTITUTE(ADDRESS(1,MATCH(CONCATENATE(C251,":",D251,":",E251),Comp!$1:$1,0),4),"1",""),"99"))),0)</f>
        <v>0</v>
      </c>
    </row>
    <row r="252" spans="1:55">
      <c r="A252" s="20" t="s">
        <v>73</v>
      </c>
      <c r="B252" s="21"/>
      <c r="C252" s="20"/>
      <c r="D252" s="22"/>
      <c r="E252" s="22"/>
      <c r="F252" s="21"/>
      <c r="G252" s="23"/>
      <c r="H252" s="24"/>
      <c r="I252" s="22"/>
      <c r="J252" s="22"/>
      <c r="K252" s="22"/>
      <c r="L252" s="21"/>
      <c r="M252" s="20"/>
      <c r="N252" s="20"/>
      <c r="O252" s="23"/>
      <c r="P252" s="21"/>
      <c r="Q252" s="20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1"/>
      <c r="AU252" s="25" t="str">
        <f t="shared" si="6"/>
        <v>1Q42</v>
      </c>
      <c r="AV252" t="str">
        <f t="shared" si="7"/>
        <v>1Q42</v>
      </c>
      <c r="BA252">
        <f ca="1">IF(COUNTBLANK(C252)=0,COUNTA(INDIRECT(CONCATENATE("Area!",LEFT(ADDRESS(1,MATCH(C252,Area!$1:$1,0),4),1),"2:",LEFT(ADDRESS(1,MATCH(C252,Area!$1:$1,0),4),1),"99"))),0)</f>
        <v>0</v>
      </c>
      <c r="BB252">
        <f ca="1">IF(COUNTBLANK(D252)=0,COUNTA(INDIRECT(CONCATENATE("Setup!",LEFT(ADDRESS(1,MATCH(CONCATENATE(C252,":",D252),Setup!$1:$1,0),4),1),"2:",LEFT(ADDRESS(1,MATCH(CONCATENATE(C252,":",D252),Setup!$1:$1,0),4),1),"99"))),0)</f>
        <v>0</v>
      </c>
      <c r="BC252">
        <f ca="1">IF(COUNTBLANK(E252)=0,COUNTA(INDIRECT(CONCATENATE("Comp!",SUBSTITUTE(ADDRESS(1,MATCH(CONCATENATE(C252,":",D252,":",E252),Comp!$1:$1,0),4),"1",""),"2:",SUBSTITUTE(ADDRESS(1,MATCH(CONCATENATE(C252,":",D252,":",E252),Comp!$1:$1,0),4),"1",""),"99"))),0)</f>
        <v>0</v>
      </c>
    </row>
    <row r="253" spans="1:55">
      <c r="A253" s="20" t="s">
        <v>73</v>
      </c>
      <c r="B253" s="21"/>
      <c r="C253" s="20"/>
      <c r="D253" s="22"/>
      <c r="E253" s="22"/>
      <c r="F253" s="21"/>
      <c r="G253" s="23"/>
      <c r="H253" s="24"/>
      <c r="I253" s="22"/>
      <c r="J253" s="22"/>
      <c r="K253" s="22"/>
      <c r="L253" s="21"/>
      <c r="M253" s="20"/>
      <c r="N253" s="20"/>
      <c r="O253" s="23"/>
      <c r="P253" s="21"/>
      <c r="Q253" s="20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1"/>
      <c r="AU253" s="25" t="str">
        <f t="shared" si="6"/>
        <v>1Q42</v>
      </c>
      <c r="AV253" t="str">
        <f t="shared" si="7"/>
        <v>1Q42</v>
      </c>
      <c r="BA253">
        <f ca="1">IF(COUNTBLANK(C253)=0,COUNTA(INDIRECT(CONCATENATE("Area!",LEFT(ADDRESS(1,MATCH(C253,Area!$1:$1,0),4),1),"2:",LEFT(ADDRESS(1,MATCH(C253,Area!$1:$1,0),4),1),"99"))),0)</f>
        <v>0</v>
      </c>
      <c r="BB253">
        <f ca="1">IF(COUNTBLANK(D253)=0,COUNTA(INDIRECT(CONCATENATE("Setup!",LEFT(ADDRESS(1,MATCH(CONCATENATE(C253,":",D253),Setup!$1:$1,0),4),1),"2:",LEFT(ADDRESS(1,MATCH(CONCATENATE(C253,":",D253),Setup!$1:$1,0),4),1),"99"))),0)</f>
        <v>0</v>
      </c>
      <c r="BC253">
        <f ca="1">IF(COUNTBLANK(E253)=0,COUNTA(INDIRECT(CONCATENATE("Comp!",SUBSTITUTE(ADDRESS(1,MATCH(CONCATENATE(C253,":",D253,":",E253),Comp!$1:$1,0),4),"1",""),"2:",SUBSTITUTE(ADDRESS(1,MATCH(CONCATENATE(C253,":",D253,":",E253),Comp!$1:$1,0),4),"1",""),"99"))),0)</f>
        <v>0</v>
      </c>
    </row>
    <row r="254" spans="1:55">
      <c r="A254" s="20" t="s">
        <v>73</v>
      </c>
      <c r="B254" s="21"/>
      <c r="C254" s="20"/>
      <c r="D254" s="22"/>
      <c r="E254" s="22"/>
      <c r="F254" s="21"/>
      <c r="G254" s="23"/>
      <c r="H254" s="24"/>
      <c r="I254" s="22"/>
      <c r="J254" s="22"/>
      <c r="K254" s="22"/>
      <c r="L254" s="21"/>
      <c r="M254" s="20"/>
      <c r="N254" s="20"/>
      <c r="O254" s="23"/>
      <c r="P254" s="21"/>
      <c r="Q254" s="20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1"/>
      <c r="AU254" s="25" t="str">
        <f t="shared" si="6"/>
        <v>1Q42</v>
      </c>
      <c r="AV254" t="str">
        <f t="shared" si="7"/>
        <v>1Q42</v>
      </c>
      <c r="BA254">
        <f ca="1">IF(COUNTBLANK(C254)=0,COUNTA(INDIRECT(CONCATENATE("Area!",LEFT(ADDRESS(1,MATCH(C254,Area!$1:$1,0),4),1),"2:",LEFT(ADDRESS(1,MATCH(C254,Area!$1:$1,0),4),1),"99"))),0)</f>
        <v>0</v>
      </c>
      <c r="BB254">
        <f ca="1">IF(COUNTBLANK(D254)=0,COUNTA(INDIRECT(CONCATENATE("Setup!",LEFT(ADDRESS(1,MATCH(CONCATENATE(C254,":",D254),Setup!$1:$1,0),4),1),"2:",LEFT(ADDRESS(1,MATCH(CONCATENATE(C254,":",D254),Setup!$1:$1,0),4),1),"99"))),0)</f>
        <v>0</v>
      </c>
      <c r="BC254">
        <f ca="1">IF(COUNTBLANK(E254)=0,COUNTA(INDIRECT(CONCATENATE("Comp!",SUBSTITUTE(ADDRESS(1,MATCH(CONCATENATE(C254,":",D254,":",E254),Comp!$1:$1,0),4),"1",""),"2:",SUBSTITUTE(ADDRESS(1,MATCH(CONCATENATE(C254,":",D254,":",E254),Comp!$1:$1,0),4),"1",""),"99"))),0)</f>
        <v>0</v>
      </c>
    </row>
    <row r="255" spans="1:55">
      <c r="A255" s="20" t="s">
        <v>73</v>
      </c>
      <c r="B255" s="21"/>
      <c r="C255" s="20"/>
      <c r="D255" s="22"/>
      <c r="E255" s="22"/>
      <c r="F255" s="21"/>
      <c r="G255" s="23"/>
      <c r="H255" s="24"/>
      <c r="I255" s="22"/>
      <c r="J255" s="22"/>
      <c r="K255" s="22"/>
      <c r="L255" s="21"/>
      <c r="M255" s="20"/>
      <c r="N255" s="20"/>
      <c r="O255" s="23"/>
      <c r="P255" s="21"/>
      <c r="Q255" s="20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1"/>
      <c r="AU255" s="25" t="str">
        <f t="shared" si="6"/>
        <v>1Q42</v>
      </c>
      <c r="AV255" t="str">
        <f t="shared" si="7"/>
        <v>1Q42</v>
      </c>
      <c r="BA255">
        <f ca="1">IF(COUNTBLANK(C255)=0,COUNTA(INDIRECT(CONCATENATE("Area!",LEFT(ADDRESS(1,MATCH(C255,Area!$1:$1,0),4),1),"2:",LEFT(ADDRESS(1,MATCH(C255,Area!$1:$1,0),4),1),"99"))),0)</f>
        <v>0</v>
      </c>
      <c r="BB255">
        <f ca="1">IF(COUNTBLANK(D255)=0,COUNTA(INDIRECT(CONCATENATE("Setup!",LEFT(ADDRESS(1,MATCH(CONCATENATE(C255,":",D255),Setup!$1:$1,0),4),1),"2:",LEFT(ADDRESS(1,MATCH(CONCATENATE(C255,":",D255),Setup!$1:$1,0),4),1),"99"))),0)</f>
        <v>0</v>
      </c>
      <c r="BC255">
        <f ca="1">IF(COUNTBLANK(E255)=0,COUNTA(INDIRECT(CONCATENATE("Comp!",SUBSTITUTE(ADDRESS(1,MATCH(CONCATENATE(C255,":",D255,":",E255),Comp!$1:$1,0),4),"1",""),"2:",SUBSTITUTE(ADDRESS(1,MATCH(CONCATENATE(C255,":",D255,":",E255),Comp!$1:$1,0),4),"1",""),"99"))),0)</f>
        <v>0</v>
      </c>
    </row>
    <row r="256" spans="1:55">
      <c r="A256" s="20" t="s">
        <v>73</v>
      </c>
      <c r="B256" s="21"/>
      <c r="C256" s="20"/>
      <c r="D256" s="22"/>
      <c r="E256" s="22"/>
      <c r="F256" s="21"/>
      <c r="G256" s="23"/>
      <c r="H256" s="24"/>
      <c r="I256" s="22"/>
      <c r="J256" s="22"/>
      <c r="K256" s="22"/>
      <c r="L256" s="21"/>
      <c r="M256" s="20"/>
      <c r="N256" s="20"/>
      <c r="O256" s="23"/>
      <c r="P256" s="21"/>
      <c r="Q256" s="20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1"/>
      <c r="AU256" s="25" t="str">
        <f t="shared" si="6"/>
        <v>1Q42</v>
      </c>
      <c r="AV256" t="str">
        <f t="shared" si="7"/>
        <v>1Q42</v>
      </c>
      <c r="BA256">
        <f ca="1">IF(COUNTBLANK(C256)=0,COUNTA(INDIRECT(CONCATENATE("Area!",LEFT(ADDRESS(1,MATCH(C256,Area!$1:$1,0),4),1),"2:",LEFT(ADDRESS(1,MATCH(C256,Area!$1:$1,0),4),1),"99"))),0)</f>
        <v>0</v>
      </c>
      <c r="BB256">
        <f ca="1">IF(COUNTBLANK(D256)=0,COUNTA(INDIRECT(CONCATENATE("Setup!",LEFT(ADDRESS(1,MATCH(CONCATENATE(C256,":",D256),Setup!$1:$1,0),4),1),"2:",LEFT(ADDRESS(1,MATCH(CONCATENATE(C256,":",D256),Setup!$1:$1,0),4),1),"99"))),0)</f>
        <v>0</v>
      </c>
      <c r="BC256">
        <f ca="1">IF(COUNTBLANK(E256)=0,COUNTA(INDIRECT(CONCATENATE("Comp!",SUBSTITUTE(ADDRESS(1,MATCH(CONCATENATE(C256,":",D256,":",E256),Comp!$1:$1,0),4),"1",""),"2:",SUBSTITUTE(ADDRESS(1,MATCH(CONCATENATE(C256,":",D256,":",E256),Comp!$1:$1,0),4),"1",""),"99"))),0)</f>
        <v>0</v>
      </c>
    </row>
    <row r="257" spans="1:55">
      <c r="A257" s="20" t="s">
        <v>73</v>
      </c>
      <c r="B257" s="21"/>
      <c r="C257" s="20"/>
      <c r="D257" s="22"/>
      <c r="E257" s="22"/>
      <c r="F257" s="21"/>
      <c r="G257" s="23"/>
      <c r="H257" s="24"/>
      <c r="I257" s="22"/>
      <c r="J257" s="22"/>
      <c r="K257" s="22"/>
      <c r="L257" s="21"/>
      <c r="M257" s="20"/>
      <c r="N257" s="20"/>
      <c r="O257" s="23"/>
      <c r="P257" s="21"/>
      <c r="Q257" s="20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1"/>
      <c r="AU257" s="25" t="str">
        <f t="shared" si="6"/>
        <v>1Q42</v>
      </c>
      <c r="AV257" t="str">
        <f t="shared" si="7"/>
        <v>1Q42</v>
      </c>
      <c r="BA257">
        <f ca="1">IF(COUNTBLANK(C257)=0,COUNTA(INDIRECT(CONCATENATE("Area!",LEFT(ADDRESS(1,MATCH(C257,Area!$1:$1,0),4),1),"2:",LEFT(ADDRESS(1,MATCH(C257,Area!$1:$1,0),4),1),"99"))),0)</f>
        <v>0</v>
      </c>
      <c r="BB257">
        <f ca="1">IF(COUNTBLANK(D257)=0,COUNTA(INDIRECT(CONCATENATE("Setup!",LEFT(ADDRESS(1,MATCH(CONCATENATE(C257,":",D257),Setup!$1:$1,0),4),1),"2:",LEFT(ADDRESS(1,MATCH(CONCATENATE(C257,":",D257),Setup!$1:$1,0),4),1),"99"))),0)</f>
        <v>0</v>
      </c>
      <c r="BC257">
        <f ca="1">IF(COUNTBLANK(E257)=0,COUNTA(INDIRECT(CONCATENATE("Comp!",SUBSTITUTE(ADDRESS(1,MATCH(CONCATENATE(C257,":",D257,":",E257),Comp!$1:$1,0),4),"1",""),"2:",SUBSTITUTE(ADDRESS(1,MATCH(CONCATENATE(C257,":",D257,":",E257),Comp!$1:$1,0),4),"1",""),"99"))),0)</f>
        <v>0</v>
      </c>
    </row>
    <row r="258" spans="1:55">
      <c r="A258" s="20" t="s">
        <v>73</v>
      </c>
      <c r="B258" s="21"/>
      <c r="C258" s="20"/>
      <c r="D258" s="22"/>
      <c r="E258" s="22"/>
      <c r="F258" s="21"/>
      <c r="G258" s="23"/>
      <c r="H258" s="24"/>
      <c r="I258" s="22"/>
      <c r="J258" s="22"/>
      <c r="K258" s="22"/>
      <c r="L258" s="21"/>
      <c r="M258" s="20"/>
      <c r="N258" s="20"/>
      <c r="O258" s="23"/>
      <c r="P258" s="21"/>
      <c r="Q258" s="20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1"/>
      <c r="AU258" s="25" t="str">
        <f t="shared" si="6"/>
        <v>1Q42</v>
      </c>
      <c r="AV258" t="str">
        <f t="shared" si="7"/>
        <v>1Q42</v>
      </c>
      <c r="BA258">
        <f ca="1">IF(COUNTBLANK(C258)=0,COUNTA(INDIRECT(CONCATENATE("Area!",LEFT(ADDRESS(1,MATCH(C258,Area!$1:$1,0),4),1),"2:",LEFT(ADDRESS(1,MATCH(C258,Area!$1:$1,0),4),1),"99"))),0)</f>
        <v>0</v>
      </c>
      <c r="BB258">
        <f ca="1">IF(COUNTBLANK(D258)=0,COUNTA(INDIRECT(CONCATENATE("Setup!",LEFT(ADDRESS(1,MATCH(CONCATENATE(C258,":",D258),Setup!$1:$1,0),4),1),"2:",LEFT(ADDRESS(1,MATCH(CONCATENATE(C258,":",D258),Setup!$1:$1,0),4),1),"99"))),0)</f>
        <v>0</v>
      </c>
      <c r="BC258">
        <f ca="1">IF(COUNTBLANK(E258)=0,COUNTA(INDIRECT(CONCATENATE("Comp!",SUBSTITUTE(ADDRESS(1,MATCH(CONCATENATE(C258,":",D258,":",E258),Comp!$1:$1,0),4),"1",""),"2:",SUBSTITUTE(ADDRESS(1,MATCH(CONCATENATE(C258,":",D258,":",E258),Comp!$1:$1,0),4),"1",""),"99"))),0)</f>
        <v>0</v>
      </c>
    </row>
    <row r="259" spans="1:55">
      <c r="A259" s="20" t="s">
        <v>73</v>
      </c>
      <c r="B259" s="21"/>
      <c r="C259" s="20"/>
      <c r="D259" s="22"/>
      <c r="E259" s="22"/>
      <c r="F259" s="21"/>
      <c r="G259" s="23"/>
      <c r="H259" s="24"/>
      <c r="I259" s="22"/>
      <c r="J259" s="22"/>
      <c r="K259" s="22"/>
      <c r="L259" s="21"/>
      <c r="M259" s="20"/>
      <c r="N259" s="20"/>
      <c r="O259" s="23"/>
      <c r="P259" s="21"/>
      <c r="Q259" s="20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1"/>
      <c r="AU259" s="25" t="str">
        <f t="shared" si="6"/>
        <v>1Q42</v>
      </c>
      <c r="AV259" t="str">
        <f t="shared" si="7"/>
        <v>1Q42</v>
      </c>
      <c r="BA259">
        <f ca="1">IF(COUNTBLANK(C259)=0,COUNTA(INDIRECT(CONCATENATE("Area!",LEFT(ADDRESS(1,MATCH(C259,Area!$1:$1,0),4),1),"2:",LEFT(ADDRESS(1,MATCH(C259,Area!$1:$1,0),4),1),"99"))),0)</f>
        <v>0</v>
      </c>
      <c r="BB259">
        <f ca="1">IF(COUNTBLANK(D259)=0,COUNTA(INDIRECT(CONCATENATE("Setup!",LEFT(ADDRESS(1,MATCH(CONCATENATE(C259,":",D259),Setup!$1:$1,0),4),1),"2:",LEFT(ADDRESS(1,MATCH(CONCATENATE(C259,":",D259),Setup!$1:$1,0),4),1),"99"))),0)</f>
        <v>0</v>
      </c>
      <c r="BC259">
        <f ca="1">IF(COUNTBLANK(E259)=0,COUNTA(INDIRECT(CONCATENATE("Comp!",SUBSTITUTE(ADDRESS(1,MATCH(CONCATENATE(C259,":",D259,":",E259),Comp!$1:$1,0),4),"1",""),"2:",SUBSTITUTE(ADDRESS(1,MATCH(CONCATENATE(C259,":",D259,":",E259),Comp!$1:$1,0),4),"1",""),"99"))),0)</f>
        <v>0</v>
      </c>
    </row>
    <row r="260" spans="1:55">
      <c r="A260" s="20" t="s">
        <v>73</v>
      </c>
      <c r="B260" s="21"/>
      <c r="C260" s="20"/>
      <c r="D260" s="22"/>
      <c r="E260" s="22"/>
      <c r="F260" s="21"/>
      <c r="G260" s="23"/>
      <c r="H260" s="24"/>
      <c r="I260" s="22"/>
      <c r="J260" s="22"/>
      <c r="K260" s="22"/>
      <c r="L260" s="21"/>
      <c r="M260" s="20"/>
      <c r="N260" s="20"/>
      <c r="O260" s="23"/>
      <c r="P260" s="21"/>
      <c r="Q260" s="20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1"/>
      <c r="AU260" s="25" t="str">
        <f t="shared" si="6"/>
        <v>1Q42</v>
      </c>
      <c r="AV260" t="str">
        <f t="shared" si="7"/>
        <v>1Q42</v>
      </c>
      <c r="BA260">
        <f ca="1">IF(COUNTBLANK(C260)=0,COUNTA(INDIRECT(CONCATENATE("Area!",LEFT(ADDRESS(1,MATCH(C260,Area!$1:$1,0),4),1),"2:",LEFT(ADDRESS(1,MATCH(C260,Area!$1:$1,0),4),1),"99"))),0)</f>
        <v>0</v>
      </c>
      <c r="BB260">
        <f ca="1">IF(COUNTBLANK(D260)=0,COUNTA(INDIRECT(CONCATENATE("Setup!",LEFT(ADDRESS(1,MATCH(CONCATENATE(C260,":",D260),Setup!$1:$1,0),4),1),"2:",LEFT(ADDRESS(1,MATCH(CONCATENATE(C260,":",D260),Setup!$1:$1,0),4),1),"99"))),0)</f>
        <v>0</v>
      </c>
      <c r="BC260">
        <f ca="1">IF(COUNTBLANK(E260)=0,COUNTA(INDIRECT(CONCATENATE("Comp!",SUBSTITUTE(ADDRESS(1,MATCH(CONCATENATE(C260,":",D260,":",E260),Comp!$1:$1,0),4),"1",""),"2:",SUBSTITUTE(ADDRESS(1,MATCH(CONCATENATE(C260,":",D260,":",E260),Comp!$1:$1,0),4),"1",""),"99"))),0)</f>
        <v>0</v>
      </c>
    </row>
    <row r="261" spans="1:55">
      <c r="A261" s="20" t="s">
        <v>73</v>
      </c>
      <c r="B261" s="21"/>
      <c r="C261" s="20"/>
      <c r="D261" s="22"/>
      <c r="E261" s="22"/>
      <c r="F261" s="21"/>
      <c r="G261" s="23"/>
      <c r="H261" s="24"/>
      <c r="I261" s="22"/>
      <c r="J261" s="22"/>
      <c r="K261" s="22"/>
      <c r="L261" s="21"/>
      <c r="M261" s="20"/>
      <c r="N261" s="20"/>
      <c r="O261" s="23"/>
      <c r="P261" s="21"/>
      <c r="Q261" s="20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1"/>
      <c r="AU261" s="25" t="str">
        <f t="shared" si="6"/>
        <v>1Q42</v>
      </c>
      <c r="AV261" t="str">
        <f t="shared" si="7"/>
        <v>1Q42</v>
      </c>
      <c r="BA261">
        <f ca="1">IF(COUNTBLANK(C261)=0,COUNTA(INDIRECT(CONCATENATE("Area!",LEFT(ADDRESS(1,MATCH(C261,Area!$1:$1,0),4),1),"2:",LEFT(ADDRESS(1,MATCH(C261,Area!$1:$1,0),4),1),"99"))),0)</f>
        <v>0</v>
      </c>
      <c r="BB261">
        <f ca="1">IF(COUNTBLANK(D261)=0,COUNTA(INDIRECT(CONCATENATE("Setup!",LEFT(ADDRESS(1,MATCH(CONCATENATE(C261,":",D261),Setup!$1:$1,0),4),1),"2:",LEFT(ADDRESS(1,MATCH(CONCATENATE(C261,":",D261),Setup!$1:$1,0),4),1),"99"))),0)</f>
        <v>0</v>
      </c>
      <c r="BC261">
        <f ca="1">IF(COUNTBLANK(E261)=0,COUNTA(INDIRECT(CONCATENATE("Comp!",SUBSTITUTE(ADDRESS(1,MATCH(CONCATENATE(C261,":",D261,":",E261),Comp!$1:$1,0),4),"1",""),"2:",SUBSTITUTE(ADDRESS(1,MATCH(CONCATENATE(C261,":",D261,":",E261),Comp!$1:$1,0),4),"1",""),"99"))),0)</f>
        <v>0</v>
      </c>
    </row>
    <row r="262" spans="1:55">
      <c r="A262" s="20" t="s">
        <v>73</v>
      </c>
      <c r="B262" s="21"/>
      <c r="C262" s="20"/>
      <c r="D262" s="22"/>
      <c r="E262" s="22"/>
      <c r="F262" s="21"/>
      <c r="G262" s="23"/>
      <c r="H262" s="24"/>
      <c r="I262" s="22"/>
      <c r="J262" s="22"/>
      <c r="K262" s="22"/>
      <c r="L262" s="21"/>
      <c r="M262" s="20"/>
      <c r="N262" s="20"/>
      <c r="O262" s="23"/>
      <c r="P262" s="21"/>
      <c r="Q262" s="20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1"/>
      <c r="AU262" s="25" t="str">
        <f t="shared" si="6"/>
        <v>1Q42</v>
      </c>
      <c r="AV262" t="str">
        <f t="shared" si="7"/>
        <v>1Q42</v>
      </c>
      <c r="BA262">
        <f ca="1">IF(COUNTBLANK(C262)=0,COUNTA(INDIRECT(CONCATENATE("Area!",LEFT(ADDRESS(1,MATCH(C262,Area!$1:$1,0),4),1),"2:",LEFT(ADDRESS(1,MATCH(C262,Area!$1:$1,0),4),1),"99"))),0)</f>
        <v>0</v>
      </c>
      <c r="BB262">
        <f ca="1">IF(COUNTBLANK(D262)=0,COUNTA(INDIRECT(CONCATENATE("Setup!",LEFT(ADDRESS(1,MATCH(CONCATENATE(C262,":",D262),Setup!$1:$1,0),4),1),"2:",LEFT(ADDRESS(1,MATCH(CONCATENATE(C262,":",D262),Setup!$1:$1,0),4),1),"99"))),0)</f>
        <v>0</v>
      </c>
      <c r="BC262">
        <f ca="1">IF(COUNTBLANK(E262)=0,COUNTA(INDIRECT(CONCATENATE("Comp!",SUBSTITUTE(ADDRESS(1,MATCH(CONCATENATE(C262,":",D262,":",E262),Comp!$1:$1,0),4),"1",""),"2:",SUBSTITUTE(ADDRESS(1,MATCH(CONCATENATE(C262,":",D262,":",E262),Comp!$1:$1,0),4),"1",""),"99"))),0)</f>
        <v>0</v>
      </c>
    </row>
    <row r="263" spans="1:55">
      <c r="A263" s="20" t="s">
        <v>73</v>
      </c>
      <c r="B263" s="21"/>
      <c r="C263" s="20"/>
      <c r="D263" s="22"/>
      <c r="E263" s="22"/>
      <c r="F263" s="21"/>
      <c r="G263" s="23"/>
      <c r="H263" s="24"/>
      <c r="I263" s="22"/>
      <c r="J263" s="22"/>
      <c r="K263" s="22"/>
      <c r="L263" s="21"/>
      <c r="M263" s="20"/>
      <c r="N263" s="20"/>
      <c r="O263" s="23"/>
      <c r="P263" s="21"/>
      <c r="Q263" s="20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1"/>
      <c r="AU263" s="25" t="str">
        <f t="shared" si="6"/>
        <v>1Q42</v>
      </c>
      <c r="AV263" t="str">
        <f t="shared" si="7"/>
        <v>1Q42</v>
      </c>
      <c r="BA263">
        <f ca="1">IF(COUNTBLANK(C263)=0,COUNTA(INDIRECT(CONCATENATE("Area!",LEFT(ADDRESS(1,MATCH(C263,Area!$1:$1,0),4),1),"2:",LEFT(ADDRESS(1,MATCH(C263,Area!$1:$1,0),4),1),"99"))),0)</f>
        <v>0</v>
      </c>
      <c r="BB263">
        <f ca="1">IF(COUNTBLANK(D263)=0,COUNTA(INDIRECT(CONCATENATE("Setup!",LEFT(ADDRESS(1,MATCH(CONCATENATE(C263,":",D263),Setup!$1:$1,0),4),1),"2:",LEFT(ADDRESS(1,MATCH(CONCATENATE(C263,":",D263),Setup!$1:$1,0),4),1),"99"))),0)</f>
        <v>0</v>
      </c>
      <c r="BC263">
        <f ca="1">IF(COUNTBLANK(E263)=0,COUNTA(INDIRECT(CONCATENATE("Comp!",SUBSTITUTE(ADDRESS(1,MATCH(CONCATENATE(C263,":",D263,":",E263),Comp!$1:$1,0),4),"1",""),"2:",SUBSTITUTE(ADDRESS(1,MATCH(CONCATENATE(C263,":",D263,":",E263),Comp!$1:$1,0),4),"1",""),"99"))),0)</f>
        <v>0</v>
      </c>
    </row>
    <row r="264" spans="1:55">
      <c r="A264" s="20" t="s">
        <v>73</v>
      </c>
      <c r="B264" s="21"/>
      <c r="C264" s="20"/>
      <c r="D264" s="22"/>
      <c r="E264" s="22"/>
      <c r="F264" s="21"/>
      <c r="G264" s="23"/>
      <c r="H264" s="24"/>
      <c r="I264" s="22"/>
      <c r="J264" s="22"/>
      <c r="K264" s="22"/>
      <c r="L264" s="21"/>
      <c r="M264" s="20"/>
      <c r="N264" s="20"/>
      <c r="O264" s="23"/>
      <c r="P264" s="21"/>
      <c r="Q264" s="20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1"/>
      <c r="AU264" s="25" t="str">
        <f t="shared" si="6"/>
        <v>1Q42</v>
      </c>
      <c r="AV264" t="str">
        <f t="shared" si="7"/>
        <v>1Q42</v>
      </c>
      <c r="BA264">
        <f ca="1">IF(COUNTBLANK(C264)=0,COUNTA(INDIRECT(CONCATENATE("Area!",LEFT(ADDRESS(1,MATCH(C264,Area!$1:$1,0),4),1),"2:",LEFT(ADDRESS(1,MATCH(C264,Area!$1:$1,0),4),1),"99"))),0)</f>
        <v>0</v>
      </c>
      <c r="BB264">
        <f ca="1">IF(COUNTBLANK(D264)=0,COUNTA(INDIRECT(CONCATENATE("Setup!",LEFT(ADDRESS(1,MATCH(CONCATENATE(C264,":",D264),Setup!$1:$1,0),4),1),"2:",LEFT(ADDRESS(1,MATCH(CONCATENATE(C264,":",D264),Setup!$1:$1,0),4),1),"99"))),0)</f>
        <v>0</v>
      </c>
      <c r="BC264">
        <f ca="1">IF(COUNTBLANK(E264)=0,COUNTA(INDIRECT(CONCATENATE("Comp!",SUBSTITUTE(ADDRESS(1,MATCH(CONCATENATE(C264,":",D264,":",E264),Comp!$1:$1,0),4),"1",""),"2:",SUBSTITUTE(ADDRESS(1,MATCH(CONCATENATE(C264,":",D264,":",E264),Comp!$1:$1,0),4),"1",""),"99"))),0)</f>
        <v>0</v>
      </c>
    </row>
    <row r="265" spans="1:55">
      <c r="A265" s="20" t="s">
        <v>73</v>
      </c>
      <c r="B265" s="21"/>
      <c r="C265" s="20"/>
      <c r="D265" s="22"/>
      <c r="E265" s="22"/>
      <c r="F265" s="21"/>
      <c r="G265" s="23"/>
      <c r="H265" s="24"/>
      <c r="I265" s="22"/>
      <c r="J265" s="22"/>
      <c r="K265" s="22"/>
      <c r="L265" s="21"/>
      <c r="M265" s="20"/>
      <c r="N265" s="20"/>
      <c r="O265" s="23"/>
      <c r="P265" s="21"/>
      <c r="Q265" s="20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1"/>
      <c r="AU265" s="25" t="str">
        <f t="shared" ref="AU265:AU328" si="8">CONCATENATE(A265,B265)</f>
        <v>1Q42</v>
      </c>
      <c r="AV265" t="str">
        <f t="shared" ref="AV265:AV328" si="9">CONCATENATE(A265,B265)</f>
        <v>1Q42</v>
      </c>
      <c r="BA265">
        <f ca="1">IF(COUNTBLANK(C265)=0,COUNTA(INDIRECT(CONCATENATE("Area!",LEFT(ADDRESS(1,MATCH(C265,Area!$1:$1,0),4),1),"2:",LEFT(ADDRESS(1,MATCH(C265,Area!$1:$1,0),4),1),"99"))),0)</f>
        <v>0</v>
      </c>
      <c r="BB265">
        <f ca="1">IF(COUNTBLANK(D265)=0,COUNTA(INDIRECT(CONCATENATE("Setup!",LEFT(ADDRESS(1,MATCH(CONCATENATE(C265,":",D265),Setup!$1:$1,0),4),1),"2:",LEFT(ADDRESS(1,MATCH(CONCATENATE(C265,":",D265),Setup!$1:$1,0),4),1),"99"))),0)</f>
        <v>0</v>
      </c>
      <c r="BC265">
        <f ca="1">IF(COUNTBLANK(E265)=0,COUNTA(INDIRECT(CONCATENATE("Comp!",SUBSTITUTE(ADDRESS(1,MATCH(CONCATENATE(C265,":",D265,":",E265),Comp!$1:$1,0),4),"1",""),"2:",SUBSTITUTE(ADDRESS(1,MATCH(CONCATENATE(C265,":",D265,":",E265),Comp!$1:$1,0),4),"1",""),"99"))),0)</f>
        <v>0</v>
      </c>
    </row>
    <row r="266" spans="1:55">
      <c r="A266" s="20" t="s">
        <v>73</v>
      </c>
      <c r="B266" s="21"/>
      <c r="C266" s="20"/>
      <c r="D266" s="22"/>
      <c r="E266" s="22"/>
      <c r="F266" s="21"/>
      <c r="G266" s="23"/>
      <c r="H266" s="24"/>
      <c r="I266" s="22"/>
      <c r="J266" s="22"/>
      <c r="K266" s="22"/>
      <c r="L266" s="21"/>
      <c r="M266" s="20"/>
      <c r="N266" s="20"/>
      <c r="O266" s="23"/>
      <c r="P266" s="21"/>
      <c r="Q266" s="20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1"/>
      <c r="AU266" s="25" t="str">
        <f t="shared" si="8"/>
        <v>1Q42</v>
      </c>
      <c r="AV266" t="str">
        <f t="shared" si="9"/>
        <v>1Q42</v>
      </c>
      <c r="BA266">
        <f ca="1">IF(COUNTBLANK(C266)=0,COUNTA(INDIRECT(CONCATENATE("Area!",LEFT(ADDRESS(1,MATCH(C266,Area!$1:$1,0),4),1),"2:",LEFT(ADDRESS(1,MATCH(C266,Area!$1:$1,0),4),1),"99"))),0)</f>
        <v>0</v>
      </c>
      <c r="BB266">
        <f ca="1">IF(COUNTBLANK(D266)=0,COUNTA(INDIRECT(CONCATENATE("Setup!",LEFT(ADDRESS(1,MATCH(CONCATENATE(C266,":",D266),Setup!$1:$1,0),4),1),"2:",LEFT(ADDRESS(1,MATCH(CONCATENATE(C266,":",D266),Setup!$1:$1,0),4),1),"99"))),0)</f>
        <v>0</v>
      </c>
      <c r="BC266">
        <f ca="1">IF(COUNTBLANK(E266)=0,COUNTA(INDIRECT(CONCATENATE("Comp!",SUBSTITUTE(ADDRESS(1,MATCH(CONCATENATE(C266,":",D266,":",E266),Comp!$1:$1,0),4),"1",""),"2:",SUBSTITUTE(ADDRESS(1,MATCH(CONCATENATE(C266,":",D266,":",E266),Comp!$1:$1,0),4),"1",""),"99"))),0)</f>
        <v>0</v>
      </c>
    </row>
    <row r="267" spans="1:55">
      <c r="A267" s="20" t="s">
        <v>73</v>
      </c>
      <c r="B267" s="21"/>
      <c r="C267" s="20"/>
      <c r="D267" s="22"/>
      <c r="E267" s="22"/>
      <c r="F267" s="21"/>
      <c r="G267" s="23"/>
      <c r="H267" s="24"/>
      <c r="I267" s="22"/>
      <c r="J267" s="22"/>
      <c r="K267" s="22"/>
      <c r="L267" s="21"/>
      <c r="M267" s="20"/>
      <c r="N267" s="20"/>
      <c r="O267" s="23"/>
      <c r="P267" s="21"/>
      <c r="Q267" s="20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1"/>
      <c r="AU267" s="25" t="str">
        <f t="shared" si="8"/>
        <v>1Q42</v>
      </c>
      <c r="AV267" t="str">
        <f t="shared" si="9"/>
        <v>1Q42</v>
      </c>
      <c r="BA267">
        <f ca="1">IF(COUNTBLANK(C267)=0,COUNTA(INDIRECT(CONCATENATE("Area!",LEFT(ADDRESS(1,MATCH(C267,Area!$1:$1,0),4),1),"2:",LEFT(ADDRESS(1,MATCH(C267,Area!$1:$1,0),4),1),"99"))),0)</f>
        <v>0</v>
      </c>
      <c r="BB267">
        <f ca="1">IF(COUNTBLANK(D267)=0,COUNTA(INDIRECT(CONCATENATE("Setup!",LEFT(ADDRESS(1,MATCH(CONCATENATE(C267,":",D267),Setup!$1:$1,0),4),1),"2:",LEFT(ADDRESS(1,MATCH(CONCATENATE(C267,":",D267),Setup!$1:$1,0),4),1),"99"))),0)</f>
        <v>0</v>
      </c>
      <c r="BC267">
        <f ca="1">IF(COUNTBLANK(E267)=0,COUNTA(INDIRECT(CONCATENATE("Comp!",SUBSTITUTE(ADDRESS(1,MATCH(CONCATENATE(C267,":",D267,":",E267),Comp!$1:$1,0),4),"1",""),"2:",SUBSTITUTE(ADDRESS(1,MATCH(CONCATENATE(C267,":",D267,":",E267),Comp!$1:$1,0),4),"1",""),"99"))),0)</f>
        <v>0</v>
      </c>
    </row>
    <row r="268" spans="1:55">
      <c r="A268" s="20" t="s">
        <v>73</v>
      </c>
      <c r="B268" s="21"/>
      <c r="C268" s="20"/>
      <c r="D268" s="22"/>
      <c r="E268" s="22"/>
      <c r="F268" s="21"/>
      <c r="G268" s="23"/>
      <c r="H268" s="24"/>
      <c r="I268" s="22"/>
      <c r="J268" s="22"/>
      <c r="K268" s="22"/>
      <c r="L268" s="21"/>
      <c r="M268" s="20"/>
      <c r="N268" s="20"/>
      <c r="O268" s="23"/>
      <c r="P268" s="21"/>
      <c r="Q268" s="20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1"/>
      <c r="AU268" s="25" t="str">
        <f t="shared" si="8"/>
        <v>1Q42</v>
      </c>
      <c r="AV268" t="str">
        <f t="shared" si="9"/>
        <v>1Q42</v>
      </c>
      <c r="BA268">
        <f ca="1">IF(COUNTBLANK(C268)=0,COUNTA(INDIRECT(CONCATENATE("Area!",LEFT(ADDRESS(1,MATCH(C268,Area!$1:$1,0),4),1),"2:",LEFT(ADDRESS(1,MATCH(C268,Area!$1:$1,0),4),1),"99"))),0)</f>
        <v>0</v>
      </c>
      <c r="BB268">
        <f ca="1">IF(COUNTBLANK(D268)=0,COUNTA(INDIRECT(CONCATENATE("Setup!",LEFT(ADDRESS(1,MATCH(CONCATENATE(C268,":",D268),Setup!$1:$1,0),4),1),"2:",LEFT(ADDRESS(1,MATCH(CONCATENATE(C268,":",D268),Setup!$1:$1,0),4),1),"99"))),0)</f>
        <v>0</v>
      </c>
      <c r="BC268">
        <f ca="1">IF(COUNTBLANK(E268)=0,COUNTA(INDIRECT(CONCATENATE("Comp!",SUBSTITUTE(ADDRESS(1,MATCH(CONCATENATE(C268,":",D268,":",E268),Comp!$1:$1,0),4),"1",""),"2:",SUBSTITUTE(ADDRESS(1,MATCH(CONCATENATE(C268,":",D268,":",E268),Comp!$1:$1,0),4),"1",""),"99"))),0)</f>
        <v>0</v>
      </c>
    </row>
    <row r="269" spans="1:55">
      <c r="A269" s="20" t="s">
        <v>73</v>
      </c>
      <c r="B269" s="21"/>
      <c r="C269" s="20"/>
      <c r="D269" s="22"/>
      <c r="E269" s="22"/>
      <c r="F269" s="21"/>
      <c r="G269" s="23"/>
      <c r="H269" s="24"/>
      <c r="I269" s="22"/>
      <c r="J269" s="22"/>
      <c r="K269" s="22"/>
      <c r="L269" s="21"/>
      <c r="M269" s="20"/>
      <c r="N269" s="20"/>
      <c r="O269" s="23"/>
      <c r="P269" s="21"/>
      <c r="Q269" s="20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1"/>
      <c r="AU269" s="25" t="str">
        <f t="shared" si="8"/>
        <v>1Q42</v>
      </c>
      <c r="AV269" t="str">
        <f t="shared" si="9"/>
        <v>1Q42</v>
      </c>
      <c r="BA269">
        <f ca="1">IF(COUNTBLANK(C269)=0,COUNTA(INDIRECT(CONCATENATE("Area!",LEFT(ADDRESS(1,MATCH(C269,Area!$1:$1,0),4),1),"2:",LEFT(ADDRESS(1,MATCH(C269,Area!$1:$1,0),4),1),"99"))),0)</f>
        <v>0</v>
      </c>
      <c r="BB269">
        <f ca="1">IF(COUNTBLANK(D269)=0,COUNTA(INDIRECT(CONCATENATE("Setup!",LEFT(ADDRESS(1,MATCH(CONCATENATE(C269,":",D269),Setup!$1:$1,0),4),1),"2:",LEFT(ADDRESS(1,MATCH(CONCATENATE(C269,":",D269),Setup!$1:$1,0),4),1),"99"))),0)</f>
        <v>0</v>
      </c>
      <c r="BC269">
        <f ca="1">IF(COUNTBLANK(E269)=0,COUNTA(INDIRECT(CONCATENATE("Comp!",SUBSTITUTE(ADDRESS(1,MATCH(CONCATENATE(C269,":",D269,":",E269),Comp!$1:$1,0),4),"1",""),"2:",SUBSTITUTE(ADDRESS(1,MATCH(CONCATENATE(C269,":",D269,":",E269),Comp!$1:$1,0),4),"1",""),"99"))),0)</f>
        <v>0</v>
      </c>
    </row>
    <row r="270" spans="1:55">
      <c r="A270" s="20" t="s">
        <v>73</v>
      </c>
      <c r="B270" s="21"/>
      <c r="C270" s="20"/>
      <c r="D270" s="22"/>
      <c r="E270" s="22"/>
      <c r="F270" s="21"/>
      <c r="G270" s="23"/>
      <c r="H270" s="24"/>
      <c r="I270" s="22"/>
      <c r="J270" s="22"/>
      <c r="K270" s="22"/>
      <c r="L270" s="21"/>
      <c r="M270" s="20"/>
      <c r="N270" s="20"/>
      <c r="O270" s="23"/>
      <c r="P270" s="21"/>
      <c r="Q270" s="20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1"/>
      <c r="AU270" s="25" t="str">
        <f t="shared" si="8"/>
        <v>1Q42</v>
      </c>
      <c r="AV270" t="str">
        <f t="shared" si="9"/>
        <v>1Q42</v>
      </c>
      <c r="BA270">
        <f ca="1">IF(COUNTBLANK(C270)=0,COUNTA(INDIRECT(CONCATENATE("Area!",LEFT(ADDRESS(1,MATCH(C270,Area!$1:$1,0),4),1),"2:",LEFT(ADDRESS(1,MATCH(C270,Area!$1:$1,0),4),1),"99"))),0)</f>
        <v>0</v>
      </c>
      <c r="BB270">
        <f ca="1">IF(COUNTBLANK(D270)=0,COUNTA(INDIRECT(CONCATENATE("Setup!",LEFT(ADDRESS(1,MATCH(CONCATENATE(C270,":",D270),Setup!$1:$1,0),4),1),"2:",LEFT(ADDRESS(1,MATCH(CONCATENATE(C270,":",D270),Setup!$1:$1,0),4),1),"99"))),0)</f>
        <v>0</v>
      </c>
      <c r="BC270">
        <f ca="1">IF(COUNTBLANK(E270)=0,COUNTA(INDIRECT(CONCATENATE("Comp!",SUBSTITUTE(ADDRESS(1,MATCH(CONCATENATE(C270,":",D270,":",E270),Comp!$1:$1,0),4),"1",""),"2:",SUBSTITUTE(ADDRESS(1,MATCH(CONCATENATE(C270,":",D270,":",E270),Comp!$1:$1,0),4),"1",""),"99"))),0)</f>
        <v>0</v>
      </c>
    </row>
    <row r="271" spans="1:55">
      <c r="A271" s="20" t="s">
        <v>73</v>
      </c>
      <c r="B271" s="21"/>
      <c r="C271" s="20"/>
      <c r="D271" s="22"/>
      <c r="E271" s="22"/>
      <c r="F271" s="21"/>
      <c r="G271" s="23"/>
      <c r="H271" s="24"/>
      <c r="I271" s="22"/>
      <c r="J271" s="22"/>
      <c r="K271" s="22"/>
      <c r="L271" s="21"/>
      <c r="M271" s="20"/>
      <c r="N271" s="20"/>
      <c r="O271" s="23"/>
      <c r="P271" s="21"/>
      <c r="Q271" s="20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1"/>
      <c r="AU271" s="25" t="str">
        <f t="shared" si="8"/>
        <v>1Q42</v>
      </c>
      <c r="AV271" t="str">
        <f t="shared" si="9"/>
        <v>1Q42</v>
      </c>
      <c r="BA271">
        <f ca="1">IF(COUNTBLANK(C271)=0,COUNTA(INDIRECT(CONCATENATE("Area!",LEFT(ADDRESS(1,MATCH(C271,Area!$1:$1,0),4),1),"2:",LEFT(ADDRESS(1,MATCH(C271,Area!$1:$1,0),4),1),"99"))),0)</f>
        <v>0</v>
      </c>
      <c r="BB271">
        <f ca="1">IF(COUNTBLANK(D271)=0,COUNTA(INDIRECT(CONCATENATE("Setup!",LEFT(ADDRESS(1,MATCH(CONCATENATE(C271,":",D271),Setup!$1:$1,0),4),1),"2:",LEFT(ADDRESS(1,MATCH(CONCATENATE(C271,":",D271),Setup!$1:$1,0),4),1),"99"))),0)</f>
        <v>0</v>
      </c>
      <c r="BC271">
        <f ca="1">IF(COUNTBLANK(E271)=0,COUNTA(INDIRECT(CONCATENATE("Comp!",SUBSTITUTE(ADDRESS(1,MATCH(CONCATENATE(C271,":",D271,":",E271),Comp!$1:$1,0),4),"1",""),"2:",SUBSTITUTE(ADDRESS(1,MATCH(CONCATENATE(C271,":",D271,":",E271),Comp!$1:$1,0),4),"1",""),"99"))),0)</f>
        <v>0</v>
      </c>
    </row>
    <row r="272" spans="1:55">
      <c r="A272" s="20" t="s">
        <v>73</v>
      </c>
      <c r="B272" s="21"/>
      <c r="C272" s="20"/>
      <c r="D272" s="22"/>
      <c r="E272" s="22"/>
      <c r="F272" s="21"/>
      <c r="G272" s="23"/>
      <c r="H272" s="24"/>
      <c r="I272" s="22"/>
      <c r="J272" s="22"/>
      <c r="K272" s="22"/>
      <c r="L272" s="21"/>
      <c r="M272" s="20"/>
      <c r="N272" s="20"/>
      <c r="O272" s="23"/>
      <c r="P272" s="21"/>
      <c r="Q272" s="20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1"/>
      <c r="AU272" s="25" t="str">
        <f t="shared" si="8"/>
        <v>1Q42</v>
      </c>
      <c r="AV272" t="str">
        <f t="shared" si="9"/>
        <v>1Q42</v>
      </c>
      <c r="BA272">
        <f ca="1">IF(COUNTBLANK(C272)=0,COUNTA(INDIRECT(CONCATENATE("Area!",LEFT(ADDRESS(1,MATCH(C272,Area!$1:$1,0),4),1),"2:",LEFT(ADDRESS(1,MATCH(C272,Area!$1:$1,0),4),1),"99"))),0)</f>
        <v>0</v>
      </c>
      <c r="BB272">
        <f ca="1">IF(COUNTBLANK(D272)=0,COUNTA(INDIRECT(CONCATENATE("Setup!",LEFT(ADDRESS(1,MATCH(CONCATENATE(C272,":",D272),Setup!$1:$1,0),4),1),"2:",LEFT(ADDRESS(1,MATCH(CONCATENATE(C272,":",D272),Setup!$1:$1,0),4),1),"99"))),0)</f>
        <v>0</v>
      </c>
      <c r="BC272">
        <f ca="1">IF(COUNTBLANK(E272)=0,COUNTA(INDIRECT(CONCATENATE("Comp!",SUBSTITUTE(ADDRESS(1,MATCH(CONCATENATE(C272,":",D272,":",E272),Comp!$1:$1,0),4),"1",""),"2:",SUBSTITUTE(ADDRESS(1,MATCH(CONCATENATE(C272,":",D272,":",E272),Comp!$1:$1,0),4),"1",""),"99"))),0)</f>
        <v>0</v>
      </c>
    </row>
    <row r="273" spans="1:55">
      <c r="A273" s="20" t="s">
        <v>73</v>
      </c>
      <c r="B273" s="21"/>
      <c r="C273" s="20"/>
      <c r="D273" s="22"/>
      <c r="E273" s="22"/>
      <c r="F273" s="21"/>
      <c r="G273" s="23"/>
      <c r="H273" s="24"/>
      <c r="I273" s="22"/>
      <c r="J273" s="22"/>
      <c r="K273" s="22"/>
      <c r="L273" s="21"/>
      <c r="M273" s="20"/>
      <c r="N273" s="20"/>
      <c r="O273" s="23"/>
      <c r="P273" s="21"/>
      <c r="Q273" s="20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1"/>
      <c r="AU273" s="25" t="str">
        <f t="shared" si="8"/>
        <v>1Q42</v>
      </c>
      <c r="AV273" t="str">
        <f t="shared" si="9"/>
        <v>1Q42</v>
      </c>
      <c r="BA273">
        <f ca="1">IF(COUNTBLANK(C273)=0,COUNTA(INDIRECT(CONCATENATE("Area!",LEFT(ADDRESS(1,MATCH(C273,Area!$1:$1,0),4),1),"2:",LEFT(ADDRESS(1,MATCH(C273,Area!$1:$1,0),4),1),"99"))),0)</f>
        <v>0</v>
      </c>
      <c r="BB273">
        <f ca="1">IF(COUNTBLANK(D273)=0,COUNTA(INDIRECT(CONCATENATE("Setup!",LEFT(ADDRESS(1,MATCH(CONCATENATE(C273,":",D273),Setup!$1:$1,0),4),1),"2:",LEFT(ADDRESS(1,MATCH(CONCATENATE(C273,":",D273),Setup!$1:$1,0),4),1),"99"))),0)</f>
        <v>0</v>
      </c>
      <c r="BC273">
        <f ca="1">IF(COUNTBLANK(E273)=0,COUNTA(INDIRECT(CONCATENATE("Comp!",SUBSTITUTE(ADDRESS(1,MATCH(CONCATENATE(C273,":",D273,":",E273),Comp!$1:$1,0),4),"1",""),"2:",SUBSTITUTE(ADDRESS(1,MATCH(CONCATENATE(C273,":",D273,":",E273),Comp!$1:$1,0),4),"1",""),"99"))),0)</f>
        <v>0</v>
      </c>
    </row>
    <row r="274" spans="1:55">
      <c r="A274" s="20" t="s">
        <v>73</v>
      </c>
      <c r="B274" s="21"/>
      <c r="C274" s="20"/>
      <c r="D274" s="22"/>
      <c r="E274" s="22"/>
      <c r="F274" s="21"/>
      <c r="G274" s="23"/>
      <c r="H274" s="24"/>
      <c r="I274" s="22"/>
      <c r="J274" s="22"/>
      <c r="K274" s="22"/>
      <c r="L274" s="21"/>
      <c r="M274" s="20"/>
      <c r="N274" s="20"/>
      <c r="O274" s="23"/>
      <c r="P274" s="21"/>
      <c r="Q274" s="20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1"/>
      <c r="AU274" s="25" t="str">
        <f t="shared" si="8"/>
        <v>1Q42</v>
      </c>
      <c r="AV274" t="str">
        <f t="shared" si="9"/>
        <v>1Q42</v>
      </c>
      <c r="BA274">
        <f ca="1">IF(COUNTBLANK(C274)=0,COUNTA(INDIRECT(CONCATENATE("Area!",LEFT(ADDRESS(1,MATCH(C274,Area!$1:$1,0),4),1),"2:",LEFT(ADDRESS(1,MATCH(C274,Area!$1:$1,0),4),1),"99"))),0)</f>
        <v>0</v>
      </c>
      <c r="BB274">
        <f ca="1">IF(COUNTBLANK(D274)=0,COUNTA(INDIRECT(CONCATENATE("Setup!",LEFT(ADDRESS(1,MATCH(CONCATENATE(C274,":",D274),Setup!$1:$1,0),4),1),"2:",LEFT(ADDRESS(1,MATCH(CONCATENATE(C274,":",D274),Setup!$1:$1,0),4),1),"99"))),0)</f>
        <v>0</v>
      </c>
      <c r="BC274">
        <f ca="1">IF(COUNTBLANK(E274)=0,COUNTA(INDIRECT(CONCATENATE("Comp!",SUBSTITUTE(ADDRESS(1,MATCH(CONCATENATE(C274,":",D274,":",E274),Comp!$1:$1,0),4),"1",""),"2:",SUBSTITUTE(ADDRESS(1,MATCH(CONCATENATE(C274,":",D274,":",E274),Comp!$1:$1,0),4),"1",""),"99"))),0)</f>
        <v>0</v>
      </c>
    </row>
    <row r="275" spans="1:55">
      <c r="A275" s="20" t="s">
        <v>73</v>
      </c>
      <c r="B275" s="21"/>
      <c r="C275" s="20"/>
      <c r="D275" s="22"/>
      <c r="E275" s="22"/>
      <c r="F275" s="21"/>
      <c r="G275" s="23"/>
      <c r="H275" s="24"/>
      <c r="I275" s="22"/>
      <c r="J275" s="22"/>
      <c r="K275" s="22"/>
      <c r="L275" s="21"/>
      <c r="M275" s="20"/>
      <c r="N275" s="20"/>
      <c r="O275" s="23"/>
      <c r="P275" s="21"/>
      <c r="Q275" s="20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1"/>
      <c r="AU275" s="25" t="str">
        <f t="shared" si="8"/>
        <v>1Q42</v>
      </c>
      <c r="AV275" t="str">
        <f t="shared" si="9"/>
        <v>1Q42</v>
      </c>
      <c r="BA275">
        <f ca="1">IF(COUNTBLANK(C275)=0,COUNTA(INDIRECT(CONCATENATE("Area!",LEFT(ADDRESS(1,MATCH(C275,Area!$1:$1,0),4),1),"2:",LEFT(ADDRESS(1,MATCH(C275,Area!$1:$1,0),4),1),"99"))),0)</f>
        <v>0</v>
      </c>
      <c r="BB275">
        <f ca="1">IF(COUNTBLANK(D275)=0,COUNTA(INDIRECT(CONCATENATE("Setup!",LEFT(ADDRESS(1,MATCH(CONCATENATE(C275,":",D275),Setup!$1:$1,0),4),1),"2:",LEFT(ADDRESS(1,MATCH(CONCATENATE(C275,":",D275),Setup!$1:$1,0),4),1),"99"))),0)</f>
        <v>0</v>
      </c>
      <c r="BC275">
        <f ca="1">IF(COUNTBLANK(E275)=0,COUNTA(INDIRECT(CONCATENATE("Comp!",SUBSTITUTE(ADDRESS(1,MATCH(CONCATENATE(C275,":",D275,":",E275),Comp!$1:$1,0),4),"1",""),"2:",SUBSTITUTE(ADDRESS(1,MATCH(CONCATENATE(C275,":",D275,":",E275),Comp!$1:$1,0),4),"1",""),"99"))),0)</f>
        <v>0</v>
      </c>
    </row>
    <row r="276" spans="1:55">
      <c r="A276" s="20" t="s">
        <v>73</v>
      </c>
      <c r="B276" s="21"/>
      <c r="C276" s="20"/>
      <c r="D276" s="22"/>
      <c r="E276" s="22"/>
      <c r="F276" s="21"/>
      <c r="G276" s="23"/>
      <c r="H276" s="24"/>
      <c r="I276" s="22"/>
      <c r="J276" s="22"/>
      <c r="K276" s="22"/>
      <c r="L276" s="21"/>
      <c r="M276" s="20"/>
      <c r="N276" s="20"/>
      <c r="O276" s="23"/>
      <c r="P276" s="21"/>
      <c r="Q276" s="20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1"/>
      <c r="AU276" s="25" t="str">
        <f t="shared" si="8"/>
        <v>1Q42</v>
      </c>
      <c r="AV276" t="str">
        <f t="shared" si="9"/>
        <v>1Q42</v>
      </c>
      <c r="BA276">
        <f ca="1">IF(COUNTBLANK(C276)=0,COUNTA(INDIRECT(CONCATENATE("Area!",LEFT(ADDRESS(1,MATCH(C276,Area!$1:$1,0),4),1),"2:",LEFT(ADDRESS(1,MATCH(C276,Area!$1:$1,0),4),1),"99"))),0)</f>
        <v>0</v>
      </c>
      <c r="BB276">
        <f ca="1">IF(COUNTBLANK(D276)=0,COUNTA(INDIRECT(CONCATENATE("Setup!",LEFT(ADDRESS(1,MATCH(CONCATENATE(C276,":",D276),Setup!$1:$1,0),4),1),"2:",LEFT(ADDRESS(1,MATCH(CONCATENATE(C276,":",D276),Setup!$1:$1,0),4),1),"99"))),0)</f>
        <v>0</v>
      </c>
      <c r="BC276">
        <f ca="1">IF(COUNTBLANK(E276)=0,COUNTA(INDIRECT(CONCATENATE("Comp!",SUBSTITUTE(ADDRESS(1,MATCH(CONCATENATE(C276,":",D276,":",E276),Comp!$1:$1,0),4),"1",""),"2:",SUBSTITUTE(ADDRESS(1,MATCH(CONCATENATE(C276,":",D276,":",E276),Comp!$1:$1,0),4),"1",""),"99"))),0)</f>
        <v>0</v>
      </c>
    </row>
    <row r="277" spans="1:55">
      <c r="A277" s="20" t="s">
        <v>73</v>
      </c>
      <c r="B277" s="21"/>
      <c r="C277" s="20"/>
      <c r="D277" s="22"/>
      <c r="E277" s="22"/>
      <c r="F277" s="21"/>
      <c r="G277" s="23"/>
      <c r="H277" s="24"/>
      <c r="I277" s="22"/>
      <c r="J277" s="22"/>
      <c r="K277" s="22"/>
      <c r="L277" s="21"/>
      <c r="M277" s="20"/>
      <c r="N277" s="20"/>
      <c r="O277" s="23"/>
      <c r="P277" s="21"/>
      <c r="Q277" s="20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1"/>
      <c r="AU277" s="25" t="str">
        <f t="shared" si="8"/>
        <v>1Q42</v>
      </c>
      <c r="AV277" t="str">
        <f t="shared" si="9"/>
        <v>1Q42</v>
      </c>
      <c r="BA277">
        <f ca="1">IF(COUNTBLANK(C277)=0,COUNTA(INDIRECT(CONCATENATE("Area!",LEFT(ADDRESS(1,MATCH(C277,Area!$1:$1,0),4),1),"2:",LEFT(ADDRESS(1,MATCH(C277,Area!$1:$1,0),4),1),"99"))),0)</f>
        <v>0</v>
      </c>
      <c r="BB277">
        <f ca="1">IF(COUNTBLANK(D277)=0,COUNTA(INDIRECT(CONCATENATE("Setup!",LEFT(ADDRESS(1,MATCH(CONCATENATE(C277,":",D277),Setup!$1:$1,0),4),1),"2:",LEFT(ADDRESS(1,MATCH(CONCATENATE(C277,":",D277),Setup!$1:$1,0),4),1),"99"))),0)</f>
        <v>0</v>
      </c>
      <c r="BC277">
        <f ca="1">IF(COUNTBLANK(E277)=0,COUNTA(INDIRECT(CONCATENATE("Comp!",SUBSTITUTE(ADDRESS(1,MATCH(CONCATENATE(C277,":",D277,":",E277),Comp!$1:$1,0),4),"1",""),"2:",SUBSTITUTE(ADDRESS(1,MATCH(CONCATENATE(C277,":",D277,":",E277),Comp!$1:$1,0),4),"1",""),"99"))),0)</f>
        <v>0</v>
      </c>
    </row>
    <row r="278" spans="1:55">
      <c r="A278" s="20" t="s">
        <v>73</v>
      </c>
      <c r="B278" s="21"/>
      <c r="C278" s="20"/>
      <c r="D278" s="22"/>
      <c r="E278" s="22"/>
      <c r="F278" s="21"/>
      <c r="G278" s="23"/>
      <c r="H278" s="24"/>
      <c r="I278" s="22"/>
      <c r="J278" s="22"/>
      <c r="K278" s="22"/>
      <c r="L278" s="21"/>
      <c r="M278" s="20"/>
      <c r="N278" s="20"/>
      <c r="O278" s="23"/>
      <c r="P278" s="21"/>
      <c r="Q278" s="20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1"/>
      <c r="AU278" s="25" t="str">
        <f t="shared" si="8"/>
        <v>1Q42</v>
      </c>
      <c r="AV278" t="str">
        <f t="shared" si="9"/>
        <v>1Q42</v>
      </c>
      <c r="BA278">
        <f ca="1">IF(COUNTBLANK(C278)=0,COUNTA(INDIRECT(CONCATENATE("Area!",LEFT(ADDRESS(1,MATCH(C278,Area!$1:$1,0),4),1),"2:",LEFT(ADDRESS(1,MATCH(C278,Area!$1:$1,0),4),1),"99"))),0)</f>
        <v>0</v>
      </c>
      <c r="BB278">
        <f ca="1">IF(COUNTBLANK(D278)=0,COUNTA(INDIRECT(CONCATENATE("Setup!",LEFT(ADDRESS(1,MATCH(CONCATENATE(C278,":",D278),Setup!$1:$1,0),4),1),"2:",LEFT(ADDRESS(1,MATCH(CONCATENATE(C278,":",D278),Setup!$1:$1,0),4),1),"99"))),0)</f>
        <v>0</v>
      </c>
      <c r="BC278">
        <f ca="1">IF(COUNTBLANK(E278)=0,COUNTA(INDIRECT(CONCATENATE("Comp!",SUBSTITUTE(ADDRESS(1,MATCH(CONCATENATE(C278,":",D278,":",E278),Comp!$1:$1,0),4),"1",""),"2:",SUBSTITUTE(ADDRESS(1,MATCH(CONCATENATE(C278,":",D278,":",E278),Comp!$1:$1,0),4),"1",""),"99"))),0)</f>
        <v>0</v>
      </c>
    </row>
    <row r="279" spans="1:55">
      <c r="A279" s="20" t="s">
        <v>73</v>
      </c>
      <c r="B279" s="21"/>
      <c r="C279" s="20"/>
      <c r="D279" s="22"/>
      <c r="E279" s="22"/>
      <c r="F279" s="21"/>
      <c r="G279" s="23"/>
      <c r="H279" s="24"/>
      <c r="I279" s="22"/>
      <c r="J279" s="22"/>
      <c r="K279" s="22"/>
      <c r="L279" s="21"/>
      <c r="M279" s="20"/>
      <c r="N279" s="20"/>
      <c r="O279" s="23"/>
      <c r="P279" s="21"/>
      <c r="Q279" s="20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1"/>
      <c r="AU279" s="25" t="str">
        <f t="shared" si="8"/>
        <v>1Q42</v>
      </c>
      <c r="AV279" t="str">
        <f t="shared" si="9"/>
        <v>1Q42</v>
      </c>
      <c r="BA279">
        <f ca="1">IF(COUNTBLANK(C279)=0,COUNTA(INDIRECT(CONCATENATE("Area!",LEFT(ADDRESS(1,MATCH(C279,Area!$1:$1,0),4),1),"2:",LEFT(ADDRESS(1,MATCH(C279,Area!$1:$1,0),4),1),"99"))),0)</f>
        <v>0</v>
      </c>
      <c r="BB279">
        <f ca="1">IF(COUNTBLANK(D279)=0,COUNTA(INDIRECT(CONCATENATE("Setup!",LEFT(ADDRESS(1,MATCH(CONCATENATE(C279,":",D279),Setup!$1:$1,0),4),1),"2:",LEFT(ADDRESS(1,MATCH(CONCATENATE(C279,":",D279),Setup!$1:$1,0),4),1),"99"))),0)</f>
        <v>0</v>
      </c>
      <c r="BC279">
        <f ca="1">IF(COUNTBLANK(E279)=0,COUNTA(INDIRECT(CONCATENATE("Comp!",SUBSTITUTE(ADDRESS(1,MATCH(CONCATENATE(C279,":",D279,":",E279),Comp!$1:$1,0),4),"1",""),"2:",SUBSTITUTE(ADDRESS(1,MATCH(CONCATENATE(C279,":",D279,":",E279),Comp!$1:$1,0),4),"1",""),"99"))),0)</f>
        <v>0</v>
      </c>
    </row>
    <row r="280" spans="1:55">
      <c r="A280" s="20" t="s">
        <v>73</v>
      </c>
      <c r="B280" s="21"/>
      <c r="C280" s="20"/>
      <c r="D280" s="22"/>
      <c r="E280" s="22"/>
      <c r="F280" s="21"/>
      <c r="G280" s="23"/>
      <c r="H280" s="24"/>
      <c r="I280" s="22"/>
      <c r="J280" s="22"/>
      <c r="K280" s="22"/>
      <c r="L280" s="21"/>
      <c r="M280" s="20"/>
      <c r="N280" s="20"/>
      <c r="O280" s="23"/>
      <c r="P280" s="21"/>
      <c r="Q280" s="20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1"/>
      <c r="AU280" s="25" t="str">
        <f t="shared" si="8"/>
        <v>1Q42</v>
      </c>
      <c r="AV280" t="str">
        <f t="shared" si="9"/>
        <v>1Q42</v>
      </c>
      <c r="BA280">
        <f ca="1">IF(COUNTBLANK(C280)=0,COUNTA(INDIRECT(CONCATENATE("Area!",LEFT(ADDRESS(1,MATCH(C280,Area!$1:$1,0),4),1),"2:",LEFT(ADDRESS(1,MATCH(C280,Area!$1:$1,0),4),1),"99"))),0)</f>
        <v>0</v>
      </c>
      <c r="BB280">
        <f ca="1">IF(COUNTBLANK(D280)=0,COUNTA(INDIRECT(CONCATENATE("Setup!",LEFT(ADDRESS(1,MATCH(CONCATENATE(C280,":",D280),Setup!$1:$1,0),4),1),"2:",LEFT(ADDRESS(1,MATCH(CONCATENATE(C280,":",D280),Setup!$1:$1,0),4),1),"99"))),0)</f>
        <v>0</v>
      </c>
      <c r="BC280">
        <f ca="1">IF(COUNTBLANK(E280)=0,COUNTA(INDIRECT(CONCATENATE("Comp!",SUBSTITUTE(ADDRESS(1,MATCH(CONCATENATE(C280,":",D280,":",E280),Comp!$1:$1,0),4),"1",""),"2:",SUBSTITUTE(ADDRESS(1,MATCH(CONCATENATE(C280,":",D280,":",E280),Comp!$1:$1,0),4),"1",""),"99"))),0)</f>
        <v>0</v>
      </c>
    </row>
    <row r="281" spans="1:55">
      <c r="A281" s="20" t="s">
        <v>73</v>
      </c>
      <c r="B281" s="21"/>
      <c r="C281" s="20"/>
      <c r="D281" s="22"/>
      <c r="E281" s="22"/>
      <c r="F281" s="21"/>
      <c r="G281" s="23"/>
      <c r="H281" s="24"/>
      <c r="I281" s="22"/>
      <c r="J281" s="22"/>
      <c r="K281" s="22"/>
      <c r="L281" s="21"/>
      <c r="M281" s="20"/>
      <c r="N281" s="20"/>
      <c r="O281" s="23"/>
      <c r="P281" s="21"/>
      <c r="Q281" s="20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1"/>
      <c r="AU281" s="25" t="str">
        <f t="shared" si="8"/>
        <v>1Q42</v>
      </c>
      <c r="AV281" t="str">
        <f t="shared" si="9"/>
        <v>1Q42</v>
      </c>
      <c r="BA281">
        <f ca="1">IF(COUNTBLANK(C281)=0,COUNTA(INDIRECT(CONCATENATE("Area!",LEFT(ADDRESS(1,MATCH(C281,Area!$1:$1,0),4),1),"2:",LEFT(ADDRESS(1,MATCH(C281,Area!$1:$1,0),4),1),"99"))),0)</f>
        <v>0</v>
      </c>
      <c r="BB281">
        <f ca="1">IF(COUNTBLANK(D281)=0,COUNTA(INDIRECT(CONCATENATE("Setup!",LEFT(ADDRESS(1,MATCH(CONCATENATE(C281,":",D281),Setup!$1:$1,0),4),1),"2:",LEFT(ADDRESS(1,MATCH(CONCATENATE(C281,":",D281),Setup!$1:$1,0),4),1),"99"))),0)</f>
        <v>0</v>
      </c>
      <c r="BC281">
        <f ca="1">IF(COUNTBLANK(E281)=0,COUNTA(INDIRECT(CONCATENATE("Comp!",SUBSTITUTE(ADDRESS(1,MATCH(CONCATENATE(C281,":",D281,":",E281),Comp!$1:$1,0),4),"1",""),"2:",SUBSTITUTE(ADDRESS(1,MATCH(CONCATENATE(C281,":",D281,":",E281),Comp!$1:$1,0),4),"1",""),"99"))),0)</f>
        <v>0</v>
      </c>
    </row>
    <row r="282" spans="1:55">
      <c r="A282" s="20" t="s">
        <v>73</v>
      </c>
      <c r="B282" s="21"/>
      <c r="C282" s="20"/>
      <c r="D282" s="22"/>
      <c r="E282" s="22"/>
      <c r="F282" s="21"/>
      <c r="G282" s="23"/>
      <c r="H282" s="24"/>
      <c r="I282" s="22"/>
      <c r="J282" s="22"/>
      <c r="K282" s="22"/>
      <c r="L282" s="21"/>
      <c r="M282" s="20"/>
      <c r="N282" s="20"/>
      <c r="O282" s="23"/>
      <c r="P282" s="21"/>
      <c r="Q282" s="20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1"/>
      <c r="AU282" s="25" t="str">
        <f t="shared" si="8"/>
        <v>1Q42</v>
      </c>
      <c r="AV282" t="str">
        <f t="shared" si="9"/>
        <v>1Q42</v>
      </c>
      <c r="BA282">
        <f ca="1">IF(COUNTBLANK(C282)=0,COUNTA(INDIRECT(CONCATENATE("Area!",LEFT(ADDRESS(1,MATCH(C282,Area!$1:$1,0),4),1),"2:",LEFT(ADDRESS(1,MATCH(C282,Area!$1:$1,0),4),1),"99"))),0)</f>
        <v>0</v>
      </c>
      <c r="BB282">
        <f ca="1">IF(COUNTBLANK(D282)=0,COUNTA(INDIRECT(CONCATENATE("Setup!",LEFT(ADDRESS(1,MATCH(CONCATENATE(C282,":",D282),Setup!$1:$1,0),4),1),"2:",LEFT(ADDRESS(1,MATCH(CONCATENATE(C282,":",D282),Setup!$1:$1,0),4),1),"99"))),0)</f>
        <v>0</v>
      </c>
      <c r="BC282">
        <f ca="1">IF(COUNTBLANK(E282)=0,COUNTA(INDIRECT(CONCATENATE("Comp!",SUBSTITUTE(ADDRESS(1,MATCH(CONCATENATE(C282,":",D282,":",E282),Comp!$1:$1,0),4),"1",""),"2:",SUBSTITUTE(ADDRESS(1,MATCH(CONCATENATE(C282,":",D282,":",E282),Comp!$1:$1,0),4),"1",""),"99"))),0)</f>
        <v>0</v>
      </c>
    </row>
    <row r="283" spans="1:55">
      <c r="A283" s="20" t="s">
        <v>73</v>
      </c>
      <c r="B283" s="21"/>
      <c r="C283" s="20"/>
      <c r="D283" s="22"/>
      <c r="E283" s="22"/>
      <c r="F283" s="21"/>
      <c r="G283" s="23"/>
      <c r="H283" s="24"/>
      <c r="I283" s="22"/>
      <c r="J283" s="22"/>
      <c r="K283" s="22"/>
      <c r="L283" s="21"/>
      <c r="M283" s="20"/>
      <c r="N283" s="20"/>
      <c r="O283" s="23"/>
      <c r="P283" s="21"/>
      <c r="Q283" s="20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1"/>
      <c r="AU283" s="25" t="str">
        <f t="shared" si="8"/>
        <v>1Q42</v>
      </c>
      <c r="AV283" t="str">
        <f t="shared" si="9"/>
        <v>1Q42</v>
      </c>
      <c r="BA283">
        <f ca="1">IF(COUNTBLANK(C283)=0,COUNTA(INDIRECT(CONCATENATE("Area!",LEFT(ADDRESS(1,MATCH(C283,Area!$1:$1,0),4),1),"2:",LEFT(ADDRESS(1,MATCH(C283,Area!$1:$1,0),4),1),"99"))),0)</f>
        <v>0</v>
      </c>
      <c r="BB283">
        <f ca="1">IF(COUNTBLANK(D283)=0,COUNTA(INDIRECT(CONCATENATE("Setup!",LEFT(ADDRESS(1,MATCH(CONCATENATE(C283,":",D283),Setup!$1:$1,0),4),1),"2:",LEFT(ADDRESS(1,MATCH(CONCATENATE(C283,":",D283),Setup!$1:$1,0),4),1),"99"))),0)</f>
        <v>0</v>
      </c>
      <c r="BC283">
        <f ca="1">IF(COUNTBLANK(E283)=0,COUNTA(INDIRECT(CONCATENATE("Comp!",SUBSTITUTE(ADDRESS(1,MATCH(CONCATENATE(C283,":",D283,":",E283),Comp!$1:$1,0),4),"1",""),"2:",SUBSTITUTE(ADDRESS(1,MATCH(CONCATENATE(C283,":",D283,":",E283),Comp!$1:$1,0),4),"1",""),"99"))),0)</f>
        <v>0</v>
      </c>
    </row>
    <row r="284" spans="1:55">
      <c r="A284" s="20" t="s">
        <v>73</v>
      </c>
      <c r="B284" s="21"/>
      <c r="C284" s="20"/>
      <c r="D284" s="22"/>
      <c r="E284" s="22"/>
      <c r="F284" s="21"/>
      <c r="G284" s="23"/>
      <c r="H284" s="24"/>
      <c r="I284" s="22"/>
      <c r="J284" s="22"/>
      <c r="K284" s="22"/>
      <c r="L284" s="21"/>
      <c r="M284" s="20"/>
      <c r="N284" s="20"/>
      <c r="O284" s="23"/>
      <c r="P284" s="21"/>
      <c r="Q284" s="20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1"/>
      <c r="AU284" s="25" t="str">
        <f t="shared" si="8"/>
        <v>1Q42</v>
      </c>
      <c r="AV284" t="str">
        <f t="shared" si="9"/>
        <v>1Q42</v>
      </c>
      <c r="BA284">
        <f ca="1">IF(COUNTBLANK(C284)=0,COUNTA(INDIRECT(CONCATENATE("Area!",LEFT(ADDRESS(1,MATCH(C284,Area!$1:$1,0),4),1),"2:",LEFT(ADDRESS(1,MATCH(C284,Area!$1:$1,0),4),1),"99"))),0)</f>
        <v>0</v>
      </c>
      <c r="BB284">
        <f ca="1">IF(COUNTBLANK(D284)=0,COUNTA(INDIRECT(CONCATENATE("Setup!",LEFT(ADDRESS(1,MATCH(CONCATENATE(C284,":",D284),Setup!$1:$1,0),4),1),"2:",LEFT(ADDRESS(1,MATCH(CONCATENATE(C284,":",D284),Setup!$1:$1,0),4),1),"99"))),0)</f>
        <v>0</v>
      </c>
      <c r="BC284">
        <f ca="1">IF(COUNTBLANK(E284)=0,COUNTA(INDIRECT(CONCATENATE("Comp!",SUBSTITUTE(ADDRESS(1,MATCH(CONCATENATE(C284,":",D284,":",E284),Comp!$1:$1,0),4),"1",""),"2:",SUBSTITUTE(ADDRESS(1,MATCH(CONCATENATE(C284,":",D284,":",E284),Comp!$1:$1,0),4),"1",""),"99"))),0)</f>
        <v>0</v>
      </c>
    </row>
    <row r="285" spans="1:55">
      <c r="A285" s="20" t="s">
        <v>73</v>
      </c>
      <c r="B285" s="21"/>
      <c r="C285" s="20"/>
      <c r="D285" s="22"/>
      <c r="E285" s="22"/>
      <c r="F285" s="21"/>
      <c r="G285" s="23"/>
      <c r="H285" s="24"/>
      <c r="I285" s="22"/>
      <c r="J285" s="22"/>
      <c r="K285" s="22"/>
      <c r="L285" s="21"/>
      <c r="M285" s="20"/>
      <c r="N285" s="20"/>
      <c r="O285" s="23"/>
      <c r="P285" s="21"/>
      <c r="Q285" s="20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1"/>
      <c r="AU285" s="25" t="str">
        <f t="shared" si="8"/>
        <v>1Q42</v>
      </c>
      <c r="AV285" t="str">
        <f t="shared" si="9"/>
        <v>1Q42</v>
      </c>
      <c r="BA285">
        <f ca="1">IF(COUNTBLANK(C285)=0,COUNTA(INDIRECT(CONCATENATE("Area!",LEFT(ADDRESS(1,MATCH(C285,Area!$1:$1,0),4),1),"2:",LEFT(ADDRESS(1,MATCH(C285,Area!$1:$1,0),4),1),"99"))),0)</f>
        <v>0</v>
      </c>
      <c r="BB285">
        <f ca="1">IF(COUNTBLANK(D285)=0,COUNTA(INDIRECT(CONCATENATE("Setup!",LEFT(ADDRESS(1,MATCH(CONCATENATE(C285,":",D285),Setup!$1:$1,0),4),1),"2:",LEFT(ADDRESS(1,MATCH(CONCATENATE(C285,":",D285),Setup!$1:$1,0),4),1),"99"))),0)</f>
        <v>0</v>
      </c>
      <c r="BC285">
        <f ca="1">IF(COUNTBLANK(E285)=0,COUNTA(INDIRECT(CONCATENATE("Comp!",SUBSTITUTE(ADDRESS(1,MATCH(CONCATENATE(C285,":",D285,":",E285),Comp!$1:$1,0),4),"1",""),"2:",SUBSTITUTE(ADDRESS(1,MATCH(CONCATENATE(C285,":",D285,":",E285),Comp!$1:$1,0),4),"1",""),"99"))),0)</f>
        <v>0</v>
      </c>
    </row>
    <row r="286" spans="1:55">
      <c r="A286" s="20" t="s">
        <v>73</v>
      </c>
      <c r="B286" s="21"/>
      <c r="C286" s="20"/>
      <c r="D286" s="22"/>
      <c r="E286" s="22"/>
      <c r="F286" s="21"/>
      <c r="G286" s="23"/>
      <c r="H286" s="24"/>
      <c r="I286" s="22"/>
      <c r="J286" s="22"/>
      <c r="K286" s="22"/>
      <c r="L286" s="21"/>
      <c r="M286" s="20"/>
      <c r="N286" s="20"/>
      <c r="O286" s="23"/>
      <c r="P286" s="21"/>
      <c r="Q286" s="20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1"/>
      <c r="AU286" s="25" t="str">
        <f t="shared" si="8"/>
        <v>1Q42</v>
      </c>
      <c r="AV286" t="str">
        <f t="shared" si="9"/>
        <v>1Q42</v>
      </c>
      <c r="BA286">
        <f ca="1">IF(COUNTBLANK(C286)=0,COUNTA(INDIRECT(CONCATENATE("Area!",LEFT(ADDRESS(1,MATCH(C286,Area!$1:$1,0),4),1),"2:",LEFT(ADDRESS(1,MATCH(C286,Area!$1:$1,0),4),1),"99"))),0)</f>
        <v>0</v>
      </c>
      <c r="BB286">
        <f ca="1">IF(COUNTBLANK(D286)=0,COUNTA(INDIRECT(CONCATENATE("Setup!",LEFT(ADDRESS(1,MATCH(CONCATENATE(C286,":",D286),Setup!$1:$1,0),4),1),"2:",LEFT(ADDRESS(1,MATCH(CONCATENATE(C286,":",D286),Setup!$1:$1,0),4),1),"99"))),0)</f>
        <v>0</v>
      </c>
      <c r="BC286">
        <f ca="1">IF(COUNTBLANK(E286)=0,COUNTA(INDIRECT(CONCATENATE("Comp!",SUBSTITUTE(ADDRESS(1,MATCH(CONCATENATE(C286,":",D286,":",E286),Comp!$1:$1,0),4),"1",""),"2:",SUBSTITUTE(ADDRESS(1,MATCH(CONCATENATE(C286,":",D286,":",E286),Comp!$1:$1,0),4),"1",""),"99"))),0)</f>
        <v>0</v>
      </c>
    </row>
    <row r="287" spans="1:55">
      <c r="A287" s="20" t="s">
        <v>73</v>
      </c>
      <c r="B287" s="21"/>
      <c r="C287" s="20"/>
      <c r="D287" s="22"/>
      <c r="E287" s="22"/>
      <c r="F287" s="21"/>
      <c r="G287" s="23"/>
      <c r="H287" s="24"/>
      <c r="I287" s="22"/>
      <c r="J287" s="22"/>
      <c r="K287" s="22"/>
      <c r="L287" s="21"/>
      <c r="M287" s="20"/>
      <c r="N287" s="20"/>
      <c r="O287" s="23"/>
      <c r="P287" s="21"/>
      <c r="Q287" s="20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1"/>
      <c r="AU287" s="25" t="str">
        <f t="shared" si="8"/>
        <v>1Q42</v>
      </c>
      <c r="AV287" t="str">
        <f t="shared" si="9"/>
        <v>1Q42</v>
      </c>
      <c r="BA287">
        <f ca="1">IF(COUNTBLANK(C287)=0,COUNTA(INDIRECT(CONCATENATE("Area!",LEFT(ADDRESS(1,MATCH(C287,Area!$1:$1,0),4),1),"2:",LEFT(ADDRESS(1,MATCH(C287,Area!$1:$1,0),4),1),"99"))),0)</f>
        <v>0</v>
      </c>
      <c r="BB287">
        <f ca="1">IF(COUNTBLANK(D287)=0,COUNTA(INDIRECT(CONCATENATE("Setup!",LEFT(ADDRESS(1,MATCH(CONCATENATE(C287,":",D287),Setup!$1:$1,0),4),1),"2:",LEFT(ADDRESS(1,MATCH(CONCATENATE(C287,":",D287),Setup!$1:$1,0),4),1),"99"))),0)</f>
        <v>0</v>
      </c>
      <c r="BC287">
        <f ca="1">IF(COUNTBLANK(E287)=0,COUNTA(INDIRECT(CONCATENATE("Comp!",SUBSTITUTE(ADDRESS(1,MATCH(CONCATENATE(C287,":",D287,":",E287),Comp!$1:$1,0),4),"1",""),"2:",SUBSTITUTE(ADDRESS(1,MATCH(CONCATENATE(C287,":",D287,":",E287),Comp!$1:$1,0),4),"1",""),"99"))),0)</f>
        <v>0</v>
      </c>
    </row>
    <row r="288" spans="1:55">
      <c r="A288" s="20" t="s">
        <v>73</v>
      </c>
      <c r="B288" s="21"/>
      <c r="C288" s="20"/>
      <c r="D288" s="22"/>
      <c r="E288" s="22"/>
      <c r="F288" s="21"/>
      <c r="G288" s="23"/>
      <c r="H288" s="24"/>
      <c r="I288" s="22"/>
      <c r="J288" s="22"/>
      <c r="K288" s="22"/>
      <c r="L288" s="21"/>
      <c r="M288" s="20"/>
      <c r="N288" s="20"/>
      <c r="O288" s="23"/>
      <c r="P288" s="21"/>
      <c r="Q288" s="20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1"/>
      <c r="AU288" s="25" t="str">
        <f t="shared" si="8"/>
        <v>1Q42</v>
      </c>
      <c r="AV288" t="str">
        <f t="shared" si="9"/>
        <v>1Q42</v>
      </c>
      <c r="BA288">
        <f ca="1">IF(COUNTBLANK(C288)=0,COUNTA(INDIRECT(CONCATENATE("Area!",LEFT(ADDRESS(1,MATCH(C288,Area!$1:$1,0),4),1),"2:",LEFT(ADDRESS(1,MATCH(C288,Area!$1:$1,0),4),1),"99"))),0)</f>
        <v>0</v>
      </c>
      <c r="BB288">
        <f ca="1">IF(COUNTBLANK(D288)=0,COUNTA(INDIRECT(CONCATENATE("Setup!",LEFT(ADDRESS(1,MATCH(CONCATENATE(C288,":",D288),Setup!$1:$1,0),4),1),"2:",LEFT(ADDRESS(1,MATCH(CONCATENATE(C288,":",D288),Setup!$1:$1,0),4),1),"99"))),0)</f>
        <v>0</v>
      </c>
      <c r="BC288">
        <f ca="1">IF(COUNTBLANK(E288)=0,COUNTA(INDIRECT(CONCATENATE("Comp!",SUBSTITUTE(ADDRESS(1,MATCH(CONCATENATE(C288,":",D288,":",E288),Comp!$1:$1,0),4),"1",""),"2:",SUBSTITUTE(ADDRESS(1,MATCH(CONCATENATE(C288,":",D288,":",E288),Comp!$1:$1,0),4),"1",""),"99"))),0)</f>
        <v>0</v>
      </c>
    </row>
    <row r="289" spans="1:55">
      <c r="A289" s="20" t="s">
        <v>73</v>
      </c>
      <c r="B289" s="21"/>
      <c r="C289" s="20"/>
      <c r="D289" s="22"/>
      <c r="E289" s="22"/>
      <c r="F289" s="21"/>
      <c r="G289" s="23"/>
      <c r="H289" s="24"/>
      <c r="I289" s="22"/>
      <c r="J289" s="22"/>
      <c r="K289" s="22"/>
      <c r="L289" s="21"/>
      <c r="M289" s="20"/>
      <c r="N289" s="20"/>
      <c r="O289" s="23"/>
      <c r="P289" s="21"/>
      <c r="Q289" s="20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1"/>
      <c r="AU289" s="25" t="str">
        <f t="shared" si="8"/>
        <v>1Q42</v>
      </c>
      <c r="AV289" t="str">
        <f t="shared" si="9"/>
        <v>1Q42</v>
      </c>
      <c r="BA289">
        <f ca="1">IF(COUNTBLANK(C289)=0,COUNTA(INDIRECT(CONCATENATE("Area!",LEFT(ADDRESS(1,MATCH(C289,Area!$1:$1,0),4),1),"2:",LEFT(ADDRESS(1,MATCH(C289,Area!$1:$1,0),4),1),"99"))),0)</f>
        <v>0</v>
      </c>
      <c r="BB289">
        <f ca="1">IF(COUNTBLANK(D289)=0,COUNTA(INDIRECT(CONCATENATE("Setup!",LEFT(ADDRESS(1,MATCH(CONCATENATE(C289,":",D289),Setup!$1:$1,0),4),1),"2:",LEFT(ADDRESS(1,MATCH(CONCATENATE(C289,":",D289),Setup!$1:$1,0),4),1),"99"))),0)</f>
        <v>0</v>
      </c>
      <c r="BC289">
        <f ca="1">IF(COUNTBLANK(E289)=0,COUNTA(INDIRECT(CONCATENATE("Comp!",SUBSTITUTE(ADDRESS(1,MATCH(CONCATENATE(C289,":",D289,":",E289),Comp!$1:$1,0),4),"1",""),"2:",SUBSTITUTE(ADDRESS(1,MATCH(CONCATENATE(C289,":",D289,":",E289),Comp!$1:$1,0),4),"1",""),"99"))),0)</f>
        <v>0</v>
      </c>
    </row>
    <row r="290" spans="1:55">
      <c r="A290" s="20" t="s">
        <v>73</v>
      </c>
      <c r="B290" s="21"/>
      <c r="C290" s="20"/>
      <c r="D290" s="22"/>
      <c r="E290" s="22"/>
      <c r="F290" s="21"/>
      <c r="G290" s="23"/>
      <c r="H290" s="24"/>
      <c r="I290" s="22"/>
      <c r="J290" s="22"/>
      <c r="K290" s="22"/>
      <c r="L290" s="21"/>
      <c r="M290" s="20"/>
      <c r="N290" s="20"/>
      <c r="O290" s="23"/>
      <c r="P290" s="21"/>
      <c r="Q290" s="20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1"/>
      <c r="AU290" s="25" t="str">
        <f t="shared" si="8"/>
        <v>1Q42</v>
      </c>
      <c r="AV290" t="str">
        <f t="shared" si="9"/>
        <v>1Q42</v>
      </c>
      <c r="BA290">
        <f ca="1">IF(COUNTBLANK(C290)=0,COUNTA(INDIRECT(CONCATENATE("Area!",LEFT(ADDRESS(1,MATCH(C290,Area!$1:$1,0),4),1),"2:",LEFT(ADDRESS(1,MATCH(C290,Area!$1:$1,0),4),1),"99"))),0)</f>
        <v>0</v>
      </c>
      <c r="BB290">
        <f ca="1">IF(COUNTBLANK(D290)=0,COUNTA(INDIRECT(CONCATENATE("Setup!",LEFT(ADDRESS(1,MATCH(CONCATENATE(C290,":",D290),Setup!$1:$1,0),4),1),"2:",LEFT(ADDRESS(1,MATCH(CONCATENATE(C290,":",D290),Setup!$1:$1,0),4),1),"99"))),0)</f>
        <v>0</v>
      </c>
      <c r="BC290">
        <f ca="1">IF(COUNTBLANK(E290)=0,COUNTA(INDIRECT(CONCATENATE("Comp!",SUBSTITUTE(ADDRESS(1,MATCH(CONCATENATE(C290,":",D290,":",E290),Comp!$1:$1,0),4),"1",""),"2:",SUBSTITUTE(ADDRESS(1,MATCH(CONCATENATE(C290,":",D290,":",E290),Comp!$1:$1,0),4),"1",""),"99"))),0)</f>
        <v>0</v>
      </c>
    </row>
    <row r="291" spans="1:55">
      <c r="A291" s="20" t="s">
        <v>73</v>
      </c>
      <c r="B291" s="21"/>
      <c r="C291" s="20"/>
      <c r="D291" s="22"/>
      <c r="E291" s="22"/>
      <c r="F291" s="21"/>
      <c r="G291" s="23"/>
      <c r="H291" s="24"/>
      <c r="I291" s="22"/>
      <c r="J291" s="22"/>
      <c r="K291" s="22"/>
      <c r="L291" s="21"/>
      <c r="M291" s="20"/>
      <c r="N291" s="20"/>
      <c r="O291" s="23"/>
      <c r="P291" s="21"/>
      <c r="Q291" s="20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1"/>
      <c r="AU291" s="25" t="str">
        <f t="shared" si="8"/>
        <v>1Q42</v>
      </c>
      <c r="AV291" t="str">
        <f t="shared" si="9"/>
        <v>1Q42</v>
      </c>
      <c r="BA291">
        <f ca="1">IF(COUNTBLANK(C291)=0,COUNTA(INDIRECT(CONCATENATE("Area!",LEFT(ADDRESS(1,MATCH(C291,Area!$1:$1,0),4),1),"2:",LEFT(ADDRESS(1,MATCH(C291,Area!$1:$1,0),4),1),"99"))),0)</f>
        <v>0</v>
      </c>
      <c r="BB291">
        <f ca="1">IF(COUNTBLANK(D291)=0,COUNTA(INDIRECT(CONCATENATE("Setup!",LEFT(ADDRESS(1,MATCH(CONCATENATE(C291,":",D291),Setup!$1:$1,0),4),1),"2:",LEFT(ADDRESS(1,MATCH(CONCATENATE(C291,":",D291),Setup!$1:$1,0),4),1),"99"))),0)</f>
        <v>0</v>
      </c>
      <c r="BC291">
        <f ca="1">IF(COUNTBLANK(E291)=0,COUNTA(INDIRECT(CONCATENATE("Comp!",SUBSTITUTE(ADDRESS(1,MATCH(CONCATENATE(C291,":",D291,":",E291),Comp!$1:$1,0),4),"1",""),"2:",SUBSTITUTE(ADDRESS(1,MATCH(CONCATENATE(C291,":",D291,":",E291),Comp!$1:$1,0),4),"1",""),"99"))),0)</f>
        <v>0</v>
      </c>
    </row>
    <row r="292" spans="1:55">
      <c r="A292" s="20" t="s">
        <v>73</v>
      </c>
      <c r="B292" s="21"/>
      <c r="C292" s="20"/>
      <c r="D292" s="22"/>
      <c r="E292" s="22"/>
      <c r="F292" s="21"/>
      <c r="G292" s="23"/>
      <c r="H292" s="24"/>
      <c r="I292" s="22"/>
      <c r="J292" s="22"/>
      <c r="K292" s="22"/>
      <c r="L292" s="21"/>
      <c r="M292" s="20"/>
      <c r="N292" s="20"/>
      <c r="O292" s="23"/>
      <c r="P292" s="21"/>
      <c r="Q292" s="20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1"/>
      <c r="AU292" s="25" t="str">
        <f t="shared" si="8"/>
        <v>1Q42</v>
      </c>
      <c r="AV292" t="str">
        <f t="shared" si="9"/>
        <v>1Q42</v>
      </c>
      <c r="BA292">
        <f ca="1">IF(COUNTBLANK(C292)=0,COUNTA(INDIRECT(CONCATENATE("Area!",LEFT(ADDRESS(1,MATCH(C292,Area!$1:$1,0),4),1),"2:",LEFT(ADDRESS(1,MATCH(C292,Area!$1:$1,0),4),1),"99"))),0)</f>
        <v>0</v>
      </c>
      <c r="BB292">
        <f ca="1">IF(COUNTBLANK(D292)=0,COUNTA(INDIRECT(CONCATENATE("Setup!",LEFT(ADDRESS(1,MATCH(CONCATENATE(C292,":",D292),Setup!$1:$1,0),4),1),"2:",LEFT(ADDRESS(1,MATCH(CONCATENATE(C292,":",D292),Setup!$1:$1,0),4),1),"99"))),0)</f>
        <v>0</v>
      </c>
      <c r="BC292">
        <f ca="1">IF(COUNTBLANK(E292)=0,COUNTA(INDIRECT(CONCATENATE("Comp!",SUBSTITUTE(ADDRESS(1,MATCH(CONCATENATE(C292,":",D292,":",E292),Comp!$1:$1,0),4),"1",""),"2:",SUBSTITUTE(ADDRESS(1,MATCH(CONCATENATE(C292,":",D292,":",E292),Comp!$1:$1,0),4),"1",""),"99"))),0)</f>
        <v>0</v>
      </c>
    </row>
    <row r="293" spans="1:55">
      <c r="A293" s="20" t="s">
        <v>73</v>
      </c>
      <c r="B293" s="21"/>
      <c r="C293" s="20"/>
      <c r="D293" s="22"/>
      <c r="E293" s="22"/>
      <c r="F293" s="21"/>
      <c r="G293" s="23"/>
      <c r="H293" s="24"/>
      <c r="I293" s="22"/>
      <c r="J293" s="22"/>
      <c r="K293" s="22"/>
      <c r="L293" s="21"/>
      <c r="M293" s="20"/>
      <c r="N293" s="20"/>
      <c r="O293" s="23"/>
      <c r="P293" s="21"/>
      <c r="Q293" s="20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1"/>
      <c r="AU293" s="25" t="str">
        <f t="shared" si="8"/>
        <v>1Q42</v>
      </c>
      <c r="AV293" t="str">
        <f t="shared" si="9"/>
        <v>1Q42</v>
      </c>
      <c r="BA293">
        <f ca="1">IF(COUNTBLANK(C293)=0,COUNTA(INDIRECT(CONCATENATE("Area!",LEFT(ADDRESS(1,MATCH(C293,Area!$1:$1,0),4),1),"2:",LEFT(ADDRESS(1,MATCH(C293,Area!$1:$1,0),4),1),"99"))),0)</f>
        <v>0</v>
      </c>
      <c r="BB293">
        <f ca="1">IF(COUNTBLANK(D293)=0,COUNTA(INDIRECT(CONCATENATE("Setup!",LEFT(ADDRESS(1,MATCH(CONCATENATE(C293,":",D293),Setup!$1:$1,0),4),1),"2:",LEFT(ADDRESS(1,MATCH(CONCATENATE(C293,":",D293),Setup!$1:$1,0),4),1),"99"))),0)</f>
        <v>0</v>
      </c>
      <c r="BC293">
        <f ca="1">IF(COUNTBLANK(E293)=0,COUNTA(INDIRECT(CONCATENATE("Comp!",SUBSTITUTE(ADDRESS(1,MATCH(CONCATENATE(C293,":",D293,":",E293),Comp!$1:$1,0),4),"1",""),"2:",SUBSTITUTE(ADDRESS(1,MATCH(CONCATENATE(C293,":",D293,":",E293),Comp!$1:$1,0),4),"1",""),"99"))),0)</f>
        <v>0</v>
      </c>
    </row>
    <row r="294" spans="1:55">
      <c r="A294" s="20" t="s">
        <v>73</v>
      </c>
      <c r="B294" s="21"/>
      <c r="C294" s="20"/>
      <c r="D294" s="22"/>
      <c r="E294" s="22"/>
      <c r="F294" s="21"/>
      <c r="G294" s="23"/>
      <c r="H294" s="24"/>
      <c r="I294" s="22"/>
      <c r="J294" s="22"/>
      <c r="K294" s="22"/>
      <c r="L294" s="21"/>
      <c r="M294" s="20"/>
      <c r="N294" s="20"/>
      <c r="O294" s="23"/>
      <c r="P294" s="21"/>
      <c r="Q294" s="20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1"/>
      <c r="AU294" s="25" t="str">
        <f t="shared" si="8"/>
        <v>1Q42</v>
      </c>
      <c r="AV294" t="str">
        <f t="shared" si="9"/>
        <v>1Q42</v>
      </c>
      <c r="BA294">
        <f ca="1">IF(COUNTBLANK(C294)=0,COUNTA(INDIRECT(CONCATENATE("Area!",LEFT(ADDRESS(1,MATCH(C294,Area!$1:$1,0),4),1),"2:",LEFT(ADDRESS(1,MATCH(C294,Area!$1:$1,0),4),1),"99"))),0)</f>
        <v>0</v>
      </c>
      <c r="BB294">
        <f ca="1">IF(COUNTBLANK(D294)=0,COUNTA(INDIRECT(CONCATENATE("Setup!",LEFT(ADDRESS(1,MATCH(CONCATENATE(C294,":",D294),Setup!$1:$1,0),4),1),"2:",LEFT(ADDRESS(1,MATCH(CONCATENATE(C294,":",D294),Setup!$1:$1,0),4),1),"99"))),0)</f>
        <v>0</v>
      </c>
      <c r="BC294">
        <f ca="1">IF(COUNTBLANK(E294)=0,COUNTA(INDIRECT(CONCATENATE("Comp!",SUBSTITUTE(ADDRESS(1,MATCH(CONCATENATE(C294,":",D294,":",E294),Comp!$1:$1,0),4),"1",""),"2:",SUBSTITUTE(ADDRESS(1,MATCH(CONCATENATE(C294,":",D294,":",E294),Comp!$1:$1,0),4),"1",""),"99"))),0)</f>
        <v>0</v>
      </c>
    </row>
    <row r="295" spans="1:55">
      <c r="A295" s="20" t="s">
        <v>73</v>
      </c>
      <c r="B295" s="21"/>
      <c r="C295" s="20"/>
      <c r="D295" s="22"/>
      <c r="E295" s="22"/>
      <c r="F295" s="21"/>
      <c r="G295" s="23"/>
      <c r="H295" s="24"/>
      <c r="I295" s="22"/>
      <c r="J295" s="22"/>
      <c r="K295" s="22"/>
      <c r="L295" s="21"/>
      <c r="M295" s="20"/>
      <c r="N295" s="20"/>
      <c r="O295" s="23"/>
      <c r="P295" s="21"/>
      <c r="Q295" s="20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1"/>
      <c r="AU295" s="25" t="str">
        <f t="shared" si="8"/>
        <v>1Q42</v>
      </c>
      <c r="AV295" t="str">
        <f t="shared" si="9"/>
        <v>1Q42</v>
      </c>
      <c r="BA295">
        <f ca="1">IF(COUNTBLANK(C295)=0,COUNTA(INDIRECT(CONCATENATE("Area!",LEFT(ADDRESS(1,MATCH(C295,Area!$1:$1,0),4),1),"2:",LEFT(ADDRESS(1,MATCH(C295,Area!$1:$1,0),4),1),"99"))),0)</f>
        <v>0</v>
      </c>
      <c r="BB295">
        <f ca="1">IF(COUNTBLANK(D295)=0,COUNTA(INDIRECT(CONCATENATE("Setup!",LEFT(ADDRESS(1,MATCH(CONCATENATE(C295,":",D295),Setup!$1:$1,0),4),1),"2:",LEFT(ADDRESS(1,MATCH(CONCATENATE(C295,":",D295),Setup!$1:$1,0),4),1),"99"))),0)</f>
        <v>0</v>
      </c>
      <c r="BC295">
        <f ca="1">IF(COUNTBLANK(E295)=0,COUNTA(INDIRECT(CONCATENATE("Comp!",SUBSTITUTE(ADDRESS(1,MATCH(CONCATENATE(C295,":",D295,":",E295),Comp!$1:$1,0),4),"1",""),"2:",SUBSTITUTE(ADDRESS(1,MATCH(CONCATENATE(C295,":",D295,":",E295),Comp!$1:$1,0),4),"1",""),"99"))),0)</f>
        <v>0</v>
      </c>
    </row>
    <row r="296" spans="1:55">
      <c r="A296" s="20" t="s">
        <v>73</v>
      </c>
      <c r="B296" s="21"/>
      <c r="C296" s="20"/>
      <c r="D296" s="22"/>
      <c r="E296" s="22"/>
      <c r="F296" s="21"/>
      <c r="G296" s="23"/>
      <c r="H296" s="24"/>
      <c r="I296" s="22"/>
      <c r="J296" s="22"/>
      <c r="K296" s="22"/>
      <c r="L296" s="21"/>
      <c r="M296" s="20"/>
      <c r="N296" s="20"/>
      <c r="O296" s="23"/>
      <c r="P296" s="21"/>
      <c r="Q296" s="20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1"/>
      <c r="AU296" s="25" t="str">
        <f t="shared" si="8"/>
        <v>1Q42</v>
      </c>
      <c r="AV296" t="str">
        <f t="shared" si="9"/>
        <v>1Q42</v>
      </c>
      <c r="BA296">
        <f ca="1">IF(COUNTBLANK(C296)=0,COUNTA(INDIRECT(CONCATENATE("Area!",LEFT(ADDRESS(1,MATCH(C296,Area!$1:$1,0),4),1),"2:",LEFT(ADDRESS(1,MATCH(C296,Area!$1:$1,0),4),1),"99"))),0)</f>
        <v>0</v>
      </c>
      <c r="BB296">
        <f ca="1">IF(COUNTBLANK(D296)=0,COUNTA(INDIRECT(CONCATENATE("Setup!",LEFT(ADDRESS(1,MATCH(CONCATENATE(C296,":",D296),Setup!$1:$1,0),4),1),"2:",LEFT(ADDRESS(1,MATCH(CONCATENATE(C296,":",D296),Setup!$1:$1,0),4),1),"99"))),0)</f>
        <v>0</v>
      </c>
      <c r="BC296">
        <f ca="1">IF(COUNTBLANK(E296)=0,COUNTA(INDIRECT(CONCATENATE("Comp!",SUBSTITUTE(ADDRESS(1,MATCH(CONCATENATE(C296,":",D296,":",E296),Comp!$1:$1,0),4),"1",""),"2:",SUBSTITUTE(ADDRESS(1,MATCH(CONCATENATE(C296,":",D296,":",E296),Comp!$1:$1,0),4),"1",""),"99"))),0)</f>
        <v>0</v>
      </c>
    </row>
    <row r="297" spans="1:55">
      <c r="A297" s="20" t="s">
        <v>73</v>
      </c>
      <c r="B297" s="21"/>
      <c r="C297" s="20"/>
      <c r="D297" s="22"/>
      <c r="E297" s="22"/>
      <c r="F297" s="21"/>
      <c r="G297" s="23"/>
      <c r="H297" s="24"/>
      <c r="I297" s="22"/>
      <c r="J297" s="22"/>
      <c r="K297" s="22"/>
      <c r="L297" s="21"/>
      <c r="M297" s="20"/>
      <c r="N297" s="20"/>
      <c r="O297" s="23"/>
      <c r="P297" s="21"/>
      <c r="Q297" s="20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1"/>
      <c r="AU297" s="25" t="str">
        <f t="shared" si="8"/>
        <v>1Q42</v>
      </c>
      <c r="AV297" t="str">
        <f t="shared" si="9"/>
        <v>1Q42</v>
      </c>
      <c r="BA297">
        <f ca="1">IF(COUNTBLANK(C297)=0,COUNTA(INDIRECT(CONCATENATE("Area!",LEFT(ADDRESS(1,MATCH(C297,Area!$1:$1,0),4),1),"2:",LEFT(ADDRESS(1,MATCH(C297,Area!$1:$1,0),4),1),"99"))),0)</f>
        <v>0</v>
      </c>
      <c r="BB297">
        <f ca="1">IF(COUNTBLANK(D297)=0,COUNTA(INDIRECT(CONCATENATE("Setup!",LEFT(ADDRESS(1,MATCH(CONCATENATE(C297,":",D297),Setup!$1:$1,0),4),1),"2:",LEFT(ADDRESS(1,MATCH(CONCATENATE(C297,":",D297),Setup!$1:$1,0),4),1),"99"))),0)</f>
        <v>0</v>
      </c>
      <c r="BC297">
        <f ca="1">IF(COUNTBLANK(E297)=0,COUNTA(INDIRECT(CONCATENATE("Comp!",SUBSTITUTE(ADDRESS(1,MATCH(CONCATENATE(C297,":",D297,":",E297),Comp!$1:$1,0),4),"1",""),"2:",SUBSTITUTE(ADDRESS(1,MATCH(CONCATENATE(C297,":",D297,":",E297),Comp!$1:$1,0),4),"1",""),"99"))),0)</f>
        <v>0</v>
      </c>
    </row>
    <row r="298" spans="1:55">
      <c r="A298" s="20" t="s">
        <v>73</v>
      </c>
      <c r="B298" s="21"/>
      <c r="C298" s="20"/>
      <c r="D298" s="22"/>
      <c r="E298" s="22"/>
      <c r="F298" s="21"/>
      <c r="G298" s="23"/>
      <c r="H298" s="24"/>
      <c r="I298" s="22"/>
      <c r="J298" s="22"/>
      <c r="K298" s="22"/>
      <c r="L298" s="21"/>
      <c r="M298" s="20"/>
      <c r="N298" s="20"/>
      <c r="O298" s="23"/>
      <c r="P298" s="21"/>
      <c r="Q298" s="20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1"/>
      <c r="AU298" s="25" t="str">
        <f t="shared" si="8"/>
        <v>1Q42</v>
      </c>
      <c r="AV298" t="str">
        <f t="shared" si="9"/>
        <v>1Q42</v>
      </c>
      <c r="BA298">
        <f ca="1">IF(COUNTBLANK(C298)=0,COUNTA(INDIRECT(CONCATENATE("Area!",LEFT(ADDRESS(1,MATCH(C298,Area!$1:$1,0),4),1),"2:",LEFT(ADDRESS(1,MATCH(C298,Area!$1:$1,0),4),1),"99"))),0)</f>
        <v>0</v>
      </c>
      <c r="BB298">
        <f ca="1">IF(COUNTBLANK(D298)=0,COUNTA(INDIRECT(CONCATENATE("Setup!",LEFT(ADDRESS(1,MATCH(CONCATENATE(C298,":",D298),Setup!$1:$1,0),4),1),"2:",LEFT(ADDRESS(1,MATCH(CONCATENATE(C298,":",D298),Setup!$1:$1,0),4),1),"99"))),0)</f>
        <v>0</v>
      </c>
      <c r="BC298">
        <f ca="1">IF(COUNTBLANK(E298)=0,COUNTA(INDIRECT(CONCATENATE("Comp!",SUBSTITUTE(ADDRESS(1,MATCH(CONCATENATE(C298,":",D298,":",E298),Comp!$1:$1,0),4),"1",""),"2:",SUBSTITUTE(ADDRESS(1,MATCH(CONCATENATE(C298,":",D298,":",E298),Comp!$1:$1,0),4),"1",""),"99"))),0)</f>
        <v>0</v>
      </c>
    </row>
    <row r="299" spans="1:55">
      <c r="A299" s="20" t="s">
        <v>73</v>
      </c>
      <c r="B299" s="21"/>
      <c r="C299" s="20"/>
      <c r="D299" s="22"/>
      <c r="E299" s="22"/>
      <c r="F299" s="21"/>
      <c r="G299" s="23"/>
      <c r="H299" s="24"/>
      <c r="I299" s="22"/>
      <c r="J299" s="22"/>
      <c r="K299" s="22"/>
      <c r="L299" s="21"/>
      <c r="M299" s="20"/>
      <c r="N299" s="20"/>
      <c r="O299" s="23"/>
      <c r="P299" s="21"/>
      <c r="Q299" s="20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1"/>
      <c r="AU299" s="25" t="str">
        <f t="shared" si="8"/>
        <v>1Q42</v>
      </c>
      <c r="AV299" t="str">
        <f t="shared" si="9"/>
        <v>1Q42</v>
      </c>
      <c r="BA299">
        <f ca="1">IF(COUNTBLANK(C299)=0,COUNTA(INDIRECT(CONCATENATE("Area!",LEFT(ADDRESS(1,MATCH(C299,Area!$1:$1,0),4),1),"2:",LEFT(ADDRESS(1,MATCH(C299,Area!$1:$1,0),4),1),"99"))),0)</f>
        <v>0</v>
      </c>
      <c r="BB299">
        <f ca="1">IF(COUNTBLANK(D299)=0,COUNTA(INDIRECT(CONCATENATE("Setup!",LEFT(ADDRESS(1,MATCH(CONCATENATE(C299,":",D299),Setup!$1:$1,0),4),1),"2:",LEFT(ADDRESS(1,MATCH(CONCATENATE(C299,":",D299),Setup!$1:$1,0),4),1),"99"))),0)</f>
        <v>0</v>
      </c>
      <c r="BC299">
        <f ca="1">IF(COUNTBLANK(E299)=0,COUNTA(INDIRECT(CONCATENATE("Comp!",SUBSTITUTE(ADDRESS(1,MATCH(CONCATENATE(C299,":",D299,":",E299),Comp!$1:$1,0),4),"1",""),"2:",SUBSTITUTE(ADDRESS(1,MATCH(CONCATENATE(C299,":",D299,":",E299),Comp!$1:$1,0),4),"1",""),"99"))),0)</f>
        <v>0</v>
      </c>
    </row>
    <row r="300" spans="1:55">
      <c r="A300" s="20" t="s">
        <v>73</v>
      </c>
      <c r="B300" s="21"/>
      <c r="C300" s="20"/>
      <c r="D300" s="22"/>
      <c r="E300" s="22"/>
      <c r="F300" s="21"/>
      <c r="G300" s="23"/>
      <c r="H300" s="24"/>
      <c r="I300" s="22"/>
      <c r="J300" s="22"/>
      <c r="K300" s="22"/>
      <c r="L300" s="21"/>
      <c r="M300" s="20"/>
      <c r="N300" s="20"/>
      <c r="O300" s="23"/>
      <c r="P300" s="21"/>
      <c r="Q300" s="20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1"/>
      <c r="AU300" s="25" t="str">
        <f t="shared" si="8"/>
        <v>1Q42</v>
      </c>
      <c r="AV300" t="str">
        <f t="shared" si="9"/>
        <v>1Q42</v>
      </c>
      <c r="BA300">
        <f ca="1">IF(COUNTBLANK(C300)=0,COUNTA(INDIRECT(CONCATENATE("Area!",LEFT(ADDRESS(1,MATCH(C300,Area!$1:$1,0),4),1),"2:",LEFT(ADDRESS(1,MATCH(C300,Area!$1:$1,0),4),1),"99"))),0)</f>
        <v>0</v>
      </c>
      <c r="BB300">
        <f ca="1">IF(COUNTBLANK(D300)=0,COUNTA(INDIRECT(CONCATENATE("Setup!",LEFT(ADDRESS(1,MATCH(CONCATENATE(C300,":",D300),Setup!$1:$1,0),4),1),"2:",LEFT(ADDRESS(1,MATCH(CONCATENATE(C300,":",D300),Setup!$1:$1,0),4),1),"99"))),0)</f>
        <v>0</v>
      </c>
      <c r="BC300">
        <f ca="1">IF(COUNTBLANK(E300)=0,COUNTA(INDIRECT(CONCATENATE("Comp!",SUBSTITUTE(ADDRESS(1,MATCH(CONCATENATE(C300,":",D300,":",E300),Comp!$1:$1,0),4),"1",""),"2:",SUBSTITUTE(ADDRESS(1,MATCH(CONCATENATE(C300,":",D300,":",E300),Comp!$1:$1,0),4),"1",""),"99"))),0)</f>
        <v>0</v>
      </c>
    </row>
    <row r="301" spans="1:55">
      <c r="A301" s="20" t="s">
        <v>73</v>
      </c>
      <c r="B301" s="21"/>
      <c r="C301" s="20"/>
      <c r="D301" s="22"/>
      <c r="E301" s="22"/>
      <c r="F301" s="21"/>
      <c r="G301" s="23"/>
      <c r="H301" s="24"/>
      <c r="I301" s="22"/>
      <c r="J301" s="22"/>
      <c r="K301" s="22"/>
      <c r="L301" s="21"/>
      <c r="M301" s="20"/>
      <c r="N301" s="20"/>
      <c r="O301" s="23"/>
      <c r="P301" s="21"/>
      <c r="Q301" s="20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1"/>
      <c r="AU301" s="25" t="str">
        <f t="shared" si="8"/>
        <v>1Q42</v>
      </c>
      <c r="AV301" t="str">
        <f t="shared" si="9"/>
        <v>1Q42</v>
      </c>
      <c r="BA301">
        <f ca="1">IF(COUNTBLANK(C301)=0,COUNTA(INDIRECT(CONCATENATE("Area!",LEFT(ADDRESS(1,MATCH(C301,Area!$1:$1,0),4),1),"2:",LEFT(ADDRESS(1,MATCH(C301,Area!$1:$1,0),4),1),"99"))),0)</f>
        <v>0</v>
      </c>
      <c r="BB301">
        <f ca="1">IF(COUNTBLANK(D301)=0,COUNTA(INDIRECT(CONCATENATE("Setup!",LEFT(ADDRESS(1,MATCH(CONCATENATE(C301,":",D301),Setup!$1:$1,0),4),1),"2:",LEFT(ADDRESS(1,MATCH(CONCATENATE(C301,":",D301),Setup!$1:$1,0),4),1),"99"))),0)</f>
        <v>0</v>
      </c>
      <c r="BC301">
        <f ca="1">IF(COUNTBLANK(E301)=0,COUNTA(INDIRECT(CONCATENATE("Comp!",SUBSTITUTE(ADDRESS(1,MATCH(CONCATENATE(C301,":",D301,":",E301),Comp!$1:$1,0),4),"1",""),"2:",SUBSTITUTE(ADDRESS(1,MATCH(CONCATENATE(C301,":",D301,":",E301),Comp!$1:$1,0),4),"1",""),"99"))),0)</f>
        <v>0</v>
      </c>
    </row>
    <row r="302" spans="1:55">
      <c r="A302" s="20" t="s">
        <v>73</v>
      </c>
      <c r="B302" s="21"/>
      <c r="C302" s="20"/>
      <c r="D302" s="22"/>
      <c r="E302" s="22"/>
      <c r="F302" s="21"/>
      <c r="G302" s="23"/>
      <c r="H302" s="24"/>
      <c r="I302" s="22"/>
      <c r="J302" s="22"/>
      <c r="K302" s="22"/>
      <c r="L302" s="21"/>
      <c r="M302" s="20"/>
      <c r="N302" s="20"/>
      <c r="O302" s="23"/>
      <c r="P302" s="21"/>
      <c r="Q302" s="20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1"/>
      <c r="AU302" s="25" t="str">
        <f t="shared" si="8"/>
        <v>1Q42</v>
      </c>
      <c r="AV302" t="str">
        <f t="shared" si="9"/>
        <v>1Q42</v>
      </c>
      <c r="BA302">
        <f ca="1">IF(COUNTBLANK(C302)=0,COUNTA(INDIRECT(CONCATENATE("Area!",LEFT(ADDRESS(1,MATCH(C302,Area!$1:$1,0),4),1),"2:",LEFT(ADDRESS(1,MATCH(C302,Area!$1:$1,0),4),1),"99"))),0)</f>
        <v>0</v>
      </c>
      <c r="BB302">
        <f ca="1">IF(COUNTBLANK(D302)=0,COUNTA(INDIRECT(CONCATENATE("Setup!",LEFT(ADDRESS(1,MATCH(CONCATENATE(C302,":",D302),Setup!$1:$1,0),4),1),"2:",LEFT(ADDRESS(1,MATCH(CONCATENATE(C302,":",D302),Setup!$1:$1,0),4),1),"99"))),0)</f>
        <v>0</v>
      </c>
      <c r="BC302">
        <f ca="1">IF(COUNTBLANK(E302)=0,COUNTA(INDIRECT(CONCATENATE("Comp!",SUBSTITUTE(ADDRESS(1,MATCH(CONCATENATE(C302,":",D302,":",E302),Comp!$1:$1,0),4),"1",""),"2:",SUBSTITUTE(ADDRESS(1,MATCH(CONCATENATE(C302,":",D302,":",E302),Comp!$1:$1,0),4),"1",""),"99"))),0)</f>
        <v>0</v>
      </c>
    </row>
    <row r="303" spans="1:55">
      <c r="A303" s="20" t="s">
        <v>73</v>
      </c>
      <c r="B303" s="21"/>
      <c r="C303" s="20"/>
      <c r="D303" s="22"/>
      <c r="E303" s="22"/>
      <c r="F303" s="21"/>
      <c r="G303" s="23"/>
      <c r="H303" s="24"/>
      <c r="I303" s="22"/>
      <c r="J303" s="22"/>
      <c r="K303" s="22"/>
      <c r="L303" s="21"/>
      <c r="M303" s="20"/>
      <c r="N303" s="20"/>
      <c r="O303" s="23"/>
      <c r="P303" s="21"/>
      <c r="Q303" s="20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1"/>
      <c r="AU303" s="25" t="str">
        <f t="shared" si="8"/>
        <v>1Q42</v>
      </c>
      <c r="AV303" t="str">
        <f t="shared" si="9"/>
        <v>1Q42</v>
      </c>
      <c r="BA303">
        <f ca="1">IF(COUNTBLANK(C303)=0,COUNTA(INDIRECT(CONCATENATE("Area!",LEFT(ADDRESS(1,MATCH(C303,Area!$1:$1,0),4),1),"2:",LEFT(ADDRESS(1,MATCH(C303,Area!$1:$1,0),4),1),"99"))),0)</f>
        <v>0</v>
      </c>
      <c r="BB303">
        <f ca="1">IF(COUNTBLANK(D303)=0,COUNTA(INDIRECT(CONCATENATE("Setup!",LEFT(ADDRESS(1,MATCH(CONCATENATE(C303,":",D303),Setup!$1:$1,0),4),1),"2:",LEFT(ADDRESS(1,MATCH(CONCATENATE(C303,":",D303),Setup!$1:$1,0),4),1),"99"))),0)</f>
        <v>0</v>
      </c>
      <c r="BC303">
        <f ca="1">IF(COUNTBLANK(E303)=0,COUNTA(INDIRECT(CONCATENATE("Comp!",SUBSTITUTE(ADDRESS(1,MATCH(CONCATENATE(C303,":",D303,":",E303),Comp!$1:$1,0),4),"1",""),"2:",SUBSTITUTE(ADDRESS(1,MATCH(CONCATENATE(C303,":",D303,":",E303),Comp!$1:$1,0),4),"1",""),"99"))),0)</f>
        <v>0</v>
      </c>
    </row>
    <row r="304" spans="1:55">
      <c r="A304" s="20" t="s">
        <v>73</v>
      </c>
      <c r="B304" s="21"/>
      <c r="C304" s="20"/>
      <c r="D304" s="22"/>
      <c r="E304" s="22"/>
      <c r="F304" s="21"/>
      <c r="G304" s="23"/>
      <c r="H304" s="24"/>
      <c r="I304" s="22"/>
      <c r="J304" s="22"/>
      <c r="K304" s="22"/>
      <c r="L304" s="21"/>
      <c r="M304" s="20"/>
      <c r="N304" s="20"/>
      <c r="O304" s="23"/>
      <c r="P304" s="21"/>
      <c r="Q304" s="20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1"/>
      <c r="AU304" s="25" t="str">
        <f t="shared" si="8"/>
        <v>1Q42</v>
      </c>
      <c r="AV304" t="str">
        <f t="shared" si="9"/>
        <v>1Q42</v>
      </c>
      <c r="BA304">
        <f ca="1">IF(COUNTBLANK(C304)=0,COUNTA(INDIRECT(CONCATENATE("Area!",LEFT(ADDRESS(1,MATCH(C304,Area!$1:$1,0),4),1),"2:",LEFT(ADDRESS(1,MATCH(C304,Area!$1:$1,0),4),1),"99"))),0)</f>
        <v>0</v>
      </c>
      <c r="BB304">
        <f ca="1">IF(COUNTBLANK(D304)=0,COUNTA(INDIRECT(CONCATENATE("Setup!",LEFT(ADDRESS(1,MATCH(CONCATENATE(C304,":",D304),Setup!$1:$1,0),4),1),"2:",LEFT(ADDRESS(1,MATCH(CONCATENATE(C304,":",D304),Setup!$1:$1,0),4),1),"99"))),0)</f>
        <v>0</v>
      </c>
      <c r="BC304">
        <f ca="1">IF(COUNTBLANK(E304)=0,COUNTA(INDIRECT(CONCATENATE("Comp!",SUBSTITUTE(ADDRESS(1,MATCH(CONCATENATE(C304,":",D304,":",E304),Comp!$1:$1,0),4),"1",""),"2:",SUBSTITUTE(ADDRESS(1,MATCH(CONCATENATE(C304,":",D304,":",E304),Comp!$1:$1,0),4),"1",""),"99"))),0)</f>
        <v>0</v>
      </c>
    </row>
    <row r="305" spans="1:55">
      <c r="A305" s="20" t="s">
        <v>73</v>
      </c>
      <c r="B305" s="21"/>
      <c r="C305" s="20"/>
      <c r="D305" s="22"/>
      <c r="E305" s="22"/>
      <c r="F305" s="21"/>
      <c r="G305" s="23"/>
      <c r="H305" s="24"/>
      <c r="I305" s="22"/>
      <c r="J305" s="22"/>
      <c r="K305" s="22"/>
      <c r="L305" s="21"/>
      <c r="M305" s="20"/>
      <c r="N305" s="20"/>
      <c r="O305" s="23"/>
      <c r="P305" s="21"/>
      <c r="Q305" s="20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1"/>
      <c r="AU305" s="25" t="str">
        <f t="shared" si="8"/>
        <v>1Q42</v>
      </c>
      <c r="AV305" t="str">
        <f t="shared" si="9"/>
        <v>1Q42</v>
      </c>
      <c r="BA305">
        <f ca="1">IF(COUNTBLANK(C305)=0,COUNTA(INDIRECT(CONCATENATE("Area!",LEFT(ADDRESS(1,MATCH(C305,Area!$1:$1,0),4),1),"2:",LEFT(ADDRESS(1,MATCH(C305,Area!$1:$1,0),4),1),"99"))),0)</f>
        <v>0</v>
      </c>
      <c r="BB305">
        <f ca="1">IF(COUNTBLANK(D305)=0,COUNTA(INDIRECT(CONCATENATE("Setup!",LEFT(ADDRESS(1,MATCH(CONCATENATE(C305,":",D305),Setup!$1:$1,0),4),1),"2:",LEFT(ADDRESS(1,MATCH(CONCATENATE(C305,":",D305),Setup!$1:$1,0),4),1),"99"))),0)</f>
        <v>0</v>
      </c>
      <c r="BC305">
        <f ca="1">IF(COUNTBLANK(E305)=0,COUNTA(INDIRECT(CONCATENATE("Comp!",SUBSTITUTE(ADDRESS(1,MATCH(CONCATENATE(C305,":",D305,":",E305),Comp!$1:$1,0),4),"1",""),"2:",SUBSTITUTE(ADDRESS(1,MATCH(CONCATENATE(C305,":",D305,":",E305),Comp!$1:$1,0),4),"1",""),"99"))),0)</f>
        <v>0</v>
      </c>
    </row>
    <row r="306" spans="1:55">
      <c r="A306" s="20" t="s">
        <v>73</v>
      </c>
      <c r="B306" s="21"/>
      <c r="C306" s="20"/>
      <c r="D306" s="22"/>
      <c r="E306" s="22"/>
      <c r="F306" s="21"/>
      <c r="G306" s="23"/>
      <c r="H306" s="24"/>
      <c r="I306" s="22"/>
      <c r="J306" s="22"/>
      <c r="K306" s="22"/>
      <c r="L306" s="21"/>
      <c r="M306" s="20"/>
      <c r="N306" s="20"/>
      <c r="O306" s="23"/>
      <c r="P306" s="21"/>
      <c r="Q306" s="20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1"/>
      <c r="AU306" s="25" t="str">
        <f t="shared" si="8"/>
        <v>1Q42</v>
      </c>
      <c r="AV306" t="str">
        <f t="shared" si="9"/>
        <v>1Q42</v>
      </c>
      <c r="BA306">
        <f ca="1">IF(COUNTBLANK(C306)=0,COUNTA(INDIRECT(CONCATENATE("Area!",LEFT(ADDRESS(1,MATCH(C306,Area!$1:$1,0),4),1),"2:",LEFT(ADDRESS(1,MATCH(C306,Area!$1:$1,0),4),1),"99"))),0)</f>
        <v>0</v>
      </c>
      <c r="BB306">
        <f ca="1">IF(COUNTBLANK(D306)=0,COUNTA(INDIRECT(CONCATENATE("Setup!",LEFT(ADDRESS(1,MATCH(CONCATENATE(C306,":",D306),Setup!$1:$1,0),4),1),"2:",LEFT(ADDRESS(1,MATCH(CONCATENATE(C306,":",D306),Setup!$1:$1,0),4),1),"99"))),0)</f>
        <v>0</v>
      </c>
      <c r="BC306">
        <f ca="1">IF(COUNTBLANK(E306)=0,COUNTA(INDIRECT(CONCATENATE("Comp!",SUBSTITUTE(ADDRESS(1,MATCH(CONCATENATE(C306,":",D306,":",E306),Comp!$1:$1,0),4),"1",""),"2:",SUBSTITUTE(ADDRESS(1,MATCH(CONCATENATE(C306,":",D306,":",E306),Comp!$1:$1,0),4),"1",""),"99"))),0)</f>
        <v>0</v>
      </c>
    </row>
    <row r="307" spans="1:55">
      <c r="A307" s="20" t="s">
        <v>73</v>
      </c>
      <c r="B307" s="21"/>
      <c r="C307" s="20"/>
      <c r="D307" s="22"/>
      <c r="E307" s="22"/>
      <c r="F307" s="21"/>
      <c r="G307" s="23"/>
      <c r="H307" s="24"/>
      <c r="I307" s="22"/>
      <c r="J307" s="22"/>
      <c r="K307" s="22"/>
      <c r="L307" s="21"/>
      <c r="M307" s="20"/>
      <c r="N307" s="20"/>
      <c r="O307" s="23"/>
      <c r="P307" s="21"/>
      <c r="Q307" s="20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1"/>
      <c r="AU307" s="25" t="str">
        <f t="shared" si="8"/>
        <v>1Q42</v>
      </c>
      <c r="AV307" t="str">
        <f t="shared" si="9"/>
        <v>1Q42</v>
      </c>
      <c r="BA307">
        <f ca="1">IF(COUNTBLANK(C307)=0,COUNTA(INDIRECT(CONCATENATE("Area!",LEFT(ADDRESS(1,MATCH(C307,Area!$1:$1,0),4),1),"2:",LEFT(ADDRESS(1,MATCH(C307,Area!$1:$1,0),4),1),"99"))),0)</f>
        <v>0</v>
      </c>
      <c r="BB307">
        <f ca="1">IF(COUNTBLANK(D307)=0,COUNTA(INDIRECT(CONCATENATE("Setup!",LEFT(ADDRESS(1,MATCH(CONCATENATE(C307,":",D307),Setup!$1:$1,0),4),1),"2:",LEFT(ADDRESS(1,MATCH(CONCATENATE(C307,":",D307),Setup!$1:$1,0),4),1),"99"))),0)</f>
        <v>0</v>
      </c>
      <c r="BC307">
        <f ca="1">IF(COUNTBLANK(E307)=0,COUNTA(INDIRECT(CONCATENATE("Comp!",SUBSTITUTE(ADDRESS(1,MATCH(CONCATENATE(C307,":",D307,":",E307),Comp!$1:$1,0),4),"1",""),"2:",SUBSTITUTE(ADDRESS(1,MATCH(CONCATENATE(C307,":",D307,":",E307),Comp!$1:$1,0),4),"1",""),"99"))),0)</f>
        <v>0</v>
      </c>
    </row>
    <row r="308" spans="1:55">
      <c r="A308" s="20" t="s">
        <v>73</v>
      </c>
      <c r="B308" s="21"/>
      <c r="C308" s="20"/>
      <c r="D308" s="22"/>
      <c r="E308" s="22"/>
      <c r="F308" s="21"/>
      <c r="G308" s="23"/>
      <c r="H308" s="24"/>
      <c r="I308" s="22"/>
      <c r="J308" s="22"/>
      <c r="K308" s="22"/>
      <c r="L308" s="21"/>
      <c r="M308" s="20"/>
      <c r="N308" s="20"/>
      <c r="O308" s="23"/>
      <c r="P308" s="21"/>
      <c r="Q308" s="20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1"/>
      <c r="AU308" s="25" t="str">
        <f t="shared" si="8"/>
        <v>1Q42</v>
      </c>
      <c r="AV308" t="str">
        <f t="shared" si="9"/>
        <v>1Q42</v>
      </c>
      <c r="BA308">
        <f ca="1">IF(COUNTBLANK(C308)=0,COUNTA(INDIRECT(CONCATENATE("Area!",LEFT(ADDRESS(1,MATCH(C308,Area!$1:$1,0),4),1),"2:",LEFT(ADDRESS(1,MATCH(C308,Area!$1:$1,0),4),1),"99"))),0)</f>
        <v>0</v>
      </c>
      <c r="BB308">
        <f ca="1">IF(COUNTBLANK(D308)=0,COUNTA(INDIRECT(CONCATENATE("Setup!",LEFT(ADDRESS(1,MATCH(CONCATENATE(C308,":",D308),Setup!$1:$1,0),4),1),"2:",LEFT(ADDRESS(1,MATCH(CONCATENATE(C308,":",D308),Setup!$1:$1,0),4),1),"99"))),0)</f>
        <v>0</v>
      </c>
      <c r="BC308">
        <f ca="1">IF(COUNTBLANK(E308)=0,COUNTA(INDIRECT(CONCATENATE("Comp!",SUBSTITUTE(ADDRESS(1,MATCH(CONCATENATE(C308,":",D308,":",E308),Comp!$1:$1,0),4),"1",""),"2:",SUBSTITUTE(ADDRESS(1,MATCH(CONCATENATE(C308,":",D308,":",E308),Comp!$1:$1,0),4),"1",""),"99"))),0)</f>
        <v>0</v>
      </c>
    </row>
    <row r="309" spans="1:55">
      <c r="A309" s="20" t="s">
        <v>73</v>
      </c>
      <c r="B309" s="21"/>
      <c r="C309" s="20"/>
      <c r="D309" s="22"/>
      <c r="E309" s="22"/>
      <c r="F309" s="21"/>
      <c r="G309" s="23"/>
      <c r="H309" s="24"/>
      <c r="I309" s="22"/>
      <c r="J309" s="22"/>
      <c r="K309" s="22"/>
      <c r="L309" s="21"/>
      <c r="M309" s="20"/>
      <c r="N309" s="20"/>
      <c r="O309" s="23"/>
      <c r="P309" s="21"/>
      <c r="Q309" s="20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1"/>
      <c r="AU309" s="25" t="str">
        <f t="shared" si="8"/>
        <v>1Q42</v>
      </c>
      <c r="AV309" t="str">
        <f t="shared" si="9"/>
        <v>1Q42</v>
      </c>
      <c r="BA309">
        <f ca="1">IF(COUNTBLANK(C309)=0,COUNTA(INDIRECT(CONCATENATE("Area!",LEFT(ADDRESS(1,MATCH(C309,Area!$1:$1,0),4),1),"2:",LEFT(ADDRESS(1,MATCH(C309,Area!$1:$1,0),4),1),"99"))),0)</f>
        <v>0</v>
      </c>
      <c r="BB309">
        <f ca="1">IF(COUNTBLANK(D309)=0,COUNTA(INDIRECT(CONCATENATE("Setup!",LEFT(ADDRESS(1,MATCH(CONCATENATE(C309,":",D309),Setup!$1:$1,0),4),1),"2:",LEFT(ADDRESS(1,MATCH(CONCATENATE(C309,":",D309),Setup!$1:$1,0),4),1),"99"))),0)</f>
        <v>0</v>
      </c>
      <c r="BC309">
        <f ca="1">IF(COUNTBLANK(E309)=0,COUNTA(INDIRECT(CONCATENATE("Comp!",SUBSTITUTE(ADDRESS(1,MATCH(CONCATENATE(C309,":",D309,":",E309),Comp!$1:$1,0),4),"1",""),"2:",SUBSTITUTE(ADDRESS(1,MATCH(CONCATENATE(C309,":",D309,":",E309),Comp!$1:$1,0),4),"1",""),"99"))),0)</f>
        <v>0</v>
      </c>
    </row>
    <row r="310" spans="1:55">
      <c r="A310" s="20" t="s">
        <v>73</v>
      </c>
      <c r="B310" s="21"/>
      <c r="C310" s="20"/>
      <c r="D310" s="22"/>
      <c r="E310" s="22"/>
      <c r="F310" s="21"/>
      <c r="G310" s="23"/>
      <c r="H310" s="24"/>
      <c r="I310" s="22"/>
      <c r="J310" s="22"/>
      <c r="K310" s="22"/>
      <c r="L310" s="21"/>
      <c r="M310" s="20"/>
      <c r="N310" s="20"/>
      <c r="O310" s="23"/>
      <c r="P310" s="21"/>
      <c r="Q310" s="20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1"/>
      <c r="AU310" s="25" t="str">
        <f t="shared" si="8"/>
        <v>1Q42</v>
      </c>
      <c r="AV310" t="str">
        <f t="shared" si="9"/>
        <v>1Q42</v>
      </c>
      <c r="BA310">
        <f ca="1">IF(COUNTBLANK(C310)=0,COUNTA(INDIRECT(CONCATENATE("Area!",LEFT(ADDRESS(1,MATCH(C310,Area!$1:$1,0),4),1),"2:",LEFT(ADDRESS(1,MATCH(C310,Area!$1:$1,0),4),1),"99"))),0)</f>
        <v>0</v>
      </c>
      <c r="BB310">
        <f ca="1">IF(COUNTBLANK(D310)=0,COUNTA(INDIRECT(CONCATENATE("Setup!",LEFT(ADDRESS(1,MATCH(CONCATENATE(C310,":",D310),Setup!$1:$1,0),4),1),"2:",LEFT(ADDRESS(1,MATCH(CONCATENATE(C310,":",D310),Setup!$1:$1,0),4),1),"99"))),0)</f>
        <v>0</v>
      </c>
      <c r="BC310">
        <f ca="1">IF(COUNTBLANK(E310)=0,COUNTA(INDIRECT(CONCATENATE("Comp!",SUBSTITUTE(ADDRESS(1,MATCH(CONCATENATE(C310,":",D310,":",E310),Comp!$1:$1,0),4),"1",""),"2:",SUBSTITUTE(ADDRESS(1,MATCH(CONCATENATE(C310,":",D310,":",E310),Comp!$1:$1,0),4),"1",""),"99"))),0)</f>
        <v>0</v>
      </c>
    </row>
    <row r="311" spans="1:55">
      <c r="A311" s="20" t="s">
        <v>73</v>
      </c>
      <c r="B311" s="21"/>
      <c r="C311" s="20"/>
      <c r="D311" s="22"/>
      <c r="E311" s="22"/>
      <c r="F311" s="21"/>
      <c r="G311" s="23"/>
      <c r="H311" s="24"/>
      <c r="I311" s="22"/>
      <c r="J311" s="22"/>
      <c r="K311" s="22"/>
      <c r="L311" s="21"/>
      <c r="M311" s="20"/>
      <c r="N311" s="20"/>
      <c r="O311" s="23"/>
      <c r="P311" s="21"/>
      <c r="Q311" s="20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1"/>
      <c r="AU311" s="25" t="str">
        <f t="shared" si="8"/>
        <v>1Q42</v>
      </c>
      <c r="AV311" t="str">
        <f t="shared" si="9"/>
        <v>1Q42</v>
      </c>
      <c r="BA311">
        <f ca="1">IF(COUNTBLANK(C311)=0,COUNTA(INDIRECT(CONCATENATE("Area!",LEFT(ADDRESS(1,MATCH(C311,Area!$1:$1,0),4),1),"2:",LEFT(ADDRESS(1,MATCH(C311,Area!$1:$1,0),4),1),"99"))),0)</f>
        <v>0</v>
      </c>
      <c r="BB311">
        <f ca="1">IF(COUNTBLANK(D311)=0,COUNTA(INDIRECT(CONCATENATE("Setup!",LEFT(ADDRESS(1,MATCH(CONCATENATE(C311,":",D311),Setup!$1:$1,0),4),1),"2:",LEFT(ADDRESS(1,MATCH(CONCATENATE(C311,":",D311),Setup!$1:$1,0),4),1),"99"))),0)</f>
        <v>0</v>
      </c>
      <c r="BC311">
        <f ca="1">IF(COUNTBLANK(E311)=0,COUNTA(INDIRECT(CONCATENATE("Comp!",SUBSTITUTE(ADDRESS(1,MATCH(CONCATENATE(C311,":",D311,":",E311),Comp!$1:$1,0),4),"1",""),"2:",SUBSTITUTE(ADDRESS(1,MATCH(CONCATENATE(C311,":",D311,":",E311),Comp!$1:$1,0),4),"1",""),"99"))),0)</f>
        <v>0</v>
      </c>
    </row>
    <row r="312" spans="1:55">
      <c r="A312" s="20" t="s">
        <v>73</v>
      </c>
      <c r="B312" s="21"/>
      <c r="C312" s="20"/>
      <c r="D312" s="22"/>
      <c r="E312" s="22"/>
      <c r="F312" s="21"/>
      <c r="G312" s="23"/>
      <c r="H312" s="24"/>
      <c r="I312" s="22"/>
      <c r="J312" s="22"/>
      <c r="K312" s="22"/>
      <c r="L312" s="21"/>
      <c r="M312" s="20"/>
      <c r="N312" s="20"/>
      <c r="O312" s="23"/>
      <c r="P312" s="21"/>
      <c r="Q312" s="20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1"/>
      <c r="AU312" s="25" t="str">
        <f t="shared" si="8"/>
        <v>1Q42</v>
      </c>
      <c r="AV312" t="str">
        <f t="shared" si="9"/>
        <v>1Q42</v>
      </c>
      <c r="BA312">
        <f ca="1">IF(COUNTBLANK(C312)=0,COUNTA(INDIRECT(CONCATENATE("Area!",LEFT(ADDRESS(1,MATCH(C312,Area!$1:$1,0),4),1),"2:",LEFT(ADDRESS(1,MATCH(C312,Area!$1:$1,0),4),1),"99"))),0)</f>
        <v>0</v>
      </c>
      <c r="BB312">
        <f ca="1">IF(COUNTBLANK(D312)=0,COUNTA(INDIRECT(CONCATENATE("Setup!",LEFT(ADDRESS(1,MATCH(CONCATENATE(C312,":",D312),Setup!$1:$1,0),4),1),"2:",LEFT(ADDRESS(1,MATCH(CONCATENATE(C312,":",D312),Setup!$1:$1,0),4),1),"99"))),0)</f>
        <v>0</v>
      </c>
      <c r="BC312">
        <f ca="1">IF(COUNTBLANK(E312)=0,COUNTA(INDIRECT(CONCATENATE("Comp!",SUBSTITUTE(ADDRESS(1,MATCH(CONCATENATE(C312,":",D312,":",E312),Comp!$1:$1,0),4),"1",""),"2:",SUBSTITUTE(ADDRESS(1,MATCH(CONCATENATE(C312,":",D312,":",E312),Comp!$1:$1,0),4),"1",""),"99"))),0)</f>
        <v>0</v>
      </c>
    </row>
    <row r="313" spans="1:55">
      <c r="A313" s="20" t="s">
        <v>73</v>
      </c>
      <c r="B313" s="21"/>
      <c r="C313" s="20"/>
      <c r="D313" s="22"/>
      <c r="E313" s="22"/>
      <c r="F313" s="21"/>
      <c r="G313" s="23"/>
      <c r="H313" s="24"/>
      <c r="I313" s="22"/>
      <c r="J313" s="22"/>
      <c r="K313" s="22"/>
      <c r="L313" s="21"/>
      <c r="M313" s="20"/>
      <c r="N313" s="20"/>
      <c r="O313" s="23"/>
      <c r="P313" s="21"/>
      <c r="Q313" s="20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1"/>
      <c r="AU313" s="25" t="str">
        <f t="shared" si="8"/>
        <v>1Q42</v>
      </c>
      <c r="AV313" t="str">
        <f t="shared" si="9"/>
        <v>1Q42</v>
      </c>
      <c r="BA313">
        <f ca="1">IF(COUNTBLANK(C313)=0,COUNTA(INDIRECT(CONCATENATE("Area!",LEFT(ADDRESS(1,MATCH(C313,Area!$1:$1,0),4),1),"2:",LEFT(ADDRESS(1,MATCH(C313,Area!$1:$1,0),4),1),"99"))),0)</f>
        <v>0</v>
      </c>
      <c r="BB313">
        <f ca="1">IF(COUNTBLANK(D313)=0,COUNTA(INDIRECT(CONCATENATE("Setup!",LEFT(ADDRESS(1,MATCH(CONCATENATE(C313,":",D313),Setup!$1:$1,0),4),1),"2:",LEFT(ADDRESS(1,MATCH(CONCATENATE(C313,":",D313),Setup!$1:$1,0),4),1),"99"))),0)</f>
        <v>0</v>
      </c>
      <c r="BC313">
        <f ca="1">IF(COUNTBLANK(E313)=0,COUNTA(INDIRECT(CONCATENATE("Comp!",SUBSTITUTE(ADDRESS(1,MATCH(CONCATENATE(C313,":",D313,":",E313),Comp!$1:$1,0),4),"1",""),"2:",SUBSTITUTE(ADDRESS(1,MATCH(CONCATENATE(C313,":",D313,":",E313),Comp!$1:$1,0),4),"1",""),"99"))),0)</f>
        <v>0</v>
      </c>
    </row>
    <row r="314" spans="1:55">
      <c r="A314" s="20" t="s">
        <v>73</v>
      </c>
      <c r="B314" s="21"/>
      <c r="C314" s="20"/>
      <c r="D314" s="22"/>
      <c r="E314" s="22"/>
      <c r="F314" s="21"/>
      <c r="G314" s="23"/>
      <c r="H314" s="24"/>
      <c r="I314" s="22"/>
      <c r="J314" s="22"/>
      <c r="K314" s="22"/>
      <c r="L314" s="21"/>
      <c r="M314" s="20"/>
      <c r="N314" s="20"/>
      <c r="O314" s="23"/>
      <c r="P314" s="21"/>
      <c r="Q314" s="20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1"/>
      <c r="AU314" s="25" t="str">
        <f t="shared" si="8"/>
        <v>1Q42</v>
      </c>
      <c r="AV314" t="str">
        <f t="shared" si="9"/>
        <v>1Q42</v>
      </c>
      <c r="BA314">
        <f ca="1">IF(COUNTBLANK(C314)=0,COUNTA(INDIRECT(CONCATENATE("Area!",LEFT(ADDRESS(1,MATCH(C314,Area!$1:$1,0),4),1),"2:",LEFT(ADDRESS(1,MATCH(C314,Area!$1:$1,0),4),1),"99"))),0)</f>
        <v>0</v>
      </c>
      <c r="BB314">
        <f ca="1">IF(COUNTBLANK(D314)=0,COUNTA(INDIRECT(CONCATENATE("Setup!",LEFT(ADDRESS(1,MATCH(CONCATENATE(C314,":",D314),Setup!$1:$1,0),4),1),"2:",LEFT(ADDRESS(1,MATCH(CONCATENATE(C314,":",D314),Setup!$1:$1,0),4),1),"99"))),0)</f>
        <v>0</v>
      </c>
      <c r="BC314">
        <f ca="1">IF(COUNTBLANK(E314)=0,COUNTA(INDIRECT(CONCATENATE("Comp!",SUBSTITUTE(ADDRESS(1,MATCH(CONCATENATE(C314,":",D314,":",E314),Comp!$1:$1,0),4),"1",""),"2:",SUBSTITUTE(ADDRESS(1,MATCH(CONCATENATE(C314,":",D314,":",E314),Comp!$1:$1,0),4),"1",""),"99"))),0)</f>
        <v>0</v>
      </c>
    </row>
    <row r="315" spans="1:55">
      <c r="A315" s="20" t="s">
        <v>73</v>
      </c>
      <c r="B315" s="21"/>
      <c r="C315" s="20"/>
      <c r="D315" s="22"/>
      <c r="E315" s="22"/>
      <c r="F315" s="21"/>
      <c r="G315" s="23"/>
      <c r="H315" s="24"/>
      <c r="I315" s="22"/>
      <c r="J315" s="22"/>
      <c r="K315" s="22"/>
      <c r="L315" s="21"/>
      <c r="M315" s="20"/>
      <c r="N315" s="20"/>
      <c r="O315" s="23"/>
      <c r="P315" s="21"/>
      <c r="Q315" s="20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1"/>
      <c r="AU315" s="25" t="str">
        <f t="shared" si="8"/>
        <v>1Q42</v>
      </c>
      <c r="AV315" t="str">
        <f t="shared" si="9"/>
        <v>1Q42</v>
      </c>
      <c r="BA315">
        <f ca="1">IF(COUNTBLANK(C315)=0,COUNTA(INDIRECT(CONCATENATE("Area!",LEFT(ADDRESS(1,MATCH(C315,Area!$1:$1,0),4),1),"2:",LEFT(ADDRESS(1,MATCH(C315,Area!$1:$1,0),4),1),"99"))),0)</f>
        <v>0</v>
      </c>
      <c r="BB315">
        <f ca="1">IF(COUNTBLANK(D315)=0,COUNTA(INDIRECT(CONCATENATE("Setup!",LEFT(ADDRESS(1,MATCH(CONCATENATE(C315,":",D315),Setup!$1:$1,0),4),1),"2:",LEFT(ADDRESS(1,MATCH(CONCATENATE(C315,":",D315),Setup!$1:$1,0),4),1),"99"))),0)</f>
        <v>0</v>
      </c>
      <c r="BC315">
        <f ca="1">IF(COUNTBLANK(E315)=0,COUNTA(INDIRECT(CONCATENATE("Comp!",SUBSTITUTE(ADDRESS(1,MATCH(CONCATENATE(C315,":",D315,":",E315),Comp!$1:$1,0),4),"1",""),"2:",SUBSTITUTE(ADDRESS(1,MATCH(CONCATENATE(C315,":",D315,":",E315),Comp!$1:$1,0),4),"1",""),"99"))),0)</f>
        <v>0</v>
      </c>
    </row>
    <row r="316" spans="1:55">
      <c r="A316" s="20" t="s">
        <v>73</v>
      </c>
      <c r="B316" s="21"/>
      <c r="C316" s="20"/>
      <c r="D316" s="22"/>
      <c r="E316" s="22"/>
      <c r="F316" s="21"/>
      <c r="G316" s="23"/>
      <c r="H316" s="24"/>
      <c r="I316" s="22"/>
      <c r="J316" s="22"/>
      <c r="K316" s="22"/>
      <c r="L316" s="21"/>
      <c r="M316" s="20"/>
      <c r="N316" s="20"/>
      <c r="O316" s="23"/>
      <c r="P316" s="21"/>
      <c r="Q316" s="20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1"/>
      <c r="AU316" s="25" t="str">
        <f t="shared" si="8"/>
        <v>1Q42</v>
      </c>
      <c r="AV316" t="str">
        <f t="shared" si="9"/>
        <v>1Q42</v>
      </c>
      <c r="BA316">
        <f ca="1">IF(COUNTBLANK(C316)=0,COUNTA(INDIRECT(CONCATENATE("Area!",LEFT(ADDRESS(1,MATCH(C316,Area!$1:$1,0),4),1),"2:",LEFT(ADDRESS(1,MATCH(C316,Area!$1:$1,0),4),1),"99"))),0)</f>
        <v>0</v>
      </c>
      <c r="BB316">
        <f ca="1">IF(COUNTBLANK(D316)=0,COUNTA(INDIRECT(CONCATENATE("Setup!",LEFT(ADDRESS(1,MATCH(CONCATENATE(C316,":",D316),Setup!$1:$1,0),4),1),"2:",LEFT(ADDRESS(1,MATCH(CONCATENATE(C316,":",D316),Setup!$1:$1,0),4),1),"99"))),0)</f>
        <v>0</v>
      </c>
      <c r="BC316">
        <f ca="1">IF(COUNTBLANK(E316)=0,COUNTA(INDIRECT(CONCATENATE("Comp!",SUBSTITUTE(ADDRESS(1,MATCH(CONCATENATE(C316,":",D316,":",E316),Comp!$1:$1,0),4),"1",""),"2:",SUBSTITUTE(ADDRESS(1,MATCH(CONCATENATE(C316,":",D316,":",E316),Comp!$1:$1,0),4),"1",""),"99"))),0)</f>
        <v>0</v>
      </c>
    </row>
    <row r="317" spans="1:55">
      <c r="A317" s="20" t="s">
        <v>73</v>
      </c>
      <c r="B317" s="21"/>
      <c r="C317" s="20"/>
      <c r="D317" s="22"/>
      <c r="E317" s="22"/>
      <c r="F317" s="21"/>
      <c r="G317" s="23"/>
      <c r="H317" s="24"/>
      <c r="I317" s="22"/>
      <c r="J317" s="22"/>
      <c r="K317" s="22"/>
      <c r="L317" s="21"/>
      <c r="M317" s="20"/>
      <c r="N317" s="20"/>
      <c r="O317" s="23"/>
      <c r="P317" s="21"/>
      <c r="Q317" s="20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1"/>
      <c r="AU317" s="25" t="str">
        <f t="shared" si="8"/>
        <v>1Q42</v>
      </c>
      <c r="AV317" t="str">
        <f t="shared" si="9"/>
        <v>1Q42</v>
      </c>
      <c r="BA317">
        <f ca="1">IF(COUNTBLANK(C317)=0,COUNTA(INDIRECT(CONCATENATE("Area!",LEFT(ADDRESS(1,MATCH(C317,Area!$1:$1,0),4),1),"2:",LEFT(ADDRESS(1,MATCH(C317,Area!$1:$1,0),4),1),"99"))),0)</f>
        <v>0</v>
      </c>
      <c r="BB317">
        <f ca="1">IF(COUNTBLANK(D317)=0,COUNTA(INDIRECT(CONCATENATE("Setup!",LEFT(ADDRESS(1,MATCH(CONCATENATE(C317,":",D317),Setup!$1:$1,0),4),1),"2:",LEFT(ADDRESS(1,MATCH(CONCATENATE(C317,":",D317),Setup!$1:$1,0),4),1),"99"))),0)</f>
        <v>0</v>
      </c>
      <c r="BC317">
        <f ca="1">IF(COUNTBLANK(E317)=0,COUNTA(INDIRECT(CONCATENATE("Comp!",SUBSTITUTE(ADDRESS(1,MATCH(CONCATENATE(C317,":",D317,":",E317),Comp!$1:$1,0),4),"1",""),"2:",SUBSTITUTE(ADDRESS(1,MATCH(CONCATENATE(C317,":",D317,":",E317),Comp!$1:$1,0),4),"1",""),"99"))),0)</f>
        <v>0</v>
      </c>
    </row>
    <row r="318" spans="1:55">
      <c r="A318" s="20" t="s">
        <v>73</v>
      </c>
      <c r="B318" s="21"/>
      <c r="C318" s="20"/>
      <c r="D318" s="22"/>
      <c r="E318" s="22"/>
      <c r="F318" s="21"/>
      <c r="G318" s="23"/>
      <c r="H318" s="24"/>
      <c r="I318" s="22"/>
      <c r="J318" s="22"/>
      <c r="K318" s="22"/>
      <c r="L318" s="21"/>
      <c r="M318" s="20"/>
      <c r="N318" s="20"/>
      <c r="O318" s="23"/>
      <c r="P318" s="21"/>
      <c r="Q318" s="20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1"/>
      <c r="AU318" s="25" t="str">
        <f t="shared" si="8"/>
        <v>1Q42</v>
      </c>
      <c r="AV318" t="str">
        <f t="shared" si="9"/>
        <v>1Q42</v>
      </c>
      <c r="BA318">
        <f ca="1">IF(COUNTBLANK(C318)=0,COUNTA(INDIRECT(CONCATENATE("Area!",LEFT(ADDRESS(1,MATCH(C318,Area!$1:$1,0),4),1),"2:",LEFT(ADDRESS(1,MATCH(C318,Area!$1:$1,0),4),1),"99"))),0)</f>
        <v>0</v>
      </c>
      <c r="BB318">
        <f ca="1">IF(COUNTBLANK(D318)=0,COUNTA(INDIRECT(CONCATENATE("Setup!",LEFT(ADDRESS(1,MATCH(CONCATENATE(C318,":",D318),Setup!$1:$1,0),4),1),"2:",LEFT(ADDRESS(1,MATCH(CONCATENATE(C318,":",D318),Setup!$1:$1,0),4),1),"99"))),0)</f>
        <v>0</v>
      </c>
      <c r="BC318">
        <f ca="1">IF(COUNTBLANK(E318)=0,COUNTA(INDIRECT(CONCATENATE("Comp!",SUBSTITUTE(ADDRESS(1,MATCH(CONCATENATE(C318,":",D318,":",E318),Comp!$1:$1,0),4),"1",""),"2:",SUBSTITUTE(ADDRESS(1,MATCH(CONCATENATE(C318,":",D318,":",E318),Comp!$1:$1,0),4),"1",""),"99"))),0)</f>
        <v>0</v>
      </c>
    </row>
    <row r="319" spans="1:55">
      <c r="A319" s="20" t="s">
        <v>73</v>
      </c>
      <c r="B319" s="21"/>
      <c r="C319" s="20"/>
      <c r="D319" s="22"/>
      <c r="E319" s="22"/>
      <c r="F319" s="21"/>
      <c r="G319" s="23"/>
      <c r="H319" s="24"/>
      <c r="I319" s="22"/>
      <c r="J319" s="22"/>
      <c r="K319" s="22"/>
      <c r="L319" s="21"/>
      <c r="M319" s="20"/>
      <c r="N319" s="20"/>
      <c r="O319" s="23"/>
      <c r="P319" s="21"/>
      <c r="Q319" s="20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1"/>
      <c r="AU319" s="25" t="str">
        <f t="shared" si="8"/>
        <v>1Q42</v>
      </c>
      <c r="AV319" t="str">
        <f t="shared" si="9"/>
        <v>1Q42</v>
      </c>
      <c r="BA319">
        <f ca="1">IF(COUNTBLANK(C319)=0,COUNTA(INDIRECT(CONCATENATE("Area!",LEFT(ADDRESS(1,MATCH(C319,Area!$1:$1,0),4),1),"2:",LEFT(ADDRESS(1,MATCH(C319,Area!$1:$1,0),4),1),"99"))),0)</f>
        <v>0</v>
      </c>
      <c r="BB319">
        <f ca="1">IF(COUNTBLANK(D319)=0,COUNTA(INDIRECT(CONCATENATE("Setup!",LEFT(ADDRESS(1,MATCH(CONCATENATE(C319,":",D319),Setup!$1:$1,0),4),1),"2:",LEFT(ADDRESS(1,MATCH(CONCATENATE(C319,":",D319),Setup!$1:$1,0),4),1),"99"))),0)</f>
        <v>0</v>
      </c>
      <c r="BC319">
        <f ca="1">IF(COUNTBLANK(E319)=0,COUNTA(INDIRECT(CONCATENATE("Comp!",SUBSTITUTE(ADDRESS(1,MATCH(CONCATENATE(C319,":",D319,":",E319),Comp!$1:$1,0),4),"1",""),"2:",SUBSTITUTE(ADDRESS(1,MATCH(CONCATENATE(C319,":",D319,":",E319),Comp!$1:$1,0),4),"1",""),"99"))),0)</f>
        <v>0</v>
      </c>
    </row>
    <row r="320" spans="1:55">
      <c r="A320" s="20" t="s">
        <v>73</v>
      </c>
      <c r="B320" s="21"/>
      <c r="C320" s="20"/>
      <c r="D320" s="22"/>
      <c r="E320" s="22"/>
      <c r="F320" s="21"/>
      <c r="G320" s="23"/>
      <c r="H320" s="24"/>
      <c r="I320" s="22"/>
      <c r="J320" s="22"/>
      <c r="K320" s="22"/>
      <c r="L320" s="21"/>
      <c r="M320" s="20"/>
      <c r="N320" s="20"/>
      <c r="O320" s="23"/>
      <c r="P320" s="21"/>
      <c r="Q320" s="20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1"/>
      <c r="AU320" s="25" t="str">
        <f t="shared" si="8"/>
        <v>1Q42</v>
      </c>
      <c r="AV320" t="str">
        <f t="shared" si="9"/>
        <v>1Q42</v>
      </c>
      <c r="BA320">
        <f ca="1">IF(COUNTBLANK(C320)=0,COUNTA(INDIRECT(CONCATENATE("Area!",LEFT(ADDRESS(1,MATCH(C320,Area!$1:$1,0),4),1),"2:",LEFT(ADDRESS(1,MATCH(C320,Area!$1:$1,0),4),1),"99"))),0)</f>
        <v>0</v>
      </c>
      <c r="BB320">
        <f ca="1">IF(COUNTBLANK(D320)=0,COUNTA(INDIRECT(CONCATENATE("Setup!",LEFT(ADDRESS(1,MATCH(CONCATENATE(C320,":",D320),Setup!$1:$1,0),4),1),"2:",LEFT(ADDRESS(1,MATCH(CONCATENATE(C320,":",D320),Setup!$1:$1,0),4),1),"99"))),0)</f>
        <v>0</v>
      </c>
      <c r="BC320">
        <f ca="1">IF(COUNTBLANK(E320)=0,COUNTA(INDIRECT(CONCATENATE("Comp!",SUBSTITUTE(ADDRESS(1,MATCH(CONCATENATE(C320,":",D320,":",E320),Comp!$1:$1,0),4),"1",""),"2:",SUBSTITUTE(ADDRESS(1,MATCH(CONCATENATE(C320,":",D320,":",E320),Comp!$1:$1,0),4),"1",""),"99"))),0)</f>
        <v>0</v>
      </c>
    </row>
    <row r="321" spans="1:55">
      <c r="A321" s="20" t="s">
        <v>73</v>
      </c>
      <c r="B321" s="21"/>
      <c r="C321" s="20"/>
      <c r="D321" s="22"/>
      <c r="E321" s="22"/>
      <c r="F321" s="21"/>
      <c r="G321" s="23"/>
      <c r="H321" s="24"/>
      <c r="I321" s="22"/>
      <c r="J321" s="22"/>
      <c r="K321" s="22"/>
      <c r="L321" s="21"/>
      <c r="M321" s="20"/>
      <c r="N321" s="20"/>
      <c r="O321" s="23"/>
      <c r="P321" s="21"/>
      <c r="Q321" s="20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1"/>
      <c r="AU321" s="25" t="str">
        <f t="shared" si="8"/>
        <v>1Q42</v>
      </c>
      <c r="AV321" t="str">
        <f t="shared" si="9"/>
        <v>1Q42</v>
      </c>
      <c r="BA321">
        <f ca="1">IF(COUNTBLANK(C321)=0,COUNTA(INDIRECT(CONCATENATE("Area!",LEFT(ADDRESS(1,MATCH(C321,Area!$1:$1,0),4),1),"2:",LEFT(ADDRESS(1,MATCH(C321,Area!$1:$1,0),4),1),"99"))),0)</f>
        <v>0</v>
      </c>
      <c r="BB321">
        <f ca="1">IF(COUNTBLANK(D321)=0,COUNTA(INDIRECT(CONCATENATE("Setup!",LEFT(ADDRESS(1,MATCH(CONCATENATE(C321,":",D321),Setup!$1:$1,0),4),1),"2:",LEFT(ADDRESS(1,MATCH(CONCATENATE(C321,":",D321),Setup!$1:$1,0),4),1),"99"))),0)</f>
        <v>0</v>
      </c>
      <c r="BC321">
        <f ca="1">IF(COUNTBLANK(E321)=0,COUNTA(INDIRECT(CONCATENATE("Comp!",SUBSTITUTE(ADDRESS(1,MATCH(CONCATENATE(C321,":",D321,":",E321),Comp!$1:$1,0),4),"1",""),"2:",SUBSTITUTE(ADDRESS(1,MATCH(CONCATENATE(C321,":",D321,":",E321),Comp!$1:$1,0),4),"1",""),"99"))),0)</f>
        <v>0</v>
      </c>
    </row>
    <row r="322" spans="1:55">
      <c r="A322" s="20" t="s">
        <v>73</v>
      </c>
      <c r="B322" s="21"/>
      <c r="C322" s="20"/>
      <c r="D322" s="22"/>
      <c r="E322" s="22"/>
      <c r="F322" s="21"/>
      <c r="G322" s="23"/>
      <c r="H322" s="24"/>
      <c r="I322" s="22"/>
      <c r="J322" s="22"/>
      <c r="K322" s="22"/>
      <c r="L322" s="21"/>
      <c r="M322" s="20"/>
      <c r="N322" s="20"/>
      <c r="O322" s="23"/>
      <c r="P322" s="21"/>
      <c r="Q322" s="20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1"/>
      <c r="AU322" s="25" t="str">
        <f t="shared" si="8"/>
        <v>1Q42</v>
      </c>
      <c r="AV322" t="str">
        <f t="shared" si="9"/>
        <v>1Q42</v>
      </c>
      <c r="BA322">
        <f ca="1">IF(COUNTBLANK(C322)=0,COUNTA(INDIRECT(CONCATENATE("Area!",LEFT(ADDRESS(1,MATCH(C322,Area!$1:$1,0),4),1),"2:",LEFT(ADDRESS(1,MATCH(C322,Area!$1:$1,0),4),1),"99"))),0)</f>
        <v>0</v>
      </c>
      <c r="BB322">
        <f ca="1">IF(COUNTBLANK(D322)=0,COUNTA(INDIRECT(CONCATENATE("Setup!",LEFT(ADDRESS(1,MATCH(CONCATENATE(C322,":",D322),Setup!$1:$1,0),4),1),"2:",LEFT(ADDRESS(1,MATCH(CONCATENATE(C322,":",D322),Setup!$1:$1,0),4),1),"99"))),0)</f>
        <v>0</v>
      </c>
      <c r="BC322">
        <f ca="1">IF(COUNTBLANK(E322)=0,COUNTA(INDIRECT(CONCATENATE("Comp!",SUBSTITUTE(ADDRESS(1,MATCH(CONCATENATE(C322,":",D322,":",E322),Comp!$1:$1,0),4),"1",""),"2:",SUBSTITUTE(ADDRESS(1,MATCH(CONCATENATE(C322,":",D322,":",E322),Comp!$1:$1,0),4),"1",""),"99"))),0)</f>
        <v>0</v>
      </c>
    </row>
    <row r="323" spans="1:55">
      <c r="A323" s="20" t="s">
        <v>73</v>
      </c>
      <c r="B323" s="21"/>
      <c r="C323" s="20"/>
      <c r="D323" s="22"/>
      <c r="E323" s="22"/>
      <c r="F323" s="21"/>
      <c r="G323" s="23"/>
      <c r="H323" s="24"/>
      <c r="I323" s="22"/>
      <c r="J323" s="22"/>
      <c r="K323" s="22"/>
      <c r="L323" s="21"/>
      <c r="M323" s="20"/>
      <c r="N323" s="20"/>
      <c r="O323" s="23"/>
      <c r="P323" s="21"/>
      <c r="Q323" s="20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1"/>
      <c r="AU323" s="25" t="str">
        <f t="shared" si="8"/>
        <v>1Q42</v>
      </c>
      <c r="AV323" t="str">
        <f t="shared" si="9"/>
        <v>1Q42</v>
      </c>
      <c r="BA323">
        <f ca="1">IF(COUNTBLANK(C323)=0,COUNTA(INDIRECT(CONCATENATE("Area!",LEFT(ADDRESS(1,MATCH(C323,Area!$1:$1,0),4),1),"2:",LEFT(ADDRESS(1,MATCH(C323,Area!$1:$1,0),4),1),"99"))),0)</f>
        <v>0</v>
      </c>
      <c r="BB323">
        <f ca="1">IF(COUNTBLANK(D323)=0,COUNTA(INDIRECT(CONCATENATE("Setup!",LEFT(ADDRESS(1,MATCH(CONCATENATE(C323,":",D323),Setup!$1:$1,0),4),1),"2:",LEFT(ADDRESS(1,MATCH(CONCATENATE(C323,":",D323),Setup!$1:$1,0),4),1),"99"))),0)</f>
        <v>0</v>
      </c>
      <c r="BC323">
        <f ca="1">IF(COUNTBLANK(E323)=0,COUNTA(INDIRECT(CONCATENATE("Comp!",SUBSTITUTE(ADDRESS(1,MATCH(CONCATENATE(C323,":",D323,":",E323),Comp!$1:$1,0),4),"1",""),"2:",SUBSTITUTE(ADDRESS(1,MATCH(CONCATENATE(C323,":",D323,":",E323),Comp!$1:$1,0),4),"1",""),"99"))),0)</f>
        <v>0</v>
      </c>
    </row>
    <row r="324" spans="1:55">
      <c r="A324" s="20" t="s">
        <v>73</v>
      </c>
      <c r="B324" s="21"/>
      <c r="C324" s="20"/>
      <c r="D324" s="22"/>
      <c r="E324" s="22"/>
      <c r="F324" s="21"/>
      <c r="G324" s="23"/>
      <c r="H324" s="24"/>
      <c r="I324" s="22"/>
      <c r="J324" s="22"/>
      <c r="K324" s="22"/>
      <c r="L324" s="21"/>
      <c r="M324" s="20"/>
      <c r="N324" s="20"/>
      <c r="O324" s="23"/>
      <c r="P324" s="21"/>
      <c r="Q324" s="20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1"/>
      <c r="AU324" s="25" t="str">
        <f t="shared" si="8"/>
        <v>1Q42</v>
      </c>
      <c r="AV324" t="str">
        <f t="shared" si="9"/>
        <v>1Q42</v>
      </c>
      <c r="BA324">
        <f ca="1">IF(COUNTBLANK(C324)=0,COUNTA(INDIRECT(CONCATENATE("Area!",LEFT(ADDRESS(1,MATCH(C324,Area!$1:$1,0),4),1),"2:",LEFT(ADDRESS(1,MATCH(C324,Area!$1:$1,0),4),1),"99"))),0)</f>
        <v>0</v>
      </c>
      <c r="BB324">
        <f ca="1">IF(COUNTBLANK(D324)=0,COUNTA(INDIRECT(CONCATENATE("Setup!",LEFT(ADDRESS(1,MATCH(CONCATENATE(C324,":",D324),Setup!$1:$1,0),4),1),"2:",LEFT(ADDRESS(1,MATCH(CONCATENATE(C324,":",D324),Setup!$1:$1,0),4),1),"99"))),0)</f>
        <v>0</v>
      </c>
      <c r="BC324">
        <f ca="1">IF(COUNTBLANK(E324)=0,COUNTA(INDIRECT(CONCATENATE("Comp!",SUBSTITUTE(ADDRESS(1,MATCH(CONCATENATE(C324,":",D324,":",E324),Comp!$1:$1,0),4),"1",""),"2:",SUBSTITUTE(ADDRESS(1,MATCH(CONCATENATE(C324,":",D324,":",E324),Comp!$1:$1,0),4),"1",""),"99"))),0)</f>
        <v>0</v>
      </c>
    </row>
    <row r="325" spans="1:55">
      <c r="A325" s="20" t="s">
        <v>73</v>
      </c>
      <c r="B325" s="21"/>
      <c r="C325" s="20"/>
      <c r="D325" s="22"/>
      <c r="E325" s="22"/>
      <c r="F325" s="21"/>
      <c r="G325" s="23"/>
      <c r="H325" s="24"/>
      <c r="I325" s="22"/>
      <c r="J325" s="22"/>
      <c r="K325" s="22"/>
      <c r="L325" s="21"/>
      <c r="M325" s="20"/>
      <c r="N325" s="20"/>
      <c r="O325" s="23"/>
      <c r="P325" s="21"/>
      <c r="Q325" s="20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1"/>
      <c r="AU325" s="25" t="str">
        <f t="shared" si="8"/>
        <v>1Q42</v>
      </c>
      <c r="AV325" t="str">
        <f t="shared" si="9"/>
        <v>1Q42</v>
      </c>
      <c r="BA325">
        <f ca="1">IF(COUNTBLANK(C325)=0,COUNTA(INDIRECT(CONCATENATE("Area!",LEFT(ADDRESS(1,MATCH(C325,Area!$1:$1,0),4),1),"2:",LEFT(ADDRESS(1,MATCH(C325,Area!$1:$1,0),4),1),"99"))),0)</f>
        <v>0</v>
      </c>
      <c r="BB325">
        <f ca="1">IF(COUNTBLANK(D325)=0,COUNTA(INDIRECT(CONCATENATE("Setup!",LEFT(ADDRESS(1,MATCH(CONCATENATE(C325,":",D325),Setup!$1:$1,0),4),1),"2:",LEFT(ADDRESS(1,MATCH(CONCATENATE(C325,":",D325),Setup!$1:$1,0),4),1),"99"))),0)</f>
        <v>0</v>
      </c>
      <c r="BC325">
        <f ca="1">IF(COUNTBLANK(E325)=0,COUNTA(INDIRECT(CONCATENATE("Comp!",SUBSTITUTE(ADDRESS(1,MATCH(CONCATENATE(C325,":",D325,":",E325),Comp!$1:$1,0),4),"1",""),"2:",SUBSTITUTE(ADDRESS(1,MATCH(CONCATENATE(C325,":",D325,":",E325),Comp!$1:$1,0),4),"1",""),"99"))),0)</f>
        <v>0</v>
      </c>
    </row>
    <row r="326" spans="1:55">
      <c r="A326" s="20" t="s">
        <v>73</v>
      </c>
      <c r="B326" s="21"/>
      <c r="C326" s="20"/>
      <c r="D326" s="22"/>
      <c r="E326" s="22"/>
      <c r="F326" s="21"/>
      <c r="G326" s="23"/>
      <c r="H326" s="24"/>
      <c r="I326" s="22"/>
      <c r="J326" s="22"/>
      <c r="K326" s="22"/>
      <c r="L326" s="21"/>
      <c r="M326" s="20"/>
      <c r="N326" s="20"/>
      <c r="O326" s="23"/>
      <c r="P326" s="21"/>
      <c r="Q326" s="20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1"/>
      <c r="AU326" s="25" t="str">
        <f t="shared" si="8"/>
        <v>1Q42</v>
      </c>
      <c r="AV326" t="str">
        <f t="shared" si="9"/>
        <v>1Q42</v>
      </c>
      <c r="BA326">
        <f ca="1">IF(COUNTBLANK(C326)=0,COUNTA(INDIRECT(CONCATENATE("Area!",LEFT(ADDRESS(1,MATCH(C326,Area!$1:$1,0),4),1),"2:",LEFT(ADDRESS(1,MATCH(C326,Area!$1:$1,0),4),1),"99"))),0)</f>
        <v>0</v>
      </c>
      <c r="BB326">
        <f ca="1">IF(COUNTBLANK(D326)=0,COUNTA(INDIRECT(CONCATENATE("Setup!",LEFT(ADDRESS(1,MATCH(CONCATENATE(C326,":",D326),Setup!$1:$1,0),4),1),"2:",LEFT(ADDRESS(1,MATCH(CONCATENATE(C326,":",D326),Setup!$1:$1,0),4),1),"99"))),0)</f>
        <v>0</v>
      </c>
      <c r="BC326">
        <f ca="1">IF(COUNTBLANK(E326)=0,COUNTA(INDIRECT(CONCATENATE("Comp!",SUBSTITUTE(ADDRESS(1,MATCH(CONCATENATE(C326,":",D326,":",E326),Comp!$1:$1,0),4),"1",""),"2:",SUBSTITUTE(ADDRESS(1,MATCH(CONCATENATE(C326,":",D326,":",E326),Comp!$1:$1,0),4),"1",""),"99"))),0)</f>
        <v>0</v>
      </c>
    </row>
    <row r="327" spans="1:55">
      <c r="A327" s="20" t="s">
        <v>73</v>
      </c>
      <c r="B327" s="21"/>
      <c r="C327" s="20"/>
      <c r="D327" s="22"/>
      <c r="E327" s="22"/>
      <c r="F327" s="21"/>
      <c r="G327" s="23"/>
      <c r="H327" s="24"/>
      <c r="I327" s="22"/>
      <c r="J327" s="22"/>
      <c r="K327" s="22"/>
      <c r="L327" s="21"/>
      <c r="M327" s="20"/>
      <c r="N327" s="20"/>
      <c r="O327" s="23"/>
      <c r="P327" s="21"/>
      <c r="Q327" s="20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1"/>
      <c r="AU327" s="25" t="str">
        <f t="shared" si="8"/>
        <v>1Q42</v>
      </c>
      <c r="AV327" t="str">
        <f t="shared" si="9"/>
        <v>1Q42</v>
      </c>
      <c r="BA327">
        <f ca="1">IF(COUNTBLANK(C327)=0,COUNTA(INDIRECT(CONCATENATE("Area!",LEFT(ADDRESS(1,MATCH(C327,Area!$1:$1,0),4),1),"2:",LEFT(ADDRESS(1,MATCH(C327,Area!$1:$1,0),4),1),"99"))),0)</f>
        <v>0</v>
      </c>
      <c r="BB327">
        <f ca="1">IF(COUNTBLANK(D327)=0,COUNTA(INDIRECT(CONCATENATE("Setup!",LEFT(ADDRESS(1,MATCH(CONCATENATE(C327,":",D327),Setup!$1:$1,0),4),1),"2:",LEFT(ADDRESS(1,MATCH(CONCATENATE(C327,":",D327),Setup!$1:$1,0),4),1),"99"))),0)</f>
        <v>0</v>
      </c>
      <c r="BC327">
        <f ca="1">IF(COUNTBLANK(E327)=0,COUNTA(INDIRECT(CONCATENATE("Comp!",SUBSTITUTE(ADDRESS(1,MATCH(CONCATENATE(C327,":",D327,":",E327),Comp!$1:$1,0),4),"1",""),"2:",SUBSTITUTE(ADDRESS(1,MATCH(CONCATENATE(C327,":",D327,":",E327),Comp!$1:$1,0),4),"1",""),"99"))),0)</f>
        <v>0</v>
      </c>
    </row>
    <row r="328" spans="1:55">
      <c r="A328" s="20" t="s">
        <v>73</v>
      </c>
      <c r="B328" s="21"/>
      <c r="C328" s="20"/>
      <c r="D328" s="22"/>
      <c r="E328" s="22"/>
      <c r="F328" s="21"/>
      <c r="G328" s="23"/>
      <c r="H328" s="24"/>
      <c r="I328" s="22"/>
      <c r="J328" s="22"/>
      <c r="K328" s="22"/>
      <c r="L328" s="21"/>
      <c r="M328" s="20"/>
      <c r="N328" s="20"/>
      <c r="O328" s="23"/>
      <c r="P328" s="21"/>
      <c r="Q328" s="20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1"/>
      <c r="AU328" s="25" t="str">
        <f t="shared" si="8"/>
        <v>1Q42</v>
      </c>
      <c r="AV328" t="str">
        <f t="shared" si="9"/>
        <v>1Q42</v>
      </c>
      <c r="BA328">
        <f ca="1">IF(COUNTBLANK(C328)=0,COUNTA(INDIRECT(CONCATENATE("Area!",LEFT(ADDRESS(1,MATCH(C328,Area!$1:$1,0),4),1),"2:",LEFT(ADDRESS(1,MATCH(C328,Area!$1:$1,0),4),1),"99"))),0)</f>
        <v>0</v>
      </c>
      <c r="BB328">
        <f ca="1">IF(COUNTBLANK(D328)=0,COUNTA(INDIRECT(CONCATENATE("Setup!",LEFT(ADDRESS(1,MATCH(CONCATENATE(C328,":",D328),Setup!$1:$1,0),4),1),"2:",LEFT(ADDRESS(1,MATCH(CONCATENATE(C328,":",D328),Setup!$1:$1,0),4),1),"99"))),0)</f>
        <v>0</v>
      </c>
      <c r="BC328">
        <f ca="1">IF(COUNTBLANK(E328)=0,COUNTA(INDIRECT(CONCATENATE("Comp!",SUBSTITUTE(ADDRESS(1,MATCH(CONCATENATE(C328,":",D328,":",E328),Comp!$1:$1,0),4),"1",""),"2:",SUBSTITUTE(ADDRESS(1,MATCH(CONCATENATE(C328,":",D328,":",E328),Comp!$1:$1,0),4),"1",""),"99"))),0)</f>
        <v>0</v>
      </c>
    </row>
    <row r="329" spans="1:55">
      <c r="A329" s="20" t="s">
        <v>73</v>
      </c>
      <c r="B329" s="21"/>
      <c r="C329" s="20"/>
      <c r="D329" s="22"/>
      <c r="E329" s="22"/>
      <c r="F329" s="21"/>
      <c r="G329" s="23"/>
      <c r="H329" s="24"/>
      <c r="I329" s="22"/>
      <c r="J329" s="22"/>
      <c r="K329" s="22"/>
      <c r="L329" s="21"/>
      <c r="M329" s="20"/>
      <c r="N329" s="20"/>
      <c r="O329" s="23"/>
      <c r="P329" s="21"/>
      <c r="Q329" s="20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1"/>
      <c r="AU329" s="25" t="str">
        <f t="shared" ref="AU329:AU392" si="10">CONCATENATE(A329,B329)</f>
        <v>1Q42</v>
      </c>
      <c r="AV329" t="str">
        <f t="shared" ref="AV329:AV392" si="11">CONCATENATE(A329,B329)</f>
        <v>1Q42</v>
      </c>
      <c r="BA329">
        <f ca="1">IF(COUNTBLANK(C329)=0,COUNTA(INDIRECT(CONCATENATE("Area!",LEFT(ADDRESS(1,MATCH(C329,Area!$1:$1,0),4),1),"2:",LEFT(ADDRESS(1,MATCH(C329,Area!$1:$1,0),4),1),"99"))),0)</f>
        <v>0</v>
      </c>
      <c r="BB329">
        <f ca="1">IF(COUNTBLANK(D329)=0,COUNTA(INDIRECT(CONCATENATE("Setup!",LEFT(ADDRESS(1,MATCH(CONCATENATE(C329,":",D329),Setup!$1:$1,0),4),1),"2:",LEFT(ADDRESS(1,MATCH(CONCATENATE(C329,":",D329),Setup!$1:$1,0),4),1),"99"))),0)</f>
        <v>0</v>
      </c>
      <c r="BC329">
        <f ca="1">IF(COUNTBLANK(E329)=0,COUNTA(INDIRECT(CONCATENATE("Comp!",SUBSTITUTE(ADDRESS(1,MATCH(CONCATENATE(C329,":",D329,":",E329),Comp!$1:$1,0),4),"1",""),"2:",SUBSTITUTE(ADDRESS(1,MATCH(CONCATENATE(C329,":",D329,":",E329),Comp!$1:$1,0),4),"1",""),"99"))),0)</f>
        <v>0</v>
      </c>
    </row>
    <row r="330" spans="1:55">
      <c r="A330" s="20" t="s">
        <v>73</v>
      </c>
      <c r="B330" s="21"/>
      <c r="C330" s="20"/>
      <c r="D330" s="22"/>
      <c r="E330" s="22"/>
      <c r="F330" s="21"/>
      <c r="G330" s="23"/>
      <c r="H330" s="24"/>
      <c r="I330" s="22"/>
      <c r="J330" s="22"/>
      <c r="K330" s="22"/>
      <c r="L330" s="21"/>
      <c r="M330" s="20"/>
      <c r="N330" s="20"/>
      <c r="O330" s="23"/>
      <c r="P330" s="21"/>
      <c r="Q330" s="20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1"/>
      <c r="AU330" s="25" t="str">
        <f t="shared" si="10"/>
        <v>1Q42</v>
      </c>
      <c r="AV330" t="str">
        <f t="shared" si="11"/>
        <v>1Q42</v>
      </c>
      <c r="BA330">
        <f ca="1">IF(COUNTBLANK(C330)=0,COUNTA(INDIRECT(CONCATENATE("Area!",LEFT(ADDRESS(1,MATCH(C330,Area!$1:$1,0),4),1),"2:",LEFT(ADDRESS(1,MATCH(C330,Area!$1:$1,0),4),1),"99"))),0)</f>
        <v>0</v>
      </c>
      <c r="BB330">
        <f ca="1">IF(COUNTBLANK(D330)=0,COUNTA(INDIRECT(CONCATENATE("Setup!",LEFT(ADDRESS(1,MATCH(CONCATENATE(C330,":",D330),Setup!$1:$1,0),4),1),"2:",LEFT(ADDRESS(1,MATCH(CONCATENATE(C330,":",D330),Setup!$1:$1,0),4),1),"99"))),0)</f>
        <v>0</v>
      </c>
      <c r="BC330">
        <f ca="1">IF(COUNTBLANK(E330)=0,COUNTA(INDIRECT(CONCATENATE("Comp!",SUBSTITUTE(ADDRESS(1,MATCH(CONCATENATE(C330,":",D330,":",E330),Comp!$1:$1,0),4),"1",""),"2:",SUBSTITUTE(ADDRESS(1,MATCH(CONCATENATE(C330,":",D330,":",E330),Comp!$1:$1,0),4),"1",""),"99"))),0)</f>
        <v>0</v>
      </c>
    </row>
    <row r="331" spans="1:55">
      <c r="A331" s="20" t="s">
        <v>73</v>
      </c>
      <c r="B331" s="21"/>
      <c r="C331" s="20"/>
      <c r="D331" s="22"/>
      <c r="E331" s="22"/>
      <c r="F331" s="21"/>
      <c r="G331" s="23"/>
      <c r="H331" s="24"/>
      <c r="I331" s="22"/>
      <c r="J331" s="22"/>
      <c r="K331" s="22"/>
      <c r="L331" s="21"/>
      <c r="M331" s="20"/>
      <c r="N331" s="20"/>
      <c r="O331" s="23"/>
      <c r="P331" s="21"/>
      <c r="Q331" s="20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1"/>
      <c r="AU331" s="25" t="str">
        <f t="shared" si="10"/>
        <v>1Q42</v>
      </c>
      <c r="AV331" t="str">
        <f t="shared" si="11"/>
        <v>1Q42</v>
      </c>
      <c r="BA331">
        <f ca="1">IF(COUNTBLANK(C331)=0,COUNTA(INDIRECT(CONCATENATE("Area!",LEFT(ADDRESS(1,MATCH(C331,Area!$1:$1,0),4),1),"2:",LEFT(ADDRESS(1,MATCH(C331,Area!$1:$1,0),4),1),"99"))),0)</f>
        <v>0</v>
      </c>
      <c r="BB331">
        <f ca="1">IF(COUNTBLANK(D331)=0,COUNTA(INDIRECT(CONCATENATE("Setup!",LEFT(ADDRESS(1,MATCH(CONCATENATE(C331,":",D331),Setup!$1:$1,0),4),1),"2:",LEFT(ADDRESS(1,MATCH(CONCATENATE(C331,":",D331),Setup!$1:$1,0),4),1),"99"))),0)</f>
        <v>0</v>
      </c>
      <c r="BC331">
        <f ca="1">IF(COUNTBLANK(E331)=0,COUNTA(INDIRECT(CONCATENATE("Comp!",SUBSTITUTE(ADDRESS(1,MATCH(CONCATENATE(C331,":",D331,":",E331),Comp!$1:$1,0),4),"1",""),"2:",SUBSTITUTE(ADDRESS(1,MATCH(CONCATENATE(C331,":",D331,":",E331),Comp!$1:$1,0),4),"1",""),"99"))),0)</f>
        <v>0</v>
      </c>
    </row>
    <row r="332" spans="1:55">
      <c r="A332" s="20" t="s">
        <v>73</v>
      </c>
      <c r="B332" s="21"/>
      <c r="C332" s="20"/>
      <c r="D332" s="22"/>
      <c r="E332" s="22"/>
      <c r="F332" s="21"/>
      <c r="G332" s="23"/>
      <c r="H332" s="24"/>
      <c r="I332" s="22"/>
      <c r="J332" s="22"/>
      <c r="K332" s="22"/>
      <c r="L332" s="21"/>
      <c r="M332" s="20"/>
      <c r="N332" s="20"/>
      <c r="O332" s="23"/>
      <c r="P332" s="21"/>
      <c r="Q332" s="20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1"/>
      <c r="AU332" s="25" t="str">
        <f t="shared" si="10"/>
        <v>1Q42</v>
      </c>
      <c r="AV332" t="str">
        <f t="shared" si="11"/>
        <v>1Q42</v>
      </c>
      <c r="BA332">
        <f ca="1">IF(COUNTBLANK(C332)=0,COUNTA(INDIRECT(CONCATENATE("Area!",LEFT(ADDRESS(1,MATCH(C332,Area!$1:$1,0),4),1),"2:",LEFT(ADDRESS(1,MATCH(C332,Area!$1:$1,0),4),1),"99"))),0)</f>
        <v>0</v>
      </c>
      <c r="BB332">
        <f ca="1">IF(COUNTBLANK(D332)=0,COUNTA(INDIRECT(CONCATENATE("Setup!",LEFT(ADDRESS(1,MATCH(CONCATENATE(C332,":",D332),Setup!$1:$1,0),4),1),"2:",LEFT(ADDRESS(1,MATCH(CONCATENATE(C332,":",D332),Setup!$1:$1,0),4),1),"99"))),0)</f>
        <v>0</v>
      </c>
      <c r="BC332">
        <f ca="1">IF(COUNTBLANK(E332)=0,COUNTA(INDIRECT(CONCATENATE("Comp!",SUBSTITUTE(ADDRESS(1,MATCH(CONCATENATE(C332,":",D332,":",E332),Comp!$1:$1,0),4),"1",""),"2:",SUBSTITUTE(ADDRESS(1,MATCH(CONCATENATE(C332,":",D332,":",E332),Comp!$1:$1,0),4),"1",""),"99"))),0)</f>
        <v>0</v>
      </c>
    </row>
    <row r="333" spans="1:55">
      <c r="A333" s="20" t="s">
        <v>73</v>
      </c>
      <c r="B333" s="21"/>
      <c r="C333" s="20"/>
      <c r="D333" s="22"/>
      <c r="E333" s="22"/>
      <c r="F333" s="21"/>
      <c r="G333" s="23"/>
      <c r="H333" s="24"/>
      <c r="I333" s="22"/>
      <c r="J333" s="22"/>
      <c r="K333" s="22"/>
      <c r="L333" s="21"/>
      <c r="M333" s="20"/>
      <c r="N333" s="20"/>
      <c r="O333" s="23"/>
      <c r="P333" s="21"/>
      <c r="Q333" s="20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1"/>
      <c r="AU333" s="25" t="str">
        <f t="shared" si="10"/>
        <v>1Q42</v>
      </c>
      <c r="AV333" t="str">
        <f t="shared" si="11"/>
        <v>1Q42</v>
      </c>
      <c r="BA333">
        <f ca="1">IF(COUNTBLANK(C333)=0,COUNTA(INDIRECT(CONCATENATE("Area!",LEFT(ADDRESS(1,MATCH(C333,Area!$1:$1,0),4),1),"2:",LEFT(ADDRESS(1,MATCH(C333,Area!$1:$1,0),4),1),"99"))),0)</f>
        <v>0</v>
      </c>
      <c r="BB333">
        <f ca="1">IF(COUNTBLANK(D333)=0,COUNTA(INDIRECT(CONCATENATE("Setup!",LEFT(ADDRESS(1,MATCH(CONCATENATE(C333,":",D333),Setup!$1:$1,0),4),1),"2:",LEFT(ADDRESS(1,MATCH(CONCATENATE(C333,":",D333),Setup!$1:$1,0),4),1),"99"))),0)</f>
        <v>0</v>
      </c>
      <c r="BC333">
        <f ca="1">IF(COUNTBLANK(E333)=0,COUNTA(INDIRECT(CONCATENATE("Comp!",SUBSTITUTE(ADDRESS(1,MATCH(CONCATENATE(C333,":",D333,":",E333),Comp!$1:$1,0),4),"1",""),"2:",SUBSTITUTE(ADDRESS(1,MATCH(CONCATENATE(C333,":",D333,":",E333),Comp!$1:$1,0),4),"1",""),"99"))),0)</f>
        <v>0</v>
      </c>
    </row>
    <row r="334" spans="1:55">
      <c r="A334" s="20" t="s">
        <v>73</v>
      </c>
      <c r="B334" s="21"/>
      <c r="C334" s="20"/>
      <c r="D334" s="22"/>
      <c r="E334" s="22"/>
      <c r="F334" s="21"/>
      <c r="G334" s="23"/>
      <c r="H334" s="24"/>
      <c r="I334" s="22"/>
      <c r="J334" s="22"/>
      <c r="K334" s="22"/>
      <c r="L334" s="21"/>
      <c r="M334" s="20"/>
      <c r="N334" s="20"/>
      <c r="O334" s="23"/>
      <c r="P334" s="21"/>
      <c r="Q334" s="20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1"/>
      <c r="AU334" s="25" t="str">
        <f t="shared" si="10"/>
        <v>1Q42</v>
      </c>
      <c r="AV334" t="str">
        <f t="shared" si="11"/>
        <v>1Q42</v>
      </c>
      <c r="BA334">
        <f ca="1">IF(COUNTBLANK(C334)=0,COUNTA(INDIRECT(CONCATENATE("Area!",LEFT(ADDRESS(1,MATCH(C334,Area!$1:$1,0),4),1),"2:",LEFT(ADDRESS(1,MATCH(C334,Area!$1:$1,0),4),1),"99"))),0)</f>
        <v>0</v>
      </c>
      <c r="BB334">
        <f ca="1">IF(COUNTBLANK(D334)=0,COUNTA(INDIRECT(CONCATENATE("Setup!",LEFT(ADDRESS(1,MATCH(CONCATENATE(C334,":",D334),Setup!$1:$1,0),4),1),"2:",LEFT(ADDRESS(1,MATCH(CONCATENATE(C334,":",D334),Setup!$1:$1,0),4),1),"99"))),0)</f>
        <v>0</v>
      </c>
      <c r="BC334">
        <f ca="1">IF(COUNTBLANK(E334)=0,COUNTA(INDIRECT(CONCATENATE("Comp!",SUBSTITUTE(ADDRESS(1,MATCH(CONCATENATE(C334,":",D334,":",E334),Comp!$1:$1,0),4),"1",""),"2:",SUBSTITUTE(ADDRESS(1,MATCH(CONCATENATE(C334,":",D334,":",E334),Comp!$1:$1,0),4),"1",""),"99"))),0)</f>
        <v>0</v>
      </c>
    </row>
    <row r="335" spans="1:55">
      <c r="A335" s="20" t="s">
        <v>73</v>
      </c>
      <c r="B335" s="21"/>
      <c r="C335" s="20"/>
      <c r="D335" s="22"/>
      <c r="E335" s="22"/>
      <c r="F335" s="21"/>
      <c r="G335" s="23"/>
      <c r="H335" s="24"/>
      <c r="I335" s="22"/>
      <c r="J335" s="22"/>
      <c r="K335" s="22"/>
      <c r="L335" s="21"/>
      <c r="M335" s="20"/>
      <c r="N335" s="20"/>
      <c r="O335" s="23"/>
      <c r="P335" s="21"/>
      <c r="Q335" s="20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1"/>
      <c r="AU335" s="25" t="str">
        <f t="shared" si="10"/>
        <v>1Q42</v>
      </c>
      <c r="AV335" t="str">
        <f t="shared" si="11"/>
        <v>1Q42</v>
      </c>
      <c r="BA335">
        <f ca="1">IF(COUNTBLANK(C335)=0,COUNTA(INDIRECT(CONCATENATE("Area!",LEFT(ADDRESS(1,MATCH(C335,Area!$1:$1,0),4),1),"2:",LEFT(ADDRESS(1,MATCH(C335,Area!$1:$1,0),4),1),"99"))),0)</f>
        <v>0</v>
      </c>
      <c r="BB335">
        <f ca="1">IF(COUNTBLANK(D335)=0,COUNTA(INDIRECT(CONCATENATE("Setup!",LEFT(ADDRESS(1,MATCH(CONCATENATE(C335,":",D335),Setup!$1:$1,0),4),1),"2:",LEFT(ADDRESS(1,MATCH(CONCATENATE(C335,":",D335),Setup!$1:$1,0),4),1),"99"))),0)</f>
        <v>0</v>
      </c>
      <c r="BC335">
        <f ca="1">IF(COUNTBLANK(E335)=0,COUNTA(INDIRECT(CONCATENATE("Comp!",SUBSTITUTE(ADDRESS(1,MATCH(CONCATENATE(C335,":",D335,":",E335),Comp!$1:$1,0),4),"1",""),"2:",SUBSTITUTE(ADDRESS(1,MATCH(CONCATENATE(C335,":",D335,":",E335),Comp!$1:$1,0),4),"1",""),"99"))),0)</f>
        <v>0</v>
      </c>
    </row>
    <row r="336" spans="1:55">
      <c r="A336" s="20" t="s">
        <v>73</v>
      </c>
      <c r="B336" s="21"/>
      <c r="C336" s="20"/>
      <c r="D336" s="22"/>
      <c r="E336" s="22"/>
      <c r="F336" s="21"/>
      <c r="G336" s="23"/>
      <c r="H336" s="24"/>
      <c r="I336" s="22"/>
      <c r="J336" s="22"/>
      <c r="K336" s="22"/>
      <c r="L336" s="21"/>
      <c r="M336" s="20"/>
      <c r="N336" s="20"/>
      <c r="O336" s="23"/>
      <c r="P336" s="21"/>
      <c r="Q336" s="20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1"/>
      <c r="AU336" s="25" t="str">
        <f t="shared" si="10"/>
        <v>1Q42</v>
      </c>
      <c r="AV336" t="str">
        <f t="shared" si="11"/>
        <v>1Q42</v>
      </c>
      <c r="BA336">
        <f ca="1">IF(COUNTBLANK(C336)=0,COUNTA(INDIRECT(CONCATENATE("Area!",LEFT(ADDRESS(1,MATCH(C336,Area!$1:$1,0),4),1),"2:",LEFT(ADDRESS(1,MATCH(C336,Area!$1:$1,0),4),1),"99"))),0)</f>
        <v>0</v>
      </c>
      <c r="BB336">
        <f ca="1">IF(COUNTBLANK(D336)=0,COUNTA(INDIRECT(CONCATENATE("Setup!",LEFT(ADDRESS(1,MATCH(CONCATENATE(C336,":",D336),Setup!$1:$1,0),4),1),"2:",LEFT(ADDRESS(1,MATCH(CONCATENATE(C336,":",D336),Setup!$1:$1,0),4),1),"99"))),0)</f>
        <v>0</v>
      </c>
      <c r="BC336">
        <f ca="1">IF(COUNTBLANK(E336)=0,COUNTA(INDIRECT(CONCATENATE("Comp!",SUBSTITUTE(ADDRESS(1,MATCH(CONCATENATE(C336,":",D336,":",E336),Comp!$1:$1,0),4),"1",""),"2:",SUBSTITUTE(ADDRESS(1,MATCH(CONCATENATE(C336,":",D336,":",E336),Comp!$1:$1,0),4),"1",""),"99"))),0)</f>
        <v>0</v>
      </c>
    </row>
    <row r="337" spans="1:55">
      <c r="A337" s="20" t="s">
        <v>73</v>
      </c>
      <c r="B337" s="21"/>
      <c r="C337" s="20"/>
      <c r="D337" s="22"/>
      <c r="E337" s="22"/>
      <c r="F337" s="21"/>
      <c r="G337" s="23"/>
      <c r="H337" s="24"/>
      <c r="I337" s="22"/>
      <c r="J337" s="22"/>
      <c r="K337" s="22"/>
      <c r="L337" s="21"/>
      <c r="M337" s="20"/>
      <c r="N337" s="20"/>
      <c r="O337" s="23"/>
      <c r="P337" s="21"/>
      <c r="Q337" s="20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1"/>
      <c r="AU337" s="25" t="str">
        <f t="shared" si="10"/>
        <v>1Q42</v>
      </c>
      <c r="AV337" t="str">
        <f t="shared" si="11"/>
        <v>1Q42</v>
      </c>
      <c r="BA337">
        <f ca="1">IF(COUNTBLANK(C337)=0,COUNTA(INDIRECT(CONCATENATE("Area!",LEFT(ADDRESS(1,MATCH(C337,Area!$1:$1,0),4),1),"2:",LEFT(ADDRESS(1,MATCH(C337,Area!$1:$1,0),4),1),"99"))),0)</f>
        <v>0</v>
      </c>
      <c r="BB337">
        <f ca="1">IF(COUNTBLANK(D337)=0,COUNTA(INDIRECT(CONCATENATE("Setup!",LEFT(ADDRESS(1,MATCH(CONCATENATE(C337,":",D337),Setup!$1:$1,0),4),1),"2:",LEFT(ADDRESS(1,MATCH(CONCATENATE(C337,":",D337),Setup!$1:$1,0),4),1),"99"))),0)</f>
        <v>0</v>
      </c>
      <c r="BC337">
        <f ca="1">IF(COUNTBLANK(E337)=0,COUNTA(INDIRECT(CONCATENATE("Comp!",SUBSTITUTE(ADDRESS(1,MATCH(CONCATENATE(C337,":",D337,":",E337),Comp!$1:$1,0),4),"1",""),"2:",SUBSTITUTE(ADDRESS(1,MATCH(CONCATENATE(C337,":",D337,":",E337),Comp!$1:$1,0),4),"1",""),"99"))),0)</f>
        <v>0</v>
      </c>
    </row>
    <row r="338" spans="1:55">
      <c r="A338" s="20" t="s">
        <v>73</v>
      </c>
      <c r="B338" s="21"/>
      <c r="C338" s="20"/>
      <c r="D338" s="22"/>
      <c r="E338" s="22"/>
      <c r="F338" s="21"/>
      <c r="G338" s="23"/>
      <c r="H338" s="24"/>
      <c r="I338" s="22"/>
      <c r="J338" s="22"/>
      <c r="K338" s="22"/>
      <c r="L338" s="21"/>
      <c r="M338" s="20"/>
      <c r="N338" s="20"/>
      <c r="O338" s="23"/>
      <c r="P338" s="21"/>
      <c r="Q338" s="20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1"/>
      <c r="AU338" s="25" t="str">
        <f t="shared" si="10"/>
        <v>1Q42</v>
      </c>
      <c r="AV338" t="str">
        <f t="shared" si="11"/>
        <v>1Q42</v>
      </c>
      <c r="BA338">
        <f ca="1">IF(COUNTBLANK(C338)=0,COUNTA(INDIRECT(CONCATENATE("Area!",LEFT(ADDRESS(1,MATCH(C338,Area!$1:$1,0),4),1),"2:",LEFT(ADDRESS(1,MATCH(C338,Area!$1:$1,0),4),1),"99"))),0)</f>
        <v>0</v>
      </c>
      <c r="BB338">
        <f ca="1">IF(COUNTBLANK(D338)=0,COUNTA(INDIRECT(CONCATENATE("Setup!",LEFT(ADDRESS(1,MATCH(CONCATENATE(C338,":",D338),Setup!$1:$1,0),4),1),"2:",LEFT(ADDRESS(1,MATCH(CONCATENATE(C338,":",D338),Setup!$1:$1,0),4),1),"99"))),0)</f>
        <v>0</v>
      </c>
      <c r="BC338">
        <f ca="1">IF(COUNTBLANK(E338)=0,COUNTA(INDIRECT(CONCATENATE("Comp!",SUBSTITUTE(ADDRESS(1,MATCH(CONCATENATE(C338,":",D338,":",E338),Comp!$1:$1,0),4),"1",""),"2:",SUBSTITUTE(ADDRESS(1,MATCH(CONCATENATE(C338,":",D338,":",E338),Comp!$1:$1,0),4),"1",""),"99"))),0)</f>
        <v>0</v>
      </c>
    </row>
    <row r="339" spans="1:55">
      <c r="A339" s="20" t="s">
        <v>73</v>
      </c>
      <c r="B339" s="21"/>
      <c r="C339" s="20"/>
      <c r="D339" s="22"/>
      <c r="E339" s="22"/>
      <c r="F339" s="21"/>
      <c r="G339" s="23"/>
      <c r="H339" s="24"/>
      <c r="I339" s="22"/>
      <c r="J339" s="22"/>
      <c r="K339" s="22"/>
      <c r="L339" s="21"/>
      <c r="M339" s="20"/>
      <c r="N339" s="20"/>
      <c r="O339" s="23"/>
      <c r="P339" s="21"/>
      <c r="Q339" s="20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1"/>
      <c r="AU339" s="25" t="str">
        <f t="shared" si="10"/>
        <v>1Q42</v>
      </c>
      <c r="AV339" t="str">
        <f t="shared" si="11"/>
        <v>1Q42</v>
      </c>
      <c r="BA339">
        <f ca="1">IF(COUNTBLANK(C339)=0,COUNTA(INDIRECT(CONCATENATE("Area!",LEFT(ADDRESS(1,MATCH(C339,Area!$1:$1,0),4),1),"2:",LEFT(ADDRESS(1,MATCH(C339,Area!$1:$1,0),4),1),"99"))),0)</f>
        <v>0</v>
      </c>
      <c r="BB339">
        <f ca="1">IF(COUNTBLANK(D339)=0,COUNTA(INDIRECT(CONCATENATE("Setup!",LEFT(ADDRESS(1,MATCH(CONCATENATE(C339,":",D339),Setup!$1:$1,0),4),1),"2:",LEFT(ADDRESS(1,MATCH(CONCATENATE(C339,":",D339),Setup!$1:$1,0),4),1),"99"))),0)</f>
        <v>0</v>
      </c>
      <c r="BC339">
        <f ca="1">IF(COUNTBLANK(E339)=0,COUNTA(INDIRECT(CONCATENATE("Comp!",SUBSTITUTE(ADDRESS(1,MATCH(CONCATENATE(C339,":",D339,":",E339),Comp!$1:$1,0),4),"1",""),"2:",SUBSTITUTE(ADDRESS(1,MATCH(CONCATENATE(C339,":",D339,":",E339),Comp!$1:$1,0),4),"1",""),"99"))),0)</f>
        <v>0</v>
      </c>
    </row>
    <row r="340" spans="1:55">
      <c r="A340" s="20" t="s">
        <v>73</v>
      </c>
      <c r="B340" s="21"/>
      <c r="C340" s="20"/>
      <c r="D340" s="22"/>
      <c r="E340" s="22"/>
      <c r="F340" s="21"/>
      <c r="G340" s="23"/>
      <c r="H340" s="24"/>
      <c r="I340" s="22"/>
      <c r="J340" s="22"/>
      <c r="K340" s="22"/>
      <c r="L340" s="21"/>
      <c r="M340" s="20"/>
      <c r="N340" s="20"/>
      <c r="O340" s="23"/>
      <c r="P340" s="21"/>
      <c r="Q340" s="20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1"/>
      <c r="AU340" s="25" t="str">
        <f t="shared" si="10"/>
        <v>1Q42</v>
      </c>
      <c r="AV340" t="str">
        <f t="shared" si="11"/>
        <v>1Q42</v>
      </c>
      <c r="BA340">
        <f ca="1">IF(COUNTBLANK(C340)=0,COUNTA(INDIRECT(CONCATENATE("Area!",LEFT(ADDRESS(1,MATCH(C340,Area!$1:$1,0),4),1),"2:",LEFT(ADDRESS(1,MATCH(C340,Area!$1:$1,0),4),1),"99"))),0)</f>
        <v>0</v>
      </c>
      <c r="BB340">
        <f ca="1">IF(COUNTBLANK(D340)=0,COUNTA(INDIRECT(CONCATENATE("Setup!",LEFT(ADDRESS(1,MATCH(CONCATENATE(C340,":",D340),Setup!$1:$1,0),4),1),"2:",LEFT(ADDRESS(1,MATCH(CONCATENATE(C340,":",D340),Setup!$1:$1,0),4),1),"99"))),0)</f>
        <v>0</v>
      </c>
      <c r="BC340">
        <f ca="1">IF(COUNTBLANK(E340)=0,COUNTA(INDIRECT(CONCATENATE("Comp!",SUBSTITUTE(ADDRESS(1,MATCH(CONCATENATE(C340,":",D340,":",E340),Comp!$1:$1,0),4),"1",""),"2:",SUBSTITUTE(ADDRESS(1,MATCH(CONCATENATE(C340,":",D340,":",E340),Comp!$1:$1,0),4),"1",""),"99"))),0)</f>
        <v>0</v>
      </c>
    </row>
    <row r="341" spans="1:55">
      <c r="A341" s="20" t="s">
        <v>73</v>
      </c>
      <c r="B341" s="21"/>
      <c r="C341" s="20"/>
      <c r="D341" s="22"/>
      <c r="E341" s="22"/>
      <c r="F341" s="21"/>
      <c r="G341" s="23"/>
      <c r="H341" s="24"/>
      <c r="I341" s="22"/>
      <c r="J341" s="22"/>
      <c r="K341" s="22"/>
      <c r="L341" s="21"/>
      <c r="M341" s="20"/>
      <c r="N341" s="20"/>
      <c r="O341" s="23"/>
      <c r="P341" s="21"/>
      <c r="Q341" s="20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1"/>
      <c r="AU341" s="25" t="str">
        <f t="shared" si="10"/>
        <v>1Q42</v>
      </c>
      <c r="AV341" t="str">
        <f t="shared" si="11"/>
        <v>1Q42</v>
      </c>
      <c r="BA341">
        <f ca="1">IF(COUNTBLANK(C341)=0,COUNTA(INDIRECT(CONCATENATE("Area!",LEFT(ADDRESS(1,MATCH(C341,Area!$1:$1,0),4),1),"2:",LEFT(ADDRESS(1,MATCH(C341,Area!$1:$1,0),4),1),"99"))),0)</f>
        <v>0</v>
      </c>
      <c r="BB341">
        <f ca="1">IF(COUNTBLANK(D341)=0,COUNTA(INDIRECT(CONCATENATE("Setup!",LEFT(ADDRESS(1,MATCH(CONCATENATE(C341,":",D341),Setup!$1:$1,0),4),1),"2:",LEFT(ADDRESS(1,MATCH(CONCATENATE(C341,":",D341),Setup!$1:$1,0),4),1),"99"))),0)</f>
        <v>0</v>
      </c>
      <c r="BC341">
        <f ca="1">IF(COUNTBLANK(E341)=0,COUNTA(INDIRECT(CONCATENATE("Comp!",SUBSTITUTE(ADDRESS(1,MATCH(CONCATENATE(C341,":",D341,":",E341),Comp!$1:$1,0),4),"1",""),"2:",SUBSTITUTE(ADDRESS(1,MATCH(CONCATENATE(C341,":",D341,":",E341),Comp!$1:$1,0),4),"1",""),"99"))),0)</f>
        <v>0</v>
      </c>
    </row>
    <row r="342" spans="1:55">
      <c r="A342" s="20" t="s">
        <v>73</v>
      </c>
      <c r="B342" s="21"/>
      <c r="C342" s="20"/>
      <c r="D342" s="22"/>
      <c r="E342" s="22"/>
      <c r="F342" s="21"/>
      <c r="G342" s="23"/>
      <c r="H342" s="24"/>
      <c r="I342" s="22"/>
      <c r="J342" s="22"/>
      <c r="K342" s="22"/>
      <c r="L342" s="21"/>
      <c r="M342" s="20"/>
      <c r="N342" s="20"/>
      <c r="O342" s="23"/>
      <c r="P342" s="21"/>
      <c r="Q342" s="20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1"/>
      <c r="AU342" s="25" t="str">
        <f t="shared" si="10"/>
        <v>1Q42</v>
      </c>
      <c r="AV342" t="str">
        <f t="shared" si="11"/>
        <v>1Q42</v>
      </c>
      <c r="BA342">
        <f ca="1">IF(COUNTBLANK(C342)=0,COUNTA(INDIRECT(CONCATENATE("Area!",LEFT(ADDRESS(1,MATCH(C342,Area!$1:$1,0),4),1),"2:",LEFT(ADDRESS(1,MATCH(C342,Area!$1:$1,0),4),1),"99"))),0)</f>
        <v>0</v>
      </c>
      <c r="BB342">
        <f ca="1">IF(COUNTBLANK(D342)=0,COUNTA(INDIRECT(CONCATENATE("Setup!",LEFT(ADDRESS(1,MATCH(CONCATENATE(C342,":",D342),Setup!$1:$1,0),4),1),"2:",LEFT(ADDRESS(1,MATCH(CONCATENATE(C342,":",D342),Setup!$1:$1,0),4),1),"99"))),0)</f>
        <v>0</v>
      </c>
      <c r="BC342">
        <f ca="1">IF(COUNTBLANK(E342)=0,COUNTA(INDIRECT(CONCATENATE("Comp!",SUBSTITUTE(ADDRESS(1,MATCH(CONCATENATE(C342,":",D342,":",E342),Comp!$1:$1,0),4),"1",""),"2:",SUBSTITUTE(ADDRESS(1,MATCH(CONCATENATE(C342,":",D342,":",E342),Comp!$1:$1,0),4),"1",""),"99"))),0)</f>
        <v>0</v>
      </c>
    </row>
    <row r="343" spans="1:55">
      <c r="A343" s="20" t="s">
        <v>73</v>
      </c>
      <c r="B343" s="21"/>
      <c r="C343" s="20"/>
      <c r="D343" s="22"/>
      <c r="E343" s="22"/>
      <c r="F343" s="21"/>
      <c r="G343" s="23"/>
      <c r="H343" s="24"/>
      <c r="I343" s="22"/>
      <c r="J343" s="22"/>
      <c r="K343" s="22"/>
      <c r="L343" s="21"/>
      <c r="M343" s="20"/>
      <c r="N343" s="20"/>
      <c r="O343" s="23"/>
      <c r="P343" s="21"/>
      <c r="Q343" s="20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1"/>
      <c r="AU343" s="25" t="str">
        <f t="shared" si="10"/>
        <v>1Q42</v>
      </c>
      <c r="AV343" t="str">
        <f t="shared" si="11"/>
        <v>1Q42</v>
      </c>
      <c r="BA343">
        <f ca="1">IF(COUNTBLANK(C343)=0,COUNTA(INDIRECT(CONCATENATE("Area!",LEFT(ADDRESS(1,MATCH(C343,Area!$1:$1,0),4),1),"2:",LEFT(ADDRESS(1,MATCH(C343,Area!$1:$1,0),4),1),"99"))),0)</f>
        <v>0</v>
      </c>
      <c r="BB343">
        <f ca="1">IF(COUNTBLANK(D343)=0,COUNTA(INDIRECT(CONCATENATE("Setup!",LEFT(ADDRESS(1,MATCH(CONCATENATE(C343,":",D343),Setup!$1:$1,0),4),1),"2:",LEFT(ADDRESS(1,MATCH(CONCATENATE(C343,":",D343),Setup!$1:$1,0),4),1),"99"))),0)</f>
        <v>0</v>
      </c>
      <c r="BC343">
        <f ca="1">IF(COUNTBLANK(E343)=0,COUNTA(INDIRECT(CONCATENATE("Comp!",SUBSTITUTE(ADDRESS(1,MATCH(CONCATENATE(C343,":",D343,":",E343),Comp!$1:$1,0),4),"1",""),"2:",SUBSTITUTE(ADDRESS(1,MATCH(CONCATENATE(C343,":",D343,":",E343),Comp!$1:$1,0),4),"1",""),"99"))),0)</f>
        <v>0</v>
      </c>
    </row>
    <row r="344" spans="1:55">
      <c r="A344" s="20" t="s">
        <v>73</v>
      </c>
      <c r="B344" s="21"/>
      <c r="C344" s="20"/>
      <c r="D344" s="22"/>
      <c r="E344" s="22"/>
      <c r="F344" s="21"/>
      <c r="G344" s="23"/>
      <c r="H344" s="24"/>
      <c r="I344" s="22"/>
      <c r="J344" s="22"/>
      <c r="K344" s="22"/>
      <c r="L344" s="21"/>
      <c r="M344" s="20"/>
      <c r="N344" s="20"/>
      <c r="O344" s="23"/>
      <c r="P344" s="21"/>
      <c r="Q344" s="20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1"/>
      <c r="AU344" s="25" t="str">
        <f t="shared" si="10"/>
        <v>1Q42</v>
      </c>
      <c r="AV344" t="str">
        <f t="shared" si="11"/>
        <v>1Q42</v>
      </c>
      <c r="BA344">
        <f ca="1">IF(COUNTBLANK(C344)=0,COUNTA(INDIRECT(CONCATENATE("Area!",LEFT(ADDRESS(1,MATCH(C344,Area!$1:$1,0),4),1),"2:",LEFT(ADDRESS(1,MATCH(C344,Area!$1:$1,0),4),1),"99"))),0)</f>
        <v>0</v>
      </c>
      <c r="BB344">
        <f ca="1">IF(COUNTBLANK(D344)=0,COUNTA(INDIRECT(CONCATENATE("Setup!",LEFT(ADDRESS(1,MATCH(CONCATENATE(C344,":",D344),Setup!$1:$1,0),4),1),"2:",LEFT(ADDRESS(1,MATCH(CONCATENATE(C344,":",D344),Setup!$1:$1,0),4),1),"99"))),0)</f>
        <v>0</v>
      </c>
      <c r="BC344">
        <f ca="1">IF(COUNTBLANK(E344)=0,COUNTA(INDIRECT(CONCATENATE("Comp!",SUBSTITUTE(ADDRESS(1,MATCH(CONCATENATE(C344,":",D344,":",E344),Comp!$1:$1,0),4),"1",""),"2:",SUBSTITUTE(ADDRESS(1,MATCH(CONCATENATE(C344,":",D344,":",E344),Comp!$1:$1,0),4),"1",""),"99"))),0)</f>
        <v>0</v>
      </c>
    </row>
    <row r="345" spans="1:55">
      <c r="A345" s="20" t="s">
        <v>73</v>
      </c>
      <c r="B345" s="21"/>
      <c r="C345" s="20"/>
      <c r="D345" s="22"/>
      <c r="E345" s="22"/>
      <c r="F345" s="21"/>
      <c r="G345" s="23"/>
      <c r="H345" s="24"/>
      <c r="I345" s="22"/>
      <c r="J345" s="22"/>
      <c r="K345" s="22"/>
      <c r="L345" s="21"/>
      <c r="M345" s="20"/>
      <c r="N345" s="20"/>
      <c r="O345" s="23"/>
      <c r="P345" s="21"/>
      <c r="Q345" s="20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1"/>
      <c r="AU345" s="25" t="str">
        <f t="shared" si="10"/>
        <v>1Q42</v>
      </c>
      <c r="AV345" t="str">
        <f t="shared" si="11"/>
        <v>1Q42</v>
      </c>
      <c r="BA345">
        <f ca="1">IF(COUNTBLANK(C345)=0,COUNTA(INDIRECT(CONCATENATE("Area!",LEFT(ADDRESS(1,MATCH(C345,Area!$1:$1,0),4),1),"2:",LEFT(ADDRESS(1,MATCH(C345,Area!$1:$1,0),4),1),"99"))),0)</f>
        <v>0</v>
      </c>
      <c r="BB345">
        <f ca="1">IF(COUNTBLANK(D345)=0,COUNTA(INDIRECT(CONCATENATE("Setup!",LEFT(ADDRESS(1,MATCH(CONCATENATE(C345,":",D345),Setup!$1:$1,0),4),1),"2:",LEFT(ADDRESS(1,MATCH(CONCATENATE(C345,":",D345),Setup!$1:$1,0),4),1),"99"))),0)</f>
        <v>0</v>
      </c>
      <c r="BC345">
        <f ca="1">IF(COUNTBLANK(E345)=0,COUNTA(INDIRECT(CONCATENATE("Comp!",SUBSTITUTE(ADDRESS(1,MATCH(CONCATENATE(C345,":",D345,":",E345),Comp!$1:$1,0),4),"1",""),"2:",SUBSTITUTE(ADDRESS(1,MATCH(CONCATENATE(C345,":",D345,":",E345),Comp!$1:$1,0),4),"1",""),"99"))),0)</f>
        <v>0</v>
      </c>
    </row>
    <row r="346" spans="1:55">
      <c r="A346" s="20" t="s">
        <v>73</v>
      </c>
      <c r="B346" s="21"/>
      <c r="C346" s="20"/>
      <c r="D346" s="22"/>
      <c r="E346" s="22"/>
      <c r="F346" s="21"/>
      <c r="G346" s="23"/>
      <c r="H346" s="24"/>
      <c r="I346" s="22"/>
      <c r="J346" s="22"/>
      <c r="K346" s="22"/>
      <c r="L346" s="21"/>
      <c r="M346" s="20"/>
      <c r="N346" s="20"/>
      <c r="O346" s="23"/>
      <c r="P346" s="21"/>
      <c r="Q346" s="20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1"/>
      <c r="AU346" s="25" t="str">
        <f t="shared" si="10"/>
        <v>1Q42</v>
      </c>
      <c r="AV346" t="str">
        <f t="shared" si="11"/>
        <v>1Q42</v>
      </c>
      <c r="BA346">
        <f ca="1">IF(COUNTBLANK(C346)=0,COUNTA(INDIRECT(CONCATENATE("Area!",LEFT(ADDRESS(1,MATCH(C346,Area!$1:$1,0),4),1),"2:",LEFT(ADDRESS(1,MATCH(C346,Area!$1:$1,0),4),1),"99"))),0)</f>
        <v>0</v>
      </c>
      <c r="BB346">
        <f ca="1">IF(COUNTBLANK(D346)=0,COUNTA(INDIRECT(CONCATENATE("Setup!",LEFT(ADDRESS(1,MATCH(CONCATENATE(C346,":",D346),Setup!$1:$1,0),4),1),"2:",LEFT(ADDRESS(1,MATCH(CONCATENATE(C346,":",D346),Setup!$1:$1,0),4),1),"99"))),0)</f>
        <v>0</v>
      </c>
      <c r="BC346">
        <f ca="1">IF(COUNTBLANK(E346)=0,COUNTA(INDIRECT(CONCATENATE("Comp!",SUBSTITUTE(ADDRESS(1,MATCH(CONCATENATE(C346,":",D346,":",E346),Comp!$1:$1,0),4),"1",""),"2:",SUBSTITUTE(ADDRESS(1,MATCH(CONCATENATE(C346,":",D346,":",E346),Comp!$1:$1,0),4),"1",""),"99"))),0)</f>
        <v>0</v>
      </c>
    </row>
    <row r="347" spans="1:55">
      <c r="A347" s="20" t="s">
        <v>73</v>
      </c>
      <c r="B347" s="21"/>
      <c r="C347" s="20"/>
      <c r="D347" s="22"/>
      <c r="E347" s="22"/>
      <c r="F347" s="21"/>
      <c r="G347" s="23"/>
      <c r="H347" s="24"/>
      <c r="I347" s="22"/>
      <c r="J347" s="22"/>
      <c r="K347" s="22"/>
      <c r="L347" s="21"/>
      <c r="M347" s="20"/>
      <c r="N347" s="20"/>
      <c r="O347" s="23"/>
      <c r="P347" s="21"/>
      <c r="Q347" s="20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1"/>
      <c r="AU347" s="25" t="str">
        <f t="shared" si="10"/>
        <v>1Q42</v>
      </c>
      <c r="AV347" t="str">
        <f t="shared" si="11"/>
        <v>1Q42</v>
      </c>
      <c r="BA347">
        <f ca="1">IF(COUNTBLANK(C347)=0,COUNTA(INDIRECT(CONCATENATE("Area!",LEFT(ADDRESS(1,MATCH(C347,Area!$1:$1,0),4),1),"2:",LEFT(ADDRESS(1,MATCH(C347,Area!$1:$1,0),4),1),"99"))),0)</f>
        <v>0</v>
      </c>
      <c r="BB347">
        <f ca="1">IF(COUNTBLANK(D347)=0,COUNTA(INDIRECT(CONCATENATE("Setup!",LEFT(ADDRESS(1,MATCH(CONCATENATE(C347,":",D347),Setup!$1:$1,0),4),1),"2:",LEFT(ADDRESS(1,MATCH(CONCATENATE(C347,":",D347),Setup!$1:$1,0),4),1),"99"))),0)</f>
        <v>0</v>
      </c>
      <c r="BC347">
        <f ca="1">IF(COUNTBLANK(E347)=0,COUNTA(INDIRECT(CONCATENATE("Comp!",SUBSTITUTE(ADDRESS(1,MATCH(CONCATENATE(C347,":",D347,":",E347),Comp!$1:$1,0),4),"1",""),"2:",SUBSTITUTE(ADDRESS(1,MATCH(CONCATENATE(C347,":",D347,":",E347),Comp!$1:$1,0),4),"1",""),"99"))),0)</f>
        <v>0</v>
      </c>
    </row>
    <row r="348" spans="1:55">
      <c r="A348" s="20" t="s">
        <v>73</v>
      </c>
      <c r="B348" s="21"/>
      <c r="C348" s="20"/>
      <c r="D348" s="22"/>
      <c r="E348" s="22"/>
      <c r="F348" s="21"/>
      <c r="G348" s="23"/>
      <c r="H348" s="24"/>
      <c r="I348" s="22"/>
      <c r="J348" s="22"/>
      <c r="K348" s="22"/>
      <c r="L348" s="21"/>
      <c r="M348" s="20"/>
      <c r="N348" s="20"/>
      <c r="O348" s="23"/>
      <c r="P348" s="21"/>
      <c r="Q348" s="20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1"/>
      <c r="AU348" s="25" t="str">
        <f t="shared" si="10"/>
        <v>1Q42</v>
      </c>
      <c r="AV348" t="str">
        <f t="shared" si="11"/>
        <v>1Q42</v>
      </c>
      <c r="BA348">
        <f ca="1">IF(COUNTBLANK(C348)=0,COUNTA(INDIRECT(CONCATENATE("Area!",LEFT(ADDRESS(1,MATCH(C348,Area!$1:$1,0),4),1),"2:",LEFT(ADDRESS(1,MATCH(C348,Area!$1:$1,0),4),1),"99"))),0)</f>
        <v>0</v>
      </c>
      <c r="BB348">
        <f ca="1">IF(COUNTBLANK(D348)=0,COUNTA(INDIRECT(CONCATENATE("Setup!",LEFT(ADDRESS(1,MATCH(CONCATENATE(C348,":",D348),Setup!$1:$1,0),4),1),"2:",LEFT(ADDRESS(1,MATCH(CONCATENATE(C348,":",D348),Setup!$1:$1,0),4),1),"99"))),0)</f>
        <v>0</v>
      </c>
      <c r="BC348">
        <f ca="1">IF(COUNTBLANK(E348)=0,COUNTA(INDIRECT(CONCATENATE("Comp!",SUBSTITUTE(ADDRESS(1,MATCH(CONCATENATE(C348,":",D348,":",E348),Comp!$1:$1,0),4),"1",""),"2:",SUBSTITUTE(ADDRESS(1,MATCH(CONCATENATE(C348,":",D348,":",E348),Comp!$1:$1,0),4),"1",""),"99"))),0)</f>
        <v>0</v>
      </c>
    </row>
    <row r="349" spans="1:55">
      <c r="A349" s="20" t="s">
        <v>73</v>
      </c>
      <c r="B349" s="21"/>
      <c r="C349" s="20"/>
      <c r="D349" s="22"/>
      <c r="E349" s="22"/>
      <c r="F349" s="21"/>
      <c r="G349" s="23"/>
      <c r="H349" s="24"/>
      <c r="I349" s="22"/>
      <c r="J349" s="22"/>
      <c r="K349" s="22"/>
      <c r="L349" s="21"/>
      <c r="M349" s="20"/>
      <c r="N349" s="20"/>
      <c r="O349" s="23"/>
      <c r="P349" s="21"/>
      <c r="Q349" s="20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1"/>
      <c r="AU349" s="25" t="str">
        <f t="shared" si="10"/>
        <v>1Q42</v>
      </c>
      <c r="AV349" t="str">
        <f t="shared" si="11"/>
        <v>1Q42</v>
      </c>
      <c r="BA349">
        <f ca="1">IF(COUNTBLANK(C349)=0,COUNTA(INDIRECT(CONCATENATE("Area!",LEFT(ADDRESS(1,MATCH(C349,Area!$1:$1,0),4),1),"2:",LEFT(ADDRESS(1,MATCH(C349,Area!$1:$1,0),4),1),"99"))),0)</f>
        <v>0</v>
      </c>
      <c r="BB349">
        <f ca="1">IF(COUNTBLANK(D349)=0,COUNTA(INDIRECT(CONCATENATE("Setup!",LEFT(ADDRESS(1,MATCH(CONCATENATE(C349,":",D349),Setup!$1:$1,0),4),1),"2:",LEFT(ADDRESS(1,MATCH(CONCATENATE(C349,":",D349),Setup!$1:$1,0),4),1),"99"))),0)</f>
        <v>0</v>
      </c>
      <c r="BC349">
        <f ca="1">IF(COUNTBLANK(E349)=0,COUNTA(INDIRECT(CONCATENATE("Comp!",SUBSTITUTE(ADDRESS(1,MATCH(CONCATENATE(C349,":",D349,":",E349),Comp!$1:$1,0),4),"1",""),"2:",SUBSTITUTE(ADDRESS(1,MATCH(CONCATENATE(C349,":",D349,":",E349),Comp!$1:$1,0),4),"1",""),"99"))),0)</f>
        <v>0</v>
      </c>
    </row>
    <row r="350" spans="1:55">
      <c r="A350" s="20" t="s">
        <v>73</v>
      </c>
      <c r="B350" s="21"/>
      <c r="C350" s="20"/>
      <c r="D350" s="22"/>
      <c r="E350" s="22"/>
      <c r="F350" s="21"/>
      <c r="G350" s="23"/>
      <c r="H350" s="24"/>
      <c r="I350" s="22"/>
      <c r="J350" s="22"/>
      <c r="K350" s="22"/>
      <c r="L350" s="21"/>
      <c r="M350" s="20"/>
      <c r="N350" s="20"/>
      <c r="O350" s="23"/>
      <c r="P350" s="21"/>
      <c r="Q350" s="20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1"/>
      <c r="AU350" s="25" t="str">
        <f t="shared" si="10"/>
        <v>1Q42</v>
      </c>
      <c r="AV350" t="str">
        <f t="shared" si="11"/>
        <v>1Q42</v>
      </c>
      <c r="BA350">
        <f ca="1">IF(COUNTBLANK(C350)=0,COUNTA(INDIRECT(CONCATENATE("Area!",LEFT(ADDRESS(1,MATCH(C350,Area!$1:$1,0),4),1),"2:",LEFT(ADDRESS(1,MATCH(C350,Area!$1:$1,0),4),1),"99"))),0)</f>
        <v>0</v>
      </c>
      <c r="BB350">
        <f ca="1">IF(COUNTBLANK(D350)=0,COUNTA(INDIRECT(CONCATENATE("Setup!",LEFT(ADDRESS(1,MATCH(CONCATENATE(C350,":",D350),Setup!$1:$1,0),4),1),"2:",LEFT(ADDRESS(1,MATCH(CONCATENATE(C350,":",D350),Setup!$1:$1,0),4),1),"99"))),0)</f>
        <v>0</v>
      </c>
      <c r="BC350">
        <f ca="1">IF(COUNTBLANK(E350)=0,COUNTA(INDIRECT(CONCATENATE("Comp!",SUBSTITUTE(ADDRESS(1,MATCH(CONCATENATE(C350,":",D350,":",E350),Comp!$1:$1,0),4),"1",""),"2:",SUBSTITUTE(ADDRESS(1,MATCH(CONCATENATE(C350,":",D350,":",E350),Comp!$1:$1,0),4),"1",""),"99"))),0)</f>
        <v>0</v>
      </c>
    </row>
    <row r="351" spans="1:55">
      <c r="A351" s="20" t="s">
        <v>73</v>
      </c>
      <c r="B351" s="21"/>
      <c r="C351" s="20"/>
      <c r="D351" s="22"/>
      <c r="E351" s="22"/>
      <c r="F351" s="21"/>
      <c r="G351" s="23"/>
      <c r="H351" s="24"/>
      <c r="I351" s="22"/>
      <c r="J351" s="22"/>
      <c r="K351" s="22"/>
      <c r="L351" s="21"/>
      <c r="M351" s="20"/>
      <c r="N351" s="20"/>
      <c r="O351" s="23"/>
      <c r="P351" s="21"/>
      <c r="Q351" s="20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1"/>
      <c r="AU351" s="25" t="str">
        <f t="shared" si="10"/>
        <v>1Q42</v>
      </c>
      <c r="AV351" t="str">
        <f t="shared" si="11"/>
        <v>1Q42</v>
      </c>
      <c r="BA351">
        <f ca="1">IF(COUNTBLANK(C351)=0,COUNTA(INDIRECT(CONCATENATE("Area!",LEFT(ADDRESS(1,MATCH(C351,Area!$1:$1,0),4),1),"2:",LEFT(ADDRESS(1,MATCH(C351,Area!$1:$1,0),4),1),"99"))),0)</f>
        <v>0</v>
      </c>
      <c r="BB351">
        <f ca="1">IF(COUNTBLANK(D351)=0,COUNTA(INDIRECT(CONCATENATE("Setup!",LEFT(ADDRESS(1,MATCH(CONCATENATE(C351,":",D351),Setup!$1:$1,0),4),1),"2:",LEFT(ADDRESS(1,MATCH(CONCATENATE(C351,":",D351),Setup!$1:$1,0),4),1),"99"))),0)</f>
        <v>0</v>
      </c>
      <c r="BC351">
        <f ca="1">IF(COUNTBLANK(E351)=0,COUNTA(INDIRECT(CONCATENATE("Comp!",SUBSTITUTE(ADDRESS(1,MATCH(CONCATENATE(C351,":",D351,":",E351),Comp!$1:$1,0),4),"1",""),"2:",SUBSTITUTE(ADDRESS(1,MATCH(CONCATENATE(C351,":",D351,":",E351),Comp!$1:$1,0),4),"1",""),"99"))),0)</f>
        <v>0</v>
      </c>
    </row>
    <row r="352" spans="1:55">
      <c r="A352" s="20" t="s">
        <v>73</v>
      </c>
      <c r="B352" s="21"/>
      <c r="C352" s="20"/>
      <c r="D352" s="22"/>
      <c r="E352" s="22"/>
      <c r="F352" s="21"/>
      <c r="G352" s="23"/>
      <c r="H352" s="24"/>
      <c r="I352" s="22"/>
      <c r="J352" s="22"/>
      <c r="K352" s="22"/>
      <c r="L352" s="21"/>
      <c r="M352" s="20"/>
      <c r="N352" s="20"/>
      <c r="O352" s="23"/>
      <c r="P352" s="21"/>
      <c r="Q352" s="20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1"/>
      <c r="AU352" s="25" t="str">
        <f t="shared" si="10"/>
        <v>1Q42</v>
      </c>
      <c r="AV352" t="str">
        <f t="shared" si="11"/>
        <v>1Q42</v>
      </c>
      <c r="BA352">
        <f ca="1">IF(COUNTBLANK(C352)=0,COUNTA(INDIRECT(CONCATENATE("Area!",LEFT(ADDRESS(1,MATCH(C352,Area!$1:$1,0),4),1),"2:",LEFT(ADDRESS(1,MATCH(C352,Area!$1:$1,0),4),1),"99"))),0)</f>
        <v>0</v>
      </c>
      <c r="BB352">
        <f ca="1">IF(COUNTBLANK(D352)=0,COUNTA(INDIRECT(CONCATENATE("Setup!",LEFT(ADDRESS(1,MATCH(CONCATENATE(C352,":",D352),Setup!$1:$1,0),4),1),"2:",LEFT(ADDRESS(1,MATCH(CONCATENATE(C352,":",D352),Setup!$1:$1,0),4),1),"99"))),0)</f>
        <v>0</v>
      </c>
      <c r="BC352">
        <f ca="1">IF(COUNTBLANK(E352)=0,COUNTA(INDIRECT(CONCATENATE("Comp!",SUBSTITUTE(ADDRESS(1,MATCH(CONCATENATE(C352,":",D352,":",E352),Comp!$1:$1,0),4),"1",""),"2:",SUBSTITUTE(ADDRESS(1,MATCH(CONCATENATE(C352,":",D352,":",E352),Comp!$1:$1,0),4),"1",""),"99"))),0)</f>
        <v>0</v>
      </c>
    </row>
    <row r="353" spans="1:55">
      <c r="A353" s="20" t="s">
        <v>73</v>
      </c>
      <c r="B353" s="21"/>
      <c r="C353" s="20"/>
      <c r="D353" s="22"/>
      <c r="E353" s="22"/>
      <c r="F353" s="21"/>
      <c r="G353" s="23"/>
      <c r="H353" s="24"/>
      <c r="I353" s="22"/>
      <c r="J353" s="22"/>
      <c r="K353" s="22"/>
      <c r="L353" s="21"/>
      <c r="M353" s="20"/>
      <c r="N353" s="20"/>
      <c r="O353" s="23"/>
      <c r="P353" s="21"/>
      <c r="Q353" s="20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1"/>
      <c r="AU353" s="25" t="str">
        <f t="shared" si="10"/>
        <v>1Q42</v>
      </c>
      <c r="AV353" t="str">
        <f t="shared" si="11"/>
        <v>1Q42</v>
      </c>
      <c r="BA353">
        <f ca="1">IF(COUNTBLANK(C353)=0,COUNTA(INDIRECT(CONCATENATE("Area!",LEFT(ADDRESS(1,MATCH(C353,Area!$1:$1,0),4),1),"2:",LEFT(ADDRESS(1,MATCH(C353,Area!$1:$1,0),4),1),"99"))),0)</f>
        <v>0</v>
      </c>
      <c r="BB353">
        <f ca="1">IF(COUNTBLANK(D353)=0,COUNTA(INDIRECT(CONCATENATE("Setup!",LEFT(ADDRESS(1,MATCH(CONCATENATE(C353,":",D353),Setup!$1:$1,0),4),1),"2:",LEFT(ADDRESS(1,MATCH(CONCATENATE(C353,":",D353),Setup!$1:$1,0),4),1),"99"))),0)</f>
        <v>0</v>
      </c>
      <c r="BC353">
        <f ca="1">IF(COUNTBLANK(E353)=0,COUNTA(INDIRECT(CONCATENATE("Comp!",SUBSTITUTE(ADDRESS(1,MATCH(CONCATENATE(C353,":",D353,":",E353),Comp!$1:$1,0),4),"1",""),"2:",SUBSTITUTE(ADDRESS(1,MATCH(CONCATENATE(C353,":",D353,":",E353),Comp!$1:$1,0),4),"1",""),"99"))),0)</f>
        <v>0</v>
      </c>
    </row>
    <row r="354" spans="1:55">
      <c r="A354" s="20" t="s">
        <v>73</v>
      </c>
      <c r="B354" s="21"/>
      <c r="C354" s="20"/>
      <c r="D354" s="22"/>
      <c r="E354" s="22"/>
      <c r="F354" s="21"/>
      <c r="G354" s="23"/>
      <c r="H354" s="24"/>
      <c r="I354" s="22"/>
      <c r="J354" s="22"/>
      <c r="K354" s="22"/>
      <c r="L354" s="21"/>
      <c r="M354" s="20"/>
      <c r="N354" s="20"/>
      <c r="O354" s="23"/>
      <c r="P354" s="21"/>
      <c r="Q354" s="20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1"/>
      <c r="AU354" s="25" t="str">
        <f t="shared" si="10"/>
        <v>1Q42</v>
      </c>
      <c r="AV354" t="str">
        <f t="shared" si="11"/>
        <v>1Q42</v>
      </c>
      <c r="BA354">
        <f ca="1">IF(COUNTBLANK(C354)=0,COUNTA(INDIRECT(CONCATENATE("Area!",LEFT(ADDRESS(1,MATCH(C354,Area!$1:$1,0),4),1),"2:",LEFT(ADDRESS(1,MATCH(C354,Area!$1:$1,0),4),1),"99"))),0)</f>
        <v>0</v>
      </c>
      <c r="BB354">
        <f ca="1">IF(COUNTBLANK(D354)=0,COUNTA(INDIRECT(CONCATENATE("Setup!",LEFT(ADDRESS(1,MATCH(CONCATENATE(C354,":",D354),Setup!$1:$1,0),4),1),"2:",LEFT(ADDRESS(1,MATCH(CONCATENATE(C354,":",D354),Setup!$1:$1,0),4),1),"99"))),0)</f>
        <v>0</v>
      </c>
      <c r="BC354">
        <f ca="1">IF(COUNTBLANK(E354)=0,COUNTA(INDIRECT(CONCATENATE("Comp!",SUBSTITUTE(ADDRESS(1,MATCH(CONCATENATE(C354,":",D354,":",E354),Comp!$1:$1,0),4),"1",""),"2:",SUBSTITUTE(ADDRESS(1,MATCH(CONCATENATE(C354,":",D354,":",E354),Comp!$1:$1,0),4),"1",""),"99"))),0)</f>
        <v>0</v>
      </c>
    </row>
    <row r="355" spans="1:55">
      <c r="A355" s="20" t="s">
        <v>73</v>
      </c>
      <c r="B355" s="21"/>
      <c r="C355" s="20"/>
      <c r="D355" s="22"/>
      <c r="E355" s="22"/>
      <c r="F355" s="21"/>
      <c r="G355" s="23"/>
      <c r="H355" s="24"/>
      <c r="I355" s="22"/>
      <c r="J355" s="22"/>
      <c r="K355" s="22"/>
      <c r="L355" s="21"/>
      <c r="M355" s="20"/>
      <c r="N355" s="20"/>
      <c r="O355" s="23"/>
      <c r="P355" s="21"/>
      <c r="Q355" s="20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1"/>
      <c r="AU355" s="25" t="str">
        <f t="shared" si="10"/>
        <v>1Q42</v>
      </c>
      <c r="AV355" t="str">
        <f t="shared" si="11"/>
        <v>1Q42</v>
      </c>
      <c r="BA355">
        <f ca="1">IF(COUNTBLANK(C355)=0,COUNTA(INDIRECT(CONCATENATE("Area!",LEFT(ADDRESS(1,MATCH(C355,Area!$1:$1,0),4),1),"2:",LEFT(ADDRESS(1,MATCH(C355,Area!$1:$1,0),4),1),"99"))),0)</f>
        <v>0</v>
      </c>
      <c r="BB355">
        <f ca="1">IF(COUNTBLANK(D355)=0,COUNTA(INDIRECT(CONCATENATE("Setup!",LEFT(ADDRESS(1,MATCH(CONCATENATE(C355,":",D355),Setup!$1:$1,0),4),1),"2:",LEFT(ADDRESS(1,MATCH(CONCATENATE(C355,":",D355),Setup!$1:$1,0),4),1),"99"))),0)</f>
        <v>0</v>
      </c>
      <c r="BC355">
        <f ca="1">IF(COUNTBLANK(E355)=0,COUNTA(INDIRECT(CONCATENATE("Comp!",SUBSTITUTE(ADDRESS(1,MATCH(CONCATENATE(C355,":",D355,":",E355),Comp!$1:$1,0),4),"1",""),"2:",SUBSTITUTE(ADDRESS(1,MATCH(CONCATENATE(C355,":",D355,":",E355),Comp!$1:$1,0),4),"1",""),"99"))),0)</f>
        <v>0</v>
      </c>
    </row>
    <row r="356" spans="1:55">
      <c r="A356" s="20" t="s">
        <v>73</v>
      </c>
      <c r="B356" s="21"/>
      <c r="C356" s="20"/>
      <c r="D356" s="22"/>
      <c r="E356" s="22"/>
      <c r="F356" s="21"/>
      <c r="G356" s="23"/>
      <c r="H356" s="24"/>
      <c r="I356" s="22"/>
      <c r="J356" s="22"/>
      <c r="K356" s="22"/>
      <c r="L356" s="21"/>
      <c r="M356" s="20"/>
      <c r="N356" s="20"/>
      <c r="O356" s="23"/>
      <c r="P356" s="21"/>
      <c r="Q356" s="20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1"/>
      <c r="AU356" s="25" t="str">
        <f t="shared" si="10"/>
        <v>1Q42</v>
      </c>
      <c r="AV356" t="str">
        <f t="shared" si="11"/>
        <v>1Q42</v>
      </c>
      <c r="BA356">
        <f ca="1">IF(COUNTBLANK(C356)=0,COUNTA(INDIRECT(CONCATENATE("Area!",LEFT(ADDRESS(1,MATCH(C356,Area!$1:$1,0),4),1),"2:",LEFT(ADDRESS(1,MATCH(C356,Area!$1:$1,0),4),1),"99"))),0)</f>
        <v>0</v>
      </c>
      <c r="BB356">
        <f ca="1">IF(COUNTBLANK(D356)=0,COUNTA(INDIRECT(CONCATENATE("Setup!",LEFT(ADDRESS(1,MATCH(CONCATENATE(C356,":",D356),Setup!$1:$1,0),4),1),"2:",LEFT(ADDRESS(1,MATCH(CONCATENATE(C356,":",D356),Setup!$1:$1,0),4),1),"99"))),0)</f>
        <v>0</v>
      </c>
      <c r="BC356">
        <f ca="1">IF(COUNTBLANK(E356)=0,COUNTA(INDIRECT(CONCATENATE("Comp!",SUBSTITUTE(ADDRESS(1,MATCH(CONCATENATE(C356,":",D356,":",E356),Comp!$1:$1,0),4),"1",""),"2:",SUBSTITUTE(ADDRESS(1,MATCH(CONCATENATE(C356,":",D356,":",E356),Comp!$1:$1,0),4),"1",""),"99"))),0)</f>
        <v>0</v>
      </c>
    </row>
    <row r="357" spans="1:55">
      <c r="A357" s="20" t="s">
        <v>73</v>
      </c>
      <c r="B357" s="21"/>
      <c r="C357" s="20"/>
      <c r="D357" s="22"/>
      <c r="E357" s="22"/>
      <c r="F357" s="21"/>
      <c r="G357" s="23"/>
      <c r="H357" s="24"/>
      <c r="I357" s="22"/>
      <c r="J357" s="22"/>
      <c r="K357" s="22"/>
      <c r="L357" s="21"/>
      <c r="M357" s="20"/>
      <c r="N357" s="20"/>
      <c r="O357" s="23"/>
      <c r="P357" s="21"/>
      <c r="Q357" s="20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1"/>
      <c r="AU357" s="25" t="str">
        <f t="shared" si="10"/>
        <v>1Q42</v>
      </c>
      <c r="AV357" t="str">
        <f t="shared" si="11"/>
        <v>1Q42</v>
      </c>
      <c r="BA357">
        <f ca="1">IF(COUNTBLANK(C357)=0,COUNTA(INDIRECT(CONCATENATE("Area!",LEFT(ADDRESS(1,MATCH(C357,Area!$1:$1,0),4),1),"2:",LEFT(ADDRESS(1,MATCH(C357,Area!$1:$1,0),4),1),"99"))),0)</f>
        <v>0</v>
      </c>
      <c r="BB357">
        <f ca="1">IF(COUNTBLANK(D357)=0,COUNTA(INDIRECT(CONCATENATE("Setup!",LEFT(ADDRESS(1,MATCH(CONCATENATE(C357,":",D357),Setup!$1:$1,0),4),1),"2:",LEFT(ADDRESS(1,MATCH(CONCATENATE(C357,":",D357),Setup!$1:$1,0),4),1),"99"))),0)</f>
        <v>0</v>
      </c>
      <c r="BC357">
        <f ca="1">IF(COUNTBLANK(E357)=0,COUNTA(INDIRECT(CONCATENATE("Comp!",SUBSTITUTE(ADDRESS(1,MATCH(CONCATENATE(C357,":",D357,":",E357),Comp!$1:$1,0),4),"1",""),"2:",SUBSTITUTE(ADDRESS(1,MATCH(CONCATENATE(C357,":",D357,":",E357),Comp!$1:$1,0),4),"1",""),"99"))),0)</f>
        <v>0</v>
      </c>
    </row>
    <row r="358" spans="1:55">
      <c r="A358" s="20" t="s">
        <v>73</v>
      </c>
      <c r="B358" s="21"/>
      <c r="C358" s="20"/>
      <c r="D358" s="22"/>
      <c r="E358" s="22"/>
      <c r="F358" s="21"/>
      <c r="G358" s="23"/>
      <c r="H358" s="24"/>
      <c r="I358" s="22"/>
      <c r="J358" s="22"/>
      <c r="K358" s="22"/>
      <c r="L358" s="21"/>
      <c r="M358" s="20"/>
      <c r="N358" s="20"/>
      <c r="O358" s="23"/>
      <c r="P358" s="21"/>
      <c r="Q358" s="20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1"/>
      <c r="AU358" s="25" t="str">
        <f t="shared" si="10"/>
        <v>1Q42</v>
      </c>
      <c r="AV358" t="str">
        <f t="shared" si="11"/>
        <v>1Q42</v>
      </c>
      <c r="BA358">
        <f ca="1">IF(COUNTBLANK(C358)=0,COUNTA(INDIRECT(CONCATENATE("Area!",LEFT(ADDRESS(1,MATCH(C358,Area!$1:$1,0),4),1),"2:",LEFT(ADDRESS(1,MATCH(C358,Area!$1:$1,0),4),1),"99"))),0)</f>
        <v>0</v>
      </c>
      <c r="BB358">
        <f ca="1">IF(COUNTBLANK(D358)=0,COUNTA(INDIRECT(CONCATENATE("Setup!",LEFT(ADDRESS(1,MATCH(CONCATENATE(C358,":",D358),Setup!$1:$1,0),4),1),"2:",LEFT(ADDRESS(1,MATCH(CONCATENATE(C358,":",D358),Setup!$1:$1,0),4),1),"99"))),0)</f>
        <v>0</v>
      </c>
      <c r="BC358">
        <f ca="1">IF(COUNTBLANK(E358)=0,COUNTA(INDIRECT(CONCATENATE("Comp!",SUBSTITUTE(ADDRESS(1,MATCH(CONCATENATE(C358,":",D358,":",E358),Comp!$1:$1,0),4),"1",""),"2:",SUBSTITUTE(ADDRESS(1,MATCH(CONCATENATE(C358,":",D358,":",E358),Comp!$1:$1,0),4),"1",""),"99"))),0)</f>
        <v>0</v>
      </c>
    </row>
    <row r="359" spans="1:55">
      <c r="A359" s="20" t="s">
        <v>73</v>
      </c>
      <c r="B359" s="21"/>
      <c r="C359" s="20"/>
      <c r="D359" s="22"/>
      <c r="E359" s="22"/>
      <c r="F359" s="21"/>
      <c r="G359" s="23"/>
      <c r="H359" s="24"/>
      <c r="I359" s="22"/>
      <c r="J359" s="22"/>
      <c r="K359" s="22"/>
      <c r="L359" s="21"/>
      <c r="M359" s="20"/>
      <c r="N359" s="20"/>
      <c r="O359" s="23"/>
      <c r="P359" s="21"/>
      <c r="Q359" s="20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1"/>
      <c r="AU359" s="25" t="str">
        <f t="shared" si="10"/>
        <v>1Q42</v>
      </c>
      <c r="AV359" t="str">
        <f t="shared" si="11"/>
        <v>1Q42</v>
      </c>
      <c r="BA359">
        <f ca="1">IF(COUNTBLANK(C359)=0,COUNTA(INDIRECT(CONCATENATE("Area!",LEFT(ADDRESS(1,MATCH(C359,Area!$1:$1,0),4),1),"2:",LEFT(ADDRESS(1,MATCH(C359,Area!$1:$1,0),4),1),"99"))),0)</f>
        <v>0</v>
      </c>
      <c r="BB359">
        <f ca="1">IF(COUNTBLANK(D359)=0,COUNTA(INDIRECT(CONCATENATE("Setup!",LEFT(ADDRESS(1,MATCH(CONCATENATE(C359,":",D359),Setup!$1:$1,0),4),1),"2:",LEFT(ADDRESS(1,MATCH(CONCATENATE(C359,":",D359),Setup!$1:$1,0),4),1),"99"))),0)</f>
        <v>0</v>
      </c>
      <c r="BC359">
        <f ca="1">IF(COUNTBLANK(E359)=0,COUNTA(INDIRECT(CONCATENATE("Comp!",SUBSTITUTE(ADDRESS(1,MATCH(CONCATENATE(C359,":",D359,":",E359),Comp!$1:$1,0),4),"1",""),"2:",SUBSTITUTE(ADDRESS(1,MATCH(CONCATENATE(C359,":",D359,":",E359),Comp!$1:$1,0),4),"1",""),"99"))),0)</f>
        <v>0</v>
      </c>
    </row>
    <row r="360" spans="1:55">
      <c r="A360" s="20" t="s">
        <v>73</v>
      </c>
      <c r="B360" s="21"/>
      <c r="C360" s="20"/>
      <c r="D360" s="22"/>
      <c r="E360" s="22"/>
      <c r="F360" s="21"/>
      <c r="G360" s="23"/>
      <c r="H360" s="24"/>
      <c r="I360" s="22"/>
      <c r="J360" s="22"/>
      <c r="K360" s="22"/>
      <c r="L360" s="21"/>
      <c r="M360" s="20"/>
      <c r="N360" s="20"/>
      <c r="O360" s="23"/>
      <c r="P360" s="21"/>
      <c r="Q360" s="20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1"/>
      <c r="AU360" s="25" t="str">
        <f t="shared" si="10"/>
        <v>1Q42</v>
      </c>
      <c r="AV360" t="str">
        <f t="shared" si="11"/>
        <v>1Q42</v>
      </c>
      <c r="BA360">
        <f ca="1">IF(COUNTBLANK(C360)=0,COUNTA(INDIRECT(CONCATENATE("Area!",LEFT(ADDRESS(1,MATCH(C360,Area!$1:$1,0),4),1),"2:",LEFT(ADDRESS(1,MATCH(C360,Area!$1:$1,0),4),1),"99"))),0)</f>
        <v>0</v>
      </c>
      <c r="BB360">
        <f ca="1">IF(COUNTBLANK(D360)=0,COUNTA(INDIRECT(CONCATENATE("Setup!",LEFT(ADDRESS(1,MATCH(CONCATENATE(C360,":",D360),Setup!$1:$1,0),4),1),"2:",LEFT(ADDRESS(1,MATCH(CONCATENATE(C360,":",D360),Setup!$1:$1,0),4),1),"99"))),0)</f>
        <v>0</v>
      </c>
      <c r="BC360">
        <f ca="1">IF(COUNTBLANK(E360)=0,COUNTA(INDIRECT(CONCATENATE("Comp!",SUBSTITUTE(ADDRESS(1,MATCH(CONCATENATE(C360,":",D360,":",E360),Comp!$1:$1,0),4),"1",""),"2:",SUBSTITUTE(ADDRESS(1,MATCH(CONCATENATE(C360,":",D360,":",E360),Comp!$1:$1,0),4),"1",""),"99"))),0)</f>
        <v>0</v>
      </c>
    </row>
    <row r="361" spans="1:55">
      <c r="A361" s="20" t="s">
        <v>73</v>
      </c>
      <c r="B361" s="21"/>
      <c r="C361" s="20"/>
      <c r="D361" s="22"/>
      <c r="E361" s="22"/>
      <c r="F361" s="21"/>
      <c r="G361" s="23"/>
      <c r="H361" s="24"/>
      <c r="I361" s="22"/>
      <c r="J361" s="22"/>
      <c r="K361" s="22"/>
      <c r="L361" s="21"/>
      <c r="M361" s="20"/>
      <c r="N361" s="20"/>
      <c r="O361" s="23"/>
      <c r="P361" s="21"/>
      <c r="Q361" s="20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1"/>
      <c r="AU361" s="25" t="str">
        <f t="shared" si="10"/>
        <v>1Q42</v>
      </c>
      <c r="AV361" t="str">
        <f t="shared" si="11"/>
        <v>1Q42</v>
      </c>
      <c r="BA361">
        <f ca="1">IF(COUNTBLANK(C361)=0,COUNTA(INDIRECT(CONCATENATE("Area!",LEFT(ADDRESS(1,MATCH(C361,Area!$1:$1,0),4),1),"2:",LEFT(ADDRESS(1,MATCH(C361,Area!$1:$1,0),4),1),"99"))),0)</f>
        <v>0</v>
      </c>
      <c r="BB361">
        <f ca="1">IF(COUNTBLANK(D361)=0,COUNTA(INDIRECT(CONCATENATE("Setup!",LEFT(ADDRESS(1,MATCH(CONCATENATE(C361,":",D361),Setup!$1:$1,0),4),1),"2:",LEFT(ADDRESS(1,MATCH(CONCATENATE(C361,":",D361),Setup!$1:$1,0),4),1),"99"))),0)</f>
        <v>0</v>
      </c>
      <c r="BC361">
        <f ca="1">IF(COUNTBLANK(E361)=0,COUNTA(INDIRECT(CONCATENATE("Comp!",SUBSTITUTE(ADDRESS(1,MATCH(CONCATENATE(C361,":",D361,":",E361),Comp!$1:$1,0),4),"1",""),"2:",SUBSTITUTE(ADDRESS(1,MATCH(CONCATENATE(C361,":",D361,":",E361),Comp!$1:$1,0),4),"1",""),"99"))),0)</f>
        <v>0</v>
      </c>
    </row>
    <row r="362" spans="1:55">
      <c r="A362" s="20" t="s">
        <v>73</v>
      </c>
      <c r="B362" s="21"/>
      <c r="C362" s="20"/>
      <c r="D362" s="22"/>
      <c r="E362" s="22"/>
      <c r="F362" s="21"/>
      <c r="G362" s="23"/>
      <c r="H362" s="24"/>
      <c r="I362" s="22"/>
      <c r="J362" s="22"/>
      <c r="K362" s="22"/>
      <c r="L362" s="21"/>
      <c r="M362" s="20"/>
      <c r="N362" s="20"/>
      <c r="O362" s="23"/>
      <c r="P362" s="21"/>
      <c r="Q362" s="20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1"/>
      <c r="AU362" s="25" t="str">
        <f t="shared" si="10"/>
        <v>1Q42</v>
      </c>
      <c r="AV362" t="str">
        <f t="shared" si="11"/>
        <v>1Q42</v>
      </c>
      <c r="BA362">
        <f ca="1">IF(COUNTBLANK(C362)=0,COUNTA(INDIRECT(CONCATENATE("Area!",LEFT(ADDRESS(1,MATCH(C362,Area!$1:$1,0),4),1),"2:",LEFT(ADDRESS(1,MATCH(C362,Area!$1:$1,0),4),1),"99"))),0)</f>
        <v>0</v>
      </c>
      <c r="BB362">
        <f ca="1">IF(COUNTBLANK(D362)=0,COUNTA(INDIRECT(CONCATENATE("Setup!",LEFT(ADDRESS(1,MATCH(CONCATENATE(C362,":",D362),Setup!$1:$1,0),4),1),"2:",LEFT(ADDRESS(1,MATCH(CONCATENATE(C362,":",D362),Setup!$1:$1,0),4),1),"99"))),0)</f>
        <v>0</v>
      </c>
      <c r="BC362">
        <f ca="1">IF(COUNTBLANK(E362)=0,COUNTA(INDIRECT(CONCATENATE("Comp!",SUBSTITUTE(ADDRESS(1,MATCH(CONCATENATE(C362,":",D362,":",E362),Comp!$1:$1,0),4),"1",""),"2:",SUBSTITUTE(ADDRESS(1,MATCH(CONCATENATE(C362,":",D362,":",E362),Comp!$1:$1,0),4),"1",""),"99"))),0)</f>
        <v>0</v>
      </c>
    </row>
    <row r="363" spans="1:55">
      <c r="A363" s="20" t="s">
        <v>73</v>
      </c>
      <c r="B363" s="21"/>
      <c r="C363" s="20"/>
      <c r="D363" s="22"/>
      <c r="E363" s="22"/>
      <c r="F363" s="21"/>
      <c r="G363" s="23"/>
      <c r="H363" s="24"/>
      <c r="I363" s="22"/>
      <c r="J363" s="22"/>
      <c r="K363" s="22"/>
      <c r="L363" s="21"/>
      <c r="M363" s="20"/>
      <c r="N363" s="20"/>
      <c r="O363" s="23"/>
      <c r="P363" s="21"/>
      <c r="Q363" s="20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1"/>
      <c r="AU363" s="25" t="str">
        <f t="shared" si="10"/>
        <v>1Q42</v>
      </c>
      <c r="AV363" t="str">
        <f t="shared" si="11"/>
        <v>1Q42</v>
      </c>
      <c r="BA363">
        <f ca="1">IF(COUNTBLANK(C363)=0,COUNTA(INDIRECT(CONCATENATE("Area!",LEFT(ADDRESS(1,MATCH(C363,Area!$1:$1,0),4),1),"2:",LEFT(ADDRESS(1,MATCH(C363,Area!$1:$1,0),4),1),"99"))),0)</f>
        <v>0</v>
      </c>
      <c r="BB363">
        <f ca="1">IF(COUNTBLANK(D363)=0,COUNTA(INDIRECT(CONCATENATE("Setup!",LEFT(ADDRESS(1,MATCH(CONCATENATE(C363,":",D363),Setup!$1:$1,0),4),1),"2:",LEFT(ADDRESS(1,MATCH(CONCATENATE(C363,":",D363),Setup!$1:$1,0),4),1),"99"))),0)</f>
        <v>0</v>
      </c>
      <c r="BC363">
        <f ca="1">IF(COUNTBLANK(E363)=0,COUNTA(INDIRECT(CONCATENATE("Comp!",SUBSTITUTE(ADDRESS(1,MATCH(CONCATENATE(C363,":",D363,":",E363),Comp!$1:$1,0),4),"1",""),"2:",SUBSTITUTE(ADDRESS(1,MATCH(CONCATENATE(C363,":",D363,":",E363),Comp!$1:$1,0),4),"1",""),"99"))),0)</f>
        <v>0</v>
      </c>
    </row>
    <row r="364" spans="1:55">
      <c r="A364" s="20" t="s">
        <v>73</v>
      </c>
      <c r="B364" s="21"/>
      <c r="C364" s="20"/>
      <c r="D364" s="22"/>
      <c r="E364" s="22"/>
      <c r="F364" s="21"/>
      <c r="G364" s="23"/>
      <c r="H364" s="24"/>
      <c r="I364" s="22"/>
      <c r="J364" s="22"/>
      <c r="K364" s="22"/>
      <c r="L364" s="21"/>
      <c r="M364" s="20"/>
      <c r="N364" s="20"/>
      <c r="O364" s="23"/>
      <c r="P364" s="21"/>
      <c r="Q364" s="20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1"/>
      <c r="AU364" s="25" t="str">
        <f t="shared" si="10"/>
        <v>1Q42</v>
      </c>
      <c r="AV364" t="str">
        <f t="shared" si="11"/>
        <v>1Q42</v>
      </c>
      <c r="BA364">
        <f ca="1">IF(COUNTBLANK(C364)=0,COUNTA(INDIRECT(CONCATENATE("Area!",LEFT(ADDRESS(1,MATCH(C364,Area!$1:$1,0),4),1),"2:",LEFT(ADDRESS(1,MATCH(C364,Area!$1:$1,0),4),1),"99"))),0)</f>
        <v>0</v>
      </c>
      <c r="BB364">
        <f ca="1">IF(COUNTBLANK(D364)=0,COUNTA(INDIRECT(CONCATENATE("Setup!",LEFT(ADDRESS(1,MATCH(CONCATENATE(C364,":",D364),Setup!$1:$1,0),4),1),"2:",LEFT(ADDRESS(1,MATCH(CONCATENATE(C364,":",D364),Setup!$1:$1,0),4),1),"99"))),0)</f>
        <v>0</v>
      </c>
      <c r="BC364">
        <f ca="1">IF(COUNTBLANK(E364)=0,COUNTA(INDIRECT(CONCATENATE("Comp!",SUBSTITUTE(ADDRESS(1,MATCH(CONCATENATE(C364,":",D364,":",E364),Comp!$1:$1,0),4),"1",""),"2:",SUBSTITUTE(ADDRESS(1,MATCH(CONCATENATE(C364,":",D364,":",E364),Comp!$1:$1,0),4),"1",""),"99"))),0)</f>
        <v>0</v>
      </c>
    </row>
    <row r="365" spans="1:55">
      <c r="A365" s="20" t="s">
        <v>73</v>
      </c>
      <c r="B365" s="21"/>
      <c r="C365" s="20"/>
      <c r="D365" s="22"/>
      <c r="E365" s="22"/>
      <c r="F365" s="21"/>
      <c r="G365" s="23"/>
      <c r="H365" s="24"/>
      <c r="I365" s="22"/>
      <c r="J365" s="22"/>
      <c r="K365" s="22"/>
      <c r="L365" s="21"/>
      <c r="M365" s="20"/>
      <c r="N365" s="20"/>
      <c r="O365" s="23"/>
      <c r="P365" s="21"/>
      <c r="Q365" s="20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1"/>
      <c r="AU365" s="25" t="str">
        <f t="shared" si="10"/>
        <v>1Q42</v>
      </c>
      <c r="AV365" t="str">
        <f t="shared" si="11"/>
        <v>1Q42</v>
      </c>
      <c r="BA365">
        <f ca="1">IF(COUNTBLANK(C365)=0,COUNTA(INDIRECT(CONCATENATE("Area!",LEFT(ADDRESS(1,MATCH(C365,Area!$1:$1,0),4),1),"2:",LEFT(ADDRESS(1,MATCH(C365,Area!$1:$1,0),4),1),"99"))),0)</f>
        <v>0</v>
      </c>
      <c r="BB365">
        <f ca="1">IF(COUNTBLANK(D365)=0,COUNTA(INDIRECT(CONCATENATE("Setup!",LEFT(ADDRESS(1,MATCH(CONCATENATE(C365,":",D365),Setup!$1:$1,0),4),1),"2:",LEFT(ADDRESS(1,MATCH(CONCATENATE(C365,":",D365),Setup!$1:$1,0),4),1),"99"))),0)</f>
        <v>0</v>
      </c>
      <c r="BC365">
        <f ca="1">IF(COUNTBLANK(E365)=0,COUNTA(INDIRECT(CONCATENATE("Comp!",SUBSTITUTE(ADDRESS(1,MATCH(CONCATENATE(C365,":",D365,":",E365),Comp!$1:$1,0),4),"1",""),"2:",SUBSTITUTE(ADDRESS(1,MATCH(CONCATENATE(C365,":",D365,":",E365),Comp!$1:$1,0),4),"1",""),"99"))),0)</f>
        <v>0</v>
      </c>
    </row>
    <row r="366" spans="1:55">
      <c r="A366" s="20" t="s">
        <v>73</v>
      </c>
      <c r="B366" s="21"/>
      <c r="C366" s="20"/>
      <c r="D366" s="22"/>
      <c r="E366" s="22"/>
      <c r="F366" s="21"/>
      <c r="G366" s="23"/>
      <c r="H366" s="24"/>
      <c r="I366" s="22"/>
      <c r="J366" s="22"/>
      <c r="K366" s="22"/>
      <c r="L366" s="21"/>
      <c r="M366" s="20"/>
      <c r="N366" s="20"/>
      <c r="O366" s="23"/>
      <c r="P366" s="21"/>
      <c r="Q366" s="20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1"/>
      <c r="AU366" s="25" t="str">
        <f t="shared" si="10"/>
        <v>1Q42</v>
      </c>
      <c r="AV366" t="str">
        <f t="shared" si="11"/>
        <v>1Q42</v>
      </c>
      <c r="BA366">
        <f ca="1">IF(COUNTBLANK(C366)=0,COUNTA(INDIRECT(CONCATENATE("Area!",LEFT(ADDRESS(1,MATCH(C366,Area!$1:$1,0),4),1),"2:",LEFT(ADDRESS(1,MATCH(C366,Area!$1:$1,0),4),1),"99"))),0)</f>
        <v>0</v>
      </c>
      <c r="BB366">
        <f ca="1">IF(COUNTBLANK(D366)=0,COUNTA(INDIRECT(CONCATENATE("Setup!",LEFT(ADDRESS(1,MATCH(CONCATENATE(C366,":",D366),Setup!$1:$1,0),4),1),"2:",LEFT(ADDRESS(1,MATCH(CONCATENATE(C366,":",D366),Setup!$1:$1,0),4),1),"99"))),0)</f>
        <v>0</v>
      </c>
      <c r="BC366">
        <f ca="1">IF(COUNTBLANK(E366)=0,COUNTA(INDIRECT(CONCATENATE("Comp!",SUBSTITUTE(ADDRESS(1,MATCH(CONCATENATE(C366,":",D366,":",E366),Comp!$1:$1,0),4),"1",""),"2:",SUBSTITUTE(ADDRESS(1,MATCH(CONCATENATE(C366,":",D366,":",E366),Comp!$1:$1,0),4),"1",""),"99"))),0)</f>
        <v>0</v>
      </c>
    </row>
    <row r="367" spans="1:55">
      <c r="A367" s="20" t="s">
        <v>73</v>
      </c>
      <c r="B367" s="21"/>
      <c r="C367" s="20"/>
      <c r="D367" s="22"/>
      <c r="E367" s="22"/>
      <c r="F367" s="21"/>
      <c r="G367" s="23"/>
      <c r="H367" s="24"/>
      <c r="I367" s="22"/>
      <c r="J367" s="22"/>
      <c r="K367" s="22"/>
      <c r="L367" s="21"/>
      <c r="M367" s="20"/>
      <c r="N367" s="20"/>
      <c r="O367" s="23"/>
      <c r="P367" s="21"/>
      <c r="Q367" s="20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1"/>
      <c r="AU367" s="25" t="str">
        <f t="shared" si="10"/>
        <v>1Q42</v>
      </c>
      <c r="AV367" t="str">
        <f t="shared" si="11"/>
        <v>1Q42</v>
      </c>
      <c r="BA367">
        <f ca="1">IF(COUNTBLANK(C367)=0,COUNTA(INDIRECT(CONCATENATE("Area!",LEFT(ADDRESS(1,MATCH(C367,Area!$1:$1,0),4),1),"2:",LEFT(ADDRESS(1,MATCH(C367,Area!$1:$1,0),4),1),"99"))),0)</f>
        <v>0</v>
      </c>
      <c r="BB367">
        <f ca="1">IF(COUNTBLANK(D367)=0,COUNTA(INDIRECT(CONCATENATE("Setup!",LEFT(ADDRESS(1,MATCH(CONCATENATE(C367,":",D367),Setup!$1:$1,0),4),1),"2:",LEFT(ADDRESS(1,MATCH(CONCATENATE(C367,":",D367),Setup!$1:$1,0),4),1),"99"))),0)</f>
        <v>0</v>
      </c>
      <c r="BC367">
        <f ca="1">IF(COUNTBLANK(E367)=0,COUNTA(INDIRECT(CONCATENATE("Comp!",SUBSTITUTE(ADDRESS(1,MATCH(CONCATENATE(C367,":",D367,":",E367),Comp!$1:$1,0),4),"1",""),"2:",SUBSTITUTE(ADDRESS(1,MATCH(CONCATENATE(C367,":",D367,":",E367),Comp!$1:$1,0),4),"1",""),"99"))),0)</f>
        <v>0</v>
      </c>
    </row>
    <row r="368" spans="1:55">
      <c r="A368" s="20" t="s">
        <v>73</v>
      </c>
      <c r="B368" s="21"/>
      <c r="C368" s="20"/>
      <c r="D368" s="22"/>
      <c r="E368" s="22"/>
      <c r="F368" s="21"/>
      <c r="G368" s="23"/>
      <c r="H368" s="24"/>
      <c r="I368" s="22"/>
      <c r="J368" s="22"/>
      <c r="K368" s="22"/>
      <c r="L368" s="21"/>
      <c r="M368" s="20"/>
      <c r="N368" s="20"/>
      <c r="O368" s="23"/>
      <c r="P368" s="21"/>
      <c r="Q368" s="20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1"/>
      <c r="AU368" s="25" t="str">
        <f t="shared" si="10"/>
        <v>1Q42</v>
      </c>
      <c r="AV368" t="str">
        <f t="shared" si="11"/>
        <v>1Q42</v>
      </c>
      <c r="BA368">
        <f ca="1">IF(COUNTBLANK(C368)=0,COUNTA(INDIRECT(CONCATENATE("Area!",LEFT(ADDRESS(1,MATCH(C368,Area!$1:$1,0),4),1),"2:",LEFT(ADDRESS(1,MATCH(C368,Area!$1:$1,0),4),1),"99"))),0)</f>
        <v>0</v>
      </c>
      <c r="BB368">
        <f ca="1">IF(COUNTBLANK(D368)=0,COUNTA(INDIRECT(CONCATENATE("Setup!",LEFT(ADDRESS(1,MATCH(CONCATENATE(C368,":",D368),Setup!$1:$1,0),4),1),"2:",LEFT(ADDRESS(1,MATCH(CONCATENATE(C368,":",D368),Setup!$1:$1,0),4),1),"99"))),0)</f>
        <v>0</v>
      </c>
      <c r="BC368">
        <f ca="1">IF(COUNTBLANK(E368)=0,COUNTA(INDIRECT(CONCATENATE("Comp!",SUBSTITUTE(ADDRESS(1,MATCH(CONCATENATE(C368,":",D368,":",E368),Comp!$1:$1,0),4),"1",""),"2:",SUBSTITUTE(ADDRESS(1,MATCH(CONCATENATE(C368,":",D368,":",E368),Comp!$1:$1,0),4),"1",""),"99"))),0)</f>
        <v>0</v>
      </c>
    </row>
    <row r="369" spans="1:55">
      <c r="A369" s="20" t="s">
        <v>73</v>
      </c>
      <c r="B369" s="21"/>
      <c r="C369" s="20"/>
      <c r="D369" s="22"/>
      <c r="E369" s="22"/>
      <c r="F369" s="21"/>
      <c r="G369" s="23"/>
      <c r="H369" s="24"/>
      <c r="I369" s="22"/>
      <c r="J369" s="22"/>
      <c r="K369" s="22"/>
      <c r="L369" s="21"/>
      <c r="M369" s="20"/>
      <c r="N369" s="20"/>
      <c r="O369" s="23"/>
      <c r="P369" s="21"/>
      <c r="Q369" s="20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1"/>
      <c r="AU369" s="25" t="str">
        <f t="shared" si="10"/>
        <v>1Q42</v>
      </c>
      <c r="AV369" t="str">
        <f t="shared" si="11"/>
        <v>1Q42</v>
      </c>
      <c r="BA369">
        <f ca="1">IF(COUNTBLANK(C369)=0,COUNTA(INDIRECT(CONCATENATE("Area!",LEFT(ADDRESS(1,MATCH(C369,Area!$1:$1,0),4),1),"2:",LEFT(ADDRESS(1,MATCH(C369,Area!$1:$1,0),4),1),"99"))),0)</f>
        <v>0</v>
      </c>
      <c r="BB369">
        <f ca="1">IF(COUNTBLANK(D369)=0,COUNTA(INDIRECT(CONCATENATE("Setup!",LEFT(ADDRESS(1,MATCH(CONCATENATE(C369,":",D369),Setup!$1:$1,0),4),1),"2:",LEFT(ADDRESS(1,MATCH(CONCATENATE(C369,":",D369),Setup!$1:$1,0),4),1),"99"))),0)</f>
        <v>0</v>
      </c>
      <c r="BC369">
        <f ca="1">IF(COUNTBLANK(E369)=0,COUNTA(INDIRECT(CONCATENATE("Comp!",SUBSTITUTE(ADDRESS(1,MATCH(CONCATENATE(C369,":",D369,":",E369),Comp!$1:$1,0),4),"1",""),"2:",SUBSTITUTE(ADDRESS(1,MATCH(CONCATENATE(C369,":",D369,":",E369),Comp!$1:$1,0),4),"1",""),"99"))),0)</f>
        <v>0</v>
      </c>
    </row>
    <row r="370" spans="1:55">
      <c r="A370" s="20" t="s">
        <v>73</v>
      </c>
      <c r="B370" s="21"/>
      <c r="C370" s="20"/>
      <c r="D370" s="22"/>
      <c r="E370" s="22"/>
      <c r="F370" s="21"/>
      <c r="G370" s="23"/>
      <c r="H370" s="24"/>
      <c r="I370" s="22"/>
      <c r="J370" s="22"/>
      <c r="K370" s="22"/>
      <c r="L370" s="21"/>
      <c r="M370" s="20"/>
      <c r="N370" s="20"/>
      <c r="O370" s="23"/>
      <c r="P370" s="21"/>
      <c r="Q370" s="20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1"/>
      <c r="AU370" s="25" t="str">
        <f t="shared" si="10"/>
        <v>1Q42</v>
      </c>
      <c r="AV370" t="str">
        <f t="shared" si="11"/>
        <v>1Q42</v>
      </c>
      <c r="BA370">
        <f ca="1">IF(COUNTBLANK(C370)=0,COUNTA(INDIRECT(CONCATENATE("Area!",LEFT(ADDRESS(1,MATCH(C370,Area!$1:$1,0),4),1),"2:",LEFT(ADDRESS(1,MATCH(C370,Area!$1:$1,0),4),1),"99"))),0)</f>
        <v>0</v>
      </c>
      <c r="BB370">
        <f ca="1">IF(COUNTBLANK(D370)=0,COUNTA(INDIRECT(CONCATENATE("Setup!",LEFT(ADDRESS(1,MATCH(CONCATENATE(C370,":",D370),Setup!$1:$1,0),4),1),"2:",LEFT(ADDRESS(1,MATCH(CONCATENATE(C370,":",D370),Setup!$1:$1,0),4),1),"99"))),0)</f>
        <v>0</v>
      </c>
      <c r="BC370">
        <f ca="1">IF(COUNTBLANK(E370)=0,COUNTA(INDIRECT(CONCATENATE("Comp!",SUBSTITUTE(ADDRESS(1,MATCH(CONCATENATE(C370,":",D370,":",E370),Comp!$1:$1,0),4),"1",""),"2:",SUBSTITUTE(ADDRESS(1,MATCH(CONCATENATE(C370,":",D370,":",E370),Comp!$1:$1,0),4),"1",""),"99"))),0)</f>
        <v>0</v>
      </c>
    </row>
    <row r="371" spans="1:55">
      <c r="A371" s="20" t="s">
        <v>73</v>
      </c>
      <c r="B371" s="21"/>
      <c r="C371" s="20"/>
      <c r="D371" s="22"/>
      <c r="E371" s="22"/>
      <c r="F371" s="21"/>
      <c r="G371" s="23"/>
      <c r="H371" s="24"/>
      <c r="I371" s="22"/>
      <c r="J371" s="22"/>
      <c r="K371" s="22"/>
      <c r="L371" s="21"/>
      <c r="M371" s="20"/>
      <c r="N371" s="20"/>
      <c r="O371" s="23"/>
      <c r="P371" s="21"/>
      <c r="Q371" s="20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1"/>
      <c r="AU371" s="25" t="str">
        <f t="shared" si="10"/>
        <v>1Q42</v>
      </c>
      <c r="AV371" t="str">
        <f t="shared" si="11"/>
        <v>1Q42</v>
      </c>
      <c r="BA371">
        <f ca="1">IF(COUNTBLANK(C371)=0,COUNTA(INDIRECT(CONCATENATE("Area!",LEFT(ADDRESS(1,MATCH(C371,Area!$1:$1,0),4),1),"2:",LEFT(ADDRESS(1,MATCH(C371,Area!$1:$1,0),4),1),"99"))),0)</f>
        <v>0</v>
      </c>
      <c r="BB371">
        <f ca="1">IF(COUNTBLANK(D371)=0,COUNTA(INDIRECT(CONCATENATE("Setup!",LEFT(ADDRESS(1,MATCH(CONCATENATE(C371,":",D371),Setup!$1:$1,0),4),1),"2:",LEFT(ADDRESS(1,MATCH(CONCATENATE(C371,":",D371),Setup!$1:$1,0),4),1),"99"))),0)</f>
        <v>0</v>
      </c>
      <c r="BC371">
        <f ca="1">IF(COUNTBLANK(E371)=0,COUNTA(INDIRECT(CONCATENATE("Comp!",SUBSTITUTE(ADDRESS(1,MATCH(CONCATENATE(C371,":",D371,":",E371),Comp!$1:$1,0),4),"1",""),"2:",SUBSTITUTE(ADDRESS(1,MATCH(CONCATENATE(C371,":",D371,":",E371),Comp!$1:$1,0),4),"1",""),"99"))),0)</f>
        <v>0</v>
      </c>
    </row>
    <row r="372" spans="1:55">
      <c r="A372" s="20" t="s">
        <v>73</v>
      </c>
      <c r="B372" s="21"/>
      <c r="C372" s="20"/>
      <c r="D372" s="22"/>
      <c r="E372" s="22"/>
      <c r="F372" s="21"/>
      <c r="G372" s="23"/>
      <c r="H372" s="24"/>
      <c r="I372" s="22"/>
      <c r="J372" s="22"/>
      <c r="K372" s="22"/>
      <c r="L372" s="21"/>
      <c r="M372" s="20"/>
      <c r="N372" s="20"/>
      <c r="O372" s="23"/>
      <c r="P372" s="21"/>
      <c r="Q372" s="20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1"/>
      <c r="AU372" s="25" t="str">
        <f t="shared" si="10"/>
        <v>1Q42</v>
      </c>
      <c r="AV372" t="str">
        <f t="shared" si="11"/>
        <v>1Q42</v>
      </c>
      <c r="BA372">
        <f ca="1">IF(COUNTBLANK(C372)=0,COUNTA(INDIRECT(CONCATENATE("Area!",LEFT(ADDRESS(1,MATCH(C372,Area!$1:$1,0),4),1),"2:",LEFT(ADDRESS(1,MATCH(C372,Area!$1:$1,0),4),1),"99"))),0)</f>
        <v>0</v>
      </c>
      <c r="BB372">
        <f ca="1">IF(COUNTBLANK(D372)=0,COUNTA(INDIRECT(CONCATENATE("Setup!",LEFT(ADDRESS(1,MATCH(CONCATENATE(C372,":",D372),Setup!$1:$1,0),4),1),"2:",LEFT(ADDRESS(1,MATCH(CONCATENATE(C372,":",D372),Setup!$1:$1,0),4),1),"99"))),0)</f>
        <v>0</v>
      </c>
      <c r="BC372">
        <f ca="1">IF(COUNTBLANK(E372)=0,COUNTA(INDIRECT(CONCATENATE("Comp!",SUBSTITUTE(ADDRESS(1,MATCH(CONCATENATE(C372,":",D372,":",E372),Comp!$1:$1,0),4),"1",""),"2:",SUBSTITUTE(ADDRESS(1,MATCH(CONCATENATE(C372,":",D372,":",E372),Comp!$1:$1,0),4),"1",""),"99"))),0)</f>
        <v>0</v>
      </c>
    </row>
    <row r="373" spans="1:55">
      <c r="A373" s="20" t="s">
        <v>73</v>
      </c>
      <c r="B373" s="21"/>
      <c r="C373" s="20"/>
      <c r="D373" s="22"/>
      <c r="E373" s="22"/>
      <c r="F373" s="21"/>
      <c r="G373" s="23"/>
      <c r="H373" s="24"/>
      <c r="I373" s="22"/>
      <c r="J373" s="22"/>
      <c r="K373" s="22"/>
      <c r="L373" s="21"/>
      <c r="M373" s="20"/>
      <c r="N373" s="20"/>
      <c r="O373" s="23"/>
      <c r="P373" s="21"/>
      <c r="Q373" s="20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1"/>
      <c r="AU373" s="25" t="str">
        <f t="shared" si="10"/>
        <v>1Q42</v>
      </c>
      <c r="AV373" t="str">
        <f t="shared" si="11"/>
        <v>1Q42</v>
      </c>
      <c r="BA373">
        <f ca="1">IF(COUNTBLANK(C373)=0,COUNTA(INDIRECT(CONCATENATE("Area!",LEFT(ADDRESS(1,MATCH(C373,Area!$1:$1,0),4),1),"2:",LEFT(ADDRESS(1,MATCH(C373,Area!$1:$1,0),4),1),"99"))),0)</f>
        <v>0</v>
      </c>
      <c r="BB373">
        <f ca="1">IF(COUNTBLANK(D373)=0,COUNTA(INDIRECT(CONCATENATE("Setup!",LEFT(ADDRESS(1,MATCH(CONCATENATE(C373,":",D373),Setup!$1:$1,0),4),1),"2:",LEFT(ADDRESS(1,MATCH(CONCATENATE(C373,":",D373),Setup!$1:$1,0),4),1),"99"))),0)</f>
        <v>0</v>
      </c>
      <c r="BC373">
        <f ca="1">IF(COUNTBLANK(E373)=0,COUNTA(INDIRECT(CONCATENATE("Comp!",SUBSTITUTE(ADDRESS(1,MATCH(CONCATENATE(C373,":",D373,":",E373),Comp!$1:$1,0),4),"1",""),"2:",SUBSTITUTE(ADDRESS(1,MATCH(CONCATENATE(C373,":",D373,":",E373),Comp!$1:$1,0),4),"1",""),"99"))),0)</f>
        <v>0</v>
      </c>
    </row>
    <row r="374" spans="1:55">
      <c r="A374" s="20" t="s">
        <v>73</v>
      </c>
      <c r="B374" s="21"/>
      <c r="C374" s="20"/>
      <c r="D374" s="22"/>
      <c r="E374" s="22"/>
      <c r="F374" s="21"/>
      <c r="G374" s="23"/>
      <c r="H374" s="24"/>
      <c r="I374" s="22"/>
      <c r="J374" s="22"/>
      <c r="K374" s="22"/>
      <c r="L374" s="21"/>
      <c r="M374" s="20"/>
      <c r="N374" s="20"/>
      <c r="O374" s="23"/>
      <c r="P374" s="21"/>
      <c r="Q374" s="20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1"/>
      <c r="AU374" s="25" t="str">
        <f t="shared" si="10"/>
        <v>1Q42</v>
      </c>
      <c r="AV374" t="str">
        <f t="shared" si="11"/>
        <v>1Q42</v>
      </c>
      <c r="BA374">
        <f ca="1">IF(COUNTBLANK(C374)=0,COUNTA(INDIRECT(CONCATENATE("Area!",LEFT(ADDRESS(1,MATCH(C374,Area!$1:$1,0),4),1),"2:",LEFT(ADDRESS(1,MATCH(C374,Area!$1:$1,0),4),1),"99"))),0)</f>
        <v>0</v>
      </c>
      <c r="BB374">
        <f ca="1">IF(COUNTBLANK(D374)=0,COUNTA(INDIRECT(CONCATENATE("Setup!",LEFT(ADDRESS(1,MATCH(CONCATENATE(C374,":",D374),Setup!$1:$1,0),4),1),"2:",LEFT(ADDRESS(1,MATCH(CONCATENATE(C374,":",D374),Setup!$1:$1,0),4),1),"99"))),0)</f>
        <v>0</v>
      </c>
      <c r="BC374">
        <f ca="1">IF(COUNTBLANK(E374)=0,COUNTA(INDIRECT(CONCATENATE("Comp!",SUBSTITUTE(ADDRESS(1,MATCH(CONCATENATE(C374,":",D374,":",E374),Comp!$1:$1,0),4),"1",""),"2:",SUBSTITUTE(ADDRESS(1,MATCH(CONCATENATE(C374,":",D374,":",E374),Comp!$1:$1,0),4),"1",""),"99"))),0)</f>
        <v>0</v>
      </c>
    </row>
    <row r="375" spans="1:55">
      <c r="A375" s="20" t="s">
        <v>73</v>
      </c>
      <c r="B375" s="21"/>
      <c r="C375" s="20"/>
      <c r="D375" s="22"/>
      <c r="E375" s="22"/>
      <c r="F375" s="21"/>
      <c r="G375" s="23"/>
      <c r="H375" s="24"/>
      <c r="I375" s="22"/>
      <c r="J375" s="22"/>
      <c r="K375" s="22"/>
      <c r="L375" s="21"/>
      <c r="M375" s="20"/>
      <c r="N375" s="20"/>
      <c r="O375" s="23"/>
      <c r="P375" s="21"/>
      <c r="Q375" s="20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1"/>
      <c r="AU375" s="25" t="str">
        <f t="shared" si="10"/>
        <v>1Q42</v>
      </c>
      <c r="AV375" t="str">
        <f t="shared" si="11"/>
        <v>1Q42</v>
      </c>
      <c r="BA375">
        <f ca="1">IF(COUNTBLANK(C375)=0,COUNTA(INDIRECT(CONCATENATE("Area!",LEFT(ADDRESS(1,MATCH(C375,Area!$1:$1,0),4),1),"2:",LEFT(ADDRESS(1,MATCH(C375,Area!$1:$1,0),4),1),"99"))),0)</f>
        <v>0</v>
      </c>
      <c r="BB375">
        <f ca="1">IF(COUNTBLANK(D375)=0,COUNTA(INDIRECT(CONCATENATE("Setup!",LEFT(ADDRESS(1,MATCH(CONCATENATE(C375,":",D375),Setup!$1:$1,0),4),1),"2:",LEFT(ADDRESS(1,MATCH(CONCATENATE(C375,":",D375),Setup!$1:$1,0),4),1),"99"))),0)</f>
        <v>0</v>
      </c>
      <c r="BC375">
        <f ca="1">IF(COUNTBLANK(E375)=0,COUNTA(INDIRECT(CONCATENATE("Comp!",SUBSTITUTE(ADDRESS(1,MATCH(CONCATENATE(C375,":",D375,":",E375),Comp!$1:$1,0),4),"1",""),"2:",SUBSTITUTE(ADDRESS(1,MATCH(CONCATENATE(C375,":",D375,":",E375),Comp!$1:$1,0),4),"1",""),"99"))),0)</f>
        <v>0</v>
      </c>
    </row>
    <row r="376" spans="1:55">
      <c r="A376" s="20" t="s">
        <v>73</v>
      </c>
      <c r="B376" s="21"/>
      <c r="C376" s="20"/>
      <c r="D376" s="22"/>
      <c r="E376" s="22"/>
      <c r="F376" s="21"/>
      <c r="G376" s="23"/>
      <c r="H376" s="24"/>
      <c r="I376" s="22"/>
      <c r="J376" s="22"/>
      <c r="K376" s="22"/>
      <c r="L376" s="21"/>
      <c r="M376" s="20"/>
      <c r="N376" s="20"/>
      <c r="O376" s="23"/>
      <c r="P376" s="21"/>
      <c r="Q376" s="20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1"/>
      <c r="AU376" s="25" t="str">
        <f t="shared" si="10"/>
        <v>1Q42</v>
      </c>
      <c r="AV376" t="str">
        <f t="shared" si="11"/>
        <v>1Q42</v>
      </c>
      <c r="BA376">
        <f ca="1">IF(COUNTBLANK(C376)=0,COUNTA(INDIRECT(CONCATENATE("Area!",LEFT(ADDRESS(1,MATCH(C376,Area!$1:$1,0),4),1),"2:",LEFT(ADDRESS(1,MATCH(C376,Area!$1:$1,0),4),1),"99"))),0)</f>
        <v>0</v>
      </c>
      <c r="BB376">
        <f ca="1">IF(COUNTBLANK(D376)=0,COUNTA(INDIRECT(CONCATENATE("Setup!",LEFT(ADDRESS(1,MATCH(CONCATENATE(C376,":",D376),Setup!$1:$1,0),4),1),"2:",LEFT(ADDRESS(1,MATCH(CONCATENATE(C376,":",D376),Setup!$1:$1,0),4),1),"99"))),0)</f>
        <v>0</v>
      </c>
      <c r="BC376">
        <f ca="1">IF(COUNTBLANK(E376)=0,COUNTA(INDIRECT(CONCATENATE("Comp!",SUBSTITUTE(ADDRESS(1,MATCH(CONCATENATE(C376,":",D376,":",E376),Comp!$1:$1,0),4),"1",""),"2:",SUBSTITUTE(ADDRESS(1,MATCH(CONCATENATE(C376,":",D376,":",E376),Comp!$1:$1,0),4),"1",""),"99"))),0)</f>
        <v>0</v>
      </c>
    </row>
    <row r="377" spans="1:55">
      <c r="A377" s="20" t="s">
        <v>73</v>
      </c>
      <c r="B377" s="21"/>
      <c r="C377" s="20"/>
      <c r="D377" s="22"/>
      <c r="E377" s="22"/>
      <c r="F377" s="21"/>
      <c r="G377" s="23"/>
      <c r="H377" s="24"/>
      <c r="I377" s="22"/>
      <c r="J377" s="22"/>
      <c r="K377" s="22"/>
      <c r="L377" s="21"/>
      <c r="M377" s="20"/>
      <c r="N377" s="20"/>
      <c r="O377" s="23"/>
      <c r="P377" s="21"/>
      <c r="Q377" s="20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1"/>
      <c r="AU377" s="25" t="str">
        <f t="shared" si="10"/>
        <v>1Q42</v>
      </c>
      <c r="AV377" t="str">
        <f t="shared" si="11"/>
        <v>1Q42</v>
      </c>
      <c r="BA377">
        <f ca="1">IF(COUNTBLANK(C377)=0,COUNTA(INDIRECT(CONCATENATE("Area!",LEFT(ADDRESS(1,MATCH(C377,Area!$1:$1,0),4),1),"2:",LEFT(ADDRESS(1,MATCH(C377,Area!$1:$1,0),4),1),"99"))),0)</f>
        <v>0</v>
      </c>
      <c r="BB377">
        <f ca="1">IF(COUNTBLANK(D377)=0,COUNTA(INDIRECT(CONCATENATE("Setup!",LEFT(ADDRESS(1,MATCH(CONCATENATE(C377,":",D377),Setup!$1:$1,0),4),1),"2:",LEFT(ADDRESS(1,MATCH(CONCATENATE(C377,":",D377),Setup!$1:$1,0),4),1),"99"))),0)</f>
        <v>0</v>
      </c>
      <c r="BC377">
        <f ca="1">IF(COUNTBLANK(E377)=0,COUNTA(INDIRECT(CONCATENATE("Comp!",SUBSTITUTE(ADDRESS(1,MATCH(CONCATENATE(C377,":",D377,":",E377),Comp!$1:$1,0),4),"1",""),"2:",SUBSTITUTE(ADDRESS(1,MATCH(CONCATENATE(C377,":",D377,":",E377),Comp!$1:$1,0),4),"1",""),"99"))),0)</f>
        <v>0</v>
      </c>
    </row>
    <row r="378" spans="1:55">
      <c r="A378" s="20" t="s">
        <v>73</v>
      </c>
      <c r="B378" s="21"/>
      <c r="C378" s="20"/>
      <c r="D378" s="22"/>
      <c r="E378" s="22"/>
      <c r="F378" s="21"/>
      <c r="G378" s="23"/>
      <c r="H378" s="24"/>
      <c r="I378" s="22"/>
      <c r="J378" s="22"/>
      <c r="K378" s="22"/>
      <c r="L378" s="21"/>
      <c r="M378" s="20"/>
      <c r="N378" s="20"/>
      <c r="O378" s="23"/>
      <c r="P378" s="21"/>
      <c r="Q378" s="20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1"/>
      <c r="AU378" s="25" t="str">
        <f t="shared" si="10"/>
        <v>1Q42</v>
      </c>
      <c r="AV378" t="str">
        <f t="shared" si="11"/>
        <v>1Q42</v>
      </c>
      <c r="BA378">
        <f ca="1">IF(COUNTBLANK(C378)=0,COUNTA(INDIRECT(CONCATENATE("Area!",LEFT(ADDRESS(1,MATCH(C378,Area!$1:$1,0),4),1),"2:",LEFT(ADDRESS(1,MATCH(C378,Area!$1:$1,0),4),1),"99"))),0)</f>
        <v>0</v>
      </c>
      <c r="BB378">
        <f ca="1">IF(COUNTBLANK(D378)=0,COUNTA(INDIRECT(CONCATENATE("Setup!",LEFT(ADDRESS(1,MATCH(CONCATENATE(C378,":",D378),Setup!$1:$1,0),4),1),"2:",LEFT(ADDRESS(1,MATCH(CONCATENATE(C378,":",D378),Setup!$1:$1,0),4),1),"99"))),0)</f>
        <v>0</v>
      </c>
      <c r="BC378">
        <f ca="1">IF(COUNTBLANK(E378)=0,COUNTA(INDIRECT(CONCATENATE("Comp!",SUBSTITUTE(ADDRESS(1,MATCH(CONCATENATE(C378,":",D378,":",E378),Comp!$1:$1,0),4),"1",""),"2:",SUBSTITUTE(ADDRESS(1,MATCH(CONCATENATE(C378,":",D378,":",E378),Comp!$1:$1,0),4),"1",""),"99"))),0)</f>
        <v>0</v>
      </c>
    </row>
    <row r="379" spans="1:55">
      <c r="A379" s="20" t="s">
        <v>73</v>
      </c>
      <c r="B379" s="21"/>
      <c r="C379" s="20"/>
      <c r="D379" s="22"/>
      <c r="E379" s="22"/>
      <c r="F379" s="21"/>
      <c r="G379" s="23"/>
      <c r="H379" s="24"/>
      <c r="I379" s="22"/>
      <c r="J379" s="22"/>
      <c r="K379" s="22"/>
      <c r="L379" s="21"/>
      <c r="M379" s="20"/>
      <c r="N379" s="20"/>
      <c r="O379" s="23"/>
      <c r="P379" s="21"/>
      <c r="Q379" s="20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1"/>
      <c r="AU379" s="25" t="str">
        <f t="shared" si="10"/>
        <v>1Q42</v>
      </c>
      <c r="AV379" t="str">
        <f t="shared" si="11"/>
        <v>1Q42</v>
      </c>
      <c r="BA379">
        <f ca="1">IF(COUNTBLANK(C379)=0,COUNTA(INDIRECT(CONCATENATE("Area!",LEFT(ADDRESS(1,MATCH(C379,Area!$1:$1,0),4),1),"2:",LEFT(ADDRESS(1,MATCH(C379,Area!$1:$1,0),4),1),"99"))),0)</f>
        <v>0</v>
      </c>
      <c r="BB379">
        <f ca="1">IF(COUNTBLANK(D379)=0,COUNTA(INDIRECT(CONCATENATE("Setup!",LEFT(ADDRESS(1,MATCH(CONCATENATE(C379,":",D379),Setup!$1:$1,0),4),1),"2:",LEFT(ADDRESS(1,MATCH(CONCATENATE(C379,":",D379),Setup!$1:$1,0),4),1),"99"))),0)</f>
        <v>0</v>
      </c>
      <c r="BC379">
        <f ca="1">IF(COUNTBLANK(E379)=0,COUNTA(INDIRECT(CONCATENATE("Comp!",SUBSTITUTE(ADDRESS(1,MATCH(CONCATENATE(C379,":",D379,":",E379),Comp!$1:$1,0),4),"1",""),"2:",SUBSTITUTE(ADDRESS(1,MATCH(CONCATENATE(C379,":",D379,":",E379),Comp!$1:$1,0),4),"1",""),"99"))),0)</f>
        <v>0</v>
      </c>
    </row>
    <row r="380" spans="1:55">
      <c r="A380" s="20" t="s">
        <v>73</v>
      </c>
      <c r="B380" s="21"/>
      <c r="C380" s="20"/>
      <c r="D380" s="22"/>
      <c r="E380" s="22"/>
      <c r="F380" s="21"/>
      <c r="G380" s="23"/>
      <c r="H380" s="24"/>
      <c r="I380" s="22"/>
      <c r="J380" s="22"/>
      <c r="K380" s="22"/>
      <c r="L380" s="21"/>
      <c r="M380" s="20"/>
      <c r="N380" s="20"/>
      <c r="O380" s="23"/>
      <c r="P380" s="21"/>
      <c r="Q380" s="20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1"/>
      <c r="AU380" s="25" t="str">
        <f t="shared" si="10"/>
        <v>1Q42</v>
      </c>
      <c r="AV380" t="str">
        <f t="shared" si="11"/>
        <v>1Q42</v>
      </c>
      <c r="BA380">
        <f ca="1">IF(COUNTBLANK(C380)=0,COUNTA(INDIRECT(CONCATENATE("Area!",LEFT(ADDRESS(1,MATCH(C380,Area!$1:$1,0),4),1),"2:",LEFT(ADDRESS(1,MATCH(C380,Area!$1:$1,0),4),1),"99"))),0)</f>
        <v>0</v>
      </c>
      <c r="BB380">
        <f ca="1">IF(COUNTBLANK(D380)=0,COUNTA(INDIRECT(CONCATENATE("Setup!",LEFT(ADDRESS(1,MATCH(CONCATENATE(C380,":",D380),Setup!$1:$1,0),4),1),"2:",LEFT(ADDRESS(1,MATCH(CONCATENATE(C380,":",D380),Setup!$1:$1,0),4),1),"99"))),0)</f>
        <v>0</v>
      </c>
      <c r="BC380">
        <f ca="1">IF(COUNTBLANK(E380)=0,COUNTA(INDIRECT(CONCATENATE("Comp!",SUBSTITUTE(ADDRESS(1,MATCH(CONCATENATE(C380,":",D380,":",E380),Comp!$1:$1,0),4),"1",""),"2:",SUBSTITUTE(ADDRESS(1,MATCH(CONCATENATE(C380,":",D380,":",E380),Comp!$1:$1,0),4),"1",""),"99"))),0)</f>
        <v>0</v>
      </c>
    </row>
    <row r="381" spans="1:55">
      <c r="A381" s="20" t="s">
        <v>73</v>
      </c>
      <c r="B381" s="21"/>
      <c r="C381" s="20"/>
      <c r="D381" s="22"/>
      <c r="E381" s="22"/>
      <c r="F381" s="21"/>
      <c r="G381" s="23"/>
      <c r="H381" s="24"/>
      <c r="I381" s="22"/>
      <c r="J381" s="22"/>
      <c r="K381" s="22"/>
      <c r="L381" s="21"/>
      <c r="M381" s="20"/>
      <c r="N381" s="20"/>
      <c r="O381" s="23"/>
      <c r="P381" s="21"/>
      <c r="Q381" s="20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1"/>
      <c r="AU381" s="25" t="str">
        <f t="shared" si="10"/>
        <v>1Q42</v>
      </c>
      <c r="AV381" t="str">
        <f t="shared" si="11"/>
        <v>1Q42</v>
      </c>
      <c r="BA381">
        <f ca="1">IF(COUNTBLANK(C381)=0,COUNTA(INDIRECT(CONCATENATE("Area!",LEFT(ADDRESS(1,MATCH(C381,Area!$1:$1,0),4),1),"2:",LEFT(ADDRESS(1,MATCH(C381,Area!$1:$1,0),4),1),"99"))),0)</f>
        <v>0</v>
      </c>
      <c r="BB381">
        <f ca="1">IF(COUNTBLANK(D381)=0,COUNTA(INDIRECT(CONCATENATE("Setup!",LEFT(ADDRESS(1,MATCH(CONCATENATE(C381,":",D381),Setup!$1:$1,0),4),1),"2:",LEFT(ADDRESS(1,MATCH(CONCATENATE(C381,":",D381),Setup!$1:$1,0),4),1),"99"))),0)</f>
        <v>0</v>
      </c>
      <c r="BC381">
        <f ca="1">IF(COUNTBLANK(E381)=0,COUNTA(INDIRECT(CONCATENATE("Comp!",SUBSTITUTE(ADDRESS(1,MATCH(CONCATENATE(C381,":",D381,":",E381),Comp!$1:$1,0),4),"1",""),"2:",SUBSTITUTE(ADDRESS(1,MATCH(CONCATENATE(C381,":",D381,":",E381),Comp!$1:$1,0),4),"1",""),"99"))),0)</f>
        <v>0</v>
      </c>
    </row>
    <row r="382" spans="1:55">
      <c r="A382" s="20" t="s">
        <v>73</v>
      </c>
      <c r="B382" s="21"/>
      <c r="C382" s="20"/>
      <c r="D382" s="22"/>
      <c r="E382" s="22"/>
      <c r="F382" s="21"/>
      <c r="G382" s="23"/>
      <c r="H382" s="24"/>
      <c r="I382" s="22"/>
      <c r="J382" s="22"/>
      <c r="K382" s="22"/>
      <c r="L382" s="21"/>
      <c r="M382" s="20"/>
      <c r="N382" s="20"/>
      <c r="O382" s="23"/>
      <c r="P382" s="21"/>
      <c r="Q382" s="20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1"/>
      <c r="AU382" s="25" t="str">
        <f t="shared" si="10"/>
        <v>1Q42</v>
      </c>
      <c r="AV382" t="str">
        <f t="shared" si="11"/>
        <v>1Q42</v>
      </c>
      <c r="BA382">
        <f ca="1">IF(COUNTBLANK(C382)=0,COUNTA(INDIRECT(CONCATENATE("Area!",LEFT(ADDRESS(1,MATCH(C382,Area!$1:$1,0),4),1),"2:",LEFT(ADDRESS(1,MATCH(C382,Area!$1:$1,0),4),1),"99"))),0)</f>
        <v>0</v>
      </c>
      <c r="BB382">
        <f ca="1">IF(COUNTBLANK(D382)=0,COUNTA(INDIRECT(CONCATENATE("Setup!",LEFT(ADDRESS(1,MATCH(CONCATENATE(C382,":",D382),Setup!$1:$1,0),4),1),"2:",LEFT(ADDRESS(1,MATCH(CONCATENATE(C382,":",D382),Setup!$1:$1,0),4),1),"99"))),0)</f>
        <v>0</v>
      </c>
      <c r="BC382">
        <f ca="1">IF(COUNTBLANK(E382)=0,COUNTA(INDIRECT(CONCATENATE("Comp!",SUBSTITUTE(ADDRESS(1,MATCH(CONCATENATE(C382,":",D382,":",E382),Comp!$1:$1,0),4),"1",""),"2:",SUBSTITUTE(ADDRESS(1,MATCH(CONCATENATE(C382,":",D382,":",E382),Comp!$1:$1,0),4),"1",""),"99"))),0)</f>
        <v>0</v>
      </c>
    </row>
    <row r="383" spans="1:55">
      <c r="A383" s="20" t="s">
        <v>73</v>
      </c>
      <c r="B383" s="21"/>
      <c r="C383" s="20"/>
      <c r="D383" s="22"/>
      <c r="E383" s="22"/>
      <c r="F383" s="21"/>
      <c r="G383" s="23"/>
      <c r="H383" s="24"/>
      <c r="I383" s="22"/>
      <c r="J383" s="22"/>
      <c r="K383" s="22"/>
      <c r="L383" s="21"/>
      <c r="M383" s="20"/>
      <c r="N383" s="20"/>
      <c r="O383" s="23"/>
      <c r="P383" s="21"/>
      <c r="Q383" s="20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1"/>
      <c r="AU383" s="25" t="str">
        <f t="shared" si="10"/>
        <v>1Q42</v>
      </c>
      <c r="AV383" t="str">
        <f t="shared" si="11"/>
        <v>1Q42</v>
      </c>
      <c r="BA383">
        <f ca="1">IF(COUNTBLANK(C383)=0,COUNTA(INDIRECT(CONCATENATE("Area!",LEFT(ADDRESS(1,MATCH(C383,Area!$1:$1,0),4),1),"2:",LEFT(ADDRESS(1,MATCH(C383,Area!$1:$1,0),4),1),"99"))),0)</f>
        <v>0</v>
      </c>
      <c r="BB383">
        <f ca="1">IF(COUNTBLANK(D383)=0,COUNTA(INDIRECT(CONCATENATE("Setup!",LEFT(ADDRESS(1,MATCH(CONCATENATE(C383,":",D383),Setup!$1:$1,0),4),1),"2:",LEFT(ADDRESS(1,MATCH(CONCATENATE(C383,":",D383),Setup!$1:$1,0),4),1),"99"))),0)</f>
        <v>0</v>
      </c>
      <c r="BC383">
        <f ca="1">IF(COUNTBLANK(E383)=0,COUNTA(INDIRECT(CONCATENATE("Comp!",SUBSTITUTE(ADDRESS(1,MATCH(CONCATENATE(C383,":",D383,":",E383),Comp!$1:$1,0),4),"1",""),"2:",SUBSTITUTE(ADDRESS(1,MATCH(CONCATENATE(C383,":",D383,":",E383),Comp!$1:$1,0),4),"1",""),"99"))),0)</f>
        <v>0</v>
      </c>
    </row>
    <row r="384" spans="1:55">
      <c r="A384" s="20" t="s">
        <v>73</v>
      </c>
      <c r="B384" s="21"/>
      <c r="C384" s="20"/>
      <c r="D384" s="22"/>
      <c r="E384" s="22"/>
      <c r="F384" s="21"/>
      <c r="G384" s="23"/>
      <c r="H384" s="24"/>
      <c r="I384" s="22"/>
      <c r="J384" s="22"/>
      <c r="K384" s="22"/>
      <c r="L384" s="21"/>
      <c r="M384" s="20"/>
      <c r="N384" s="20"/>
      <c r="O384" s="23"/>
      <c r="P384" s="21"/>
      <c r="Q384" s="20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1"/>
      <c r="AU384" s="25" t="str">
        <f t="shared" si="10"/>
        <v>1Q42</v>
      </c>
      <c r="AV384" t="str">
        <f t="shared" si="11"/>
        <v>1Q42</v>
      </c>
      <c r="BA384">
        <f ca="1">IF(COUNTBLANK(C384)=0,COUNTA(INDIRECT(CONCATENATE("Area!",LEFT(ADDRESS(1,MATCH(C384,Area!$1:$1,0),4),1),"2:",LEFT(ADDRESS(1,MATCH(C384,Area!$1:$1,0),4),1),"99"))),0)</f>
        <v>0</v>
      </c>
      <c r="BB384">
        <f ca="1">IF(COUNTBLANK(D384)=0,COUNTA(INDIRECT(CONCATENATE("Setup!",LEFT(ADDRESS(1,MATCH(CONCATENATE(C384,":",D384),Setup!$1:$1,0),4),1),"2:",LEFT(ADDRESS(1,MATCH(CONCATENATE(C384,":",D384),Setup!$1:$1,0),4),1),"99"))),0)</f>
        <v>0</v>
      </c>
      <c r="BC384">
        <f ca="1">IF(COUNTBLANK(E384)=0,COUNTA(INDIRECT(CONCATENATE("Comp!",SUBSTITUTE(ADDRESS(1,MATCH(CONCATENATE(C384,":",D384,":",E384),Comp!$1:$1,0),4),"1",""),"2:",SUBSTITUTE(ADDRESS(1,MATCH(CONCATENATE(C384,":",D384,":",E384),Comp!$1:$1,0),4),"1",""),"99"))),0)</f>
        <v>0</v>
      </c>
    </row>
    <row r="385" spans="1:55">
      <c r="A385" s="20" t="s">
        <v>73</v>
      </c>
      <c r="B385" s="21"/>
      <c r="C385" s="20"/>
      <c r="D385" s="22"/>
      <c r="E385" s="22"/>
      <c r="F385" s="21"/>
      <c r="G385" s="23"/>
      <c r="H385" s="24"/>
      <c r="I385" s="22"/>
      <c r="J385" s="22"/>
      <c r="K385" s="22"/>
      <c r="L385" s="21"/>
      <c r="M385" s="20"/>
      <c r="N385" s="20"/>
      <c r="O385" s="23"/>
      <c r="P385" s="21"/>
      <c r="Q385" s="20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1"/>
      <c r="AU385" s="25" t="str">
        <f t="shared" si="10"/>
        <v>1Q42</v>
      </c>
      <c r="AV385" t="str">
        <f t="shared" si="11"/>
        <v>1Q42</v>
      </c>
      <c r="BA385">
        <f ca="1">IF(COUNTBLANK(C385)=0,COUNTA(INDIRECT(CONCATENATE("Area!",LEFT(ADDRESS(1,MATCH(C385,Area!$1:$1,0),4),1),"2:",LEFT(ADDRESS(1,MATCH(C385,Area!$1:$1,0),4),1),"99"))),0)</f>
        <v>0</v>
      </c>
      <c r="BB385">
        <f ca="1">IF(COUNTBLANK(D385)=0,COUNTA(INDIRECT(CONCATENATE("Setup!",LEFT(ADDRESS(1,MATCH(CONCATENATE(C385,":",D385),Setup!$1:$1,0),4),1),"2:",LEFT(ADDRESS(1,MATCH(CONCATENATE(C385,":",D385),Setup!$1:$1,0),4),1),"99"))),0)</f>
        <v>0</v>
      </c>
      <c r="BC385">
        <f ca="1">IF(COUNTBLANK(E385)=0,COUNTA(INDIRECT(CONCATENATE("Comp!",SUBSTITUTE(ADDRESS(1,MATCH(CONCATENATE(C385,":",D385,":",E385),Comp!$1:$1,0),4),"1",""),"2:",SUBSTITUTE(ADDRESS(1,MATCH(CONCATENATE(C385,":",D385,":",E385),Comp!$1:$1,0),4),"1",""),"99"))),0)</f>
        <v>0</v>
      </c>
    </row>
    <row r="386" spans="1:55">
      <c r="A386" s="20" t="s">
        <v>73</v>
      </c>
      <c r="B386" s="21"/>
      <c r="C386" s="20"/>
      <c r="D386" s="22"/>
      <c r="E386" s="22"/>
      <c r="F386" s="21"/>
      <c r="G386" s="23"/>
      <c r="H386" s="24"/>
      <c r="I386" s="22"/>
      <c r="J386" s="22"/>
      <c r="K386" s="22"/>
      <c r="L386" s="21"/>
      <c r="M386" s="20"/>
      <c r="N386" s="20"/>
      <c r="O386" s="23"/>
      <c r="P386" s="21"/>
      <c r="Q386" s="20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1"/>
      <c r="AU386" s="25" t="str">
        <f t="shared" si="10"/>
        <v>1Q42</v>
      </c>
      <c r="AV386" t="str">
        <f t="shared" si="11"/>
        <v>1Q42</v>
      </c>
      <c r="BA386">
        <f ca="1">IF(COUNTBLANK(C386)=0,COUNTA(INDIRECT(CONCATENATE("Area!",LEFT(ADDRESS(1,MATCH(C386,Area!$1:$1,0),4),1),"2:",LEFT(ADDRESS(1,MATCH(C386,Area!$1:$1,0),4),1),"99"))),0)</f>
        <v>0</v>
      </c>
      <c r="BB386">
        <f ca="1">IF(COUNTBLANK(D386)=0,COUNTA(INDIRECT(CONCATENATE("Setup!",LEFT(ADDRESS(1,MATCH(CONCATENATE(C386,":",D386),Setup!$1:$1,0),4),1),"2:",LEFT(ADDRESS(1,MATCH(CONCATENATE(C386,":",D386),Setup!$1:$1,0),4),1),"99"))),0)</f>
        <v>0</v>
      </c>
      <c r="BC386">
        <f ca="1">IF(COUNTBLANK(E386)=0,COUNTA(INDIRECT(CONCATENATE("Comp!",SUBSTITUTE(ADDRESS(1,MATCH(CONCATENATE(C386,":",D386,":",E386),Comp!$1:$1,0),4),"1",""),"2:",SUBSTITUTE(ADDRESS(1,MATCH(CONCATENATE(C386,":",D386,":",E386),Comp!$1:$1,0),4),"1",""),"99"))),0)</f>
        <v>0</v>
      </c>
    </row>
    <row r="387" spans="1:55">
      <c r="A387" s="20" t="s">
        <v>73</v>
      </c>
      <c r="B387" s="21"/>
      <c r="C387" s="20"/>
      <c r="D387" s="22"/>
      <c r="E387" s="22"/>
      <c r="F387" s="21"/>
      <c r="G387" s="23"/>
      <c r="H387" s="24"/>
      <c r="I387" s="22"/>
      <c r="J387" s="22"/>
      <c r="K387" s="22"/>
      <c r="L387" s="21"/>
      <c r="M387" s="20"/>
      <c r="N387" s="20"/>
      <c r="O387" s="23"/>
      <c r="P387" s="21"/>
      <c r="Q387" s="20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1"/>
      <c r="AU387" s="25" t="str">
        <f t="shared" si="10"/>
        <v>1Q42</v>
      </c>
      <c r="AV387" t="str">
        <f t="shared" si="11"/>
        <v>1Q42</v>
      </c>
      <c r="BA387">
        <f ca="1">IF(COUNTBLANK(C387)=0,COUNTA(INDIRECT(CONCATENATE("Area!",LEFT(ADDRESS(1,MATCH(C387,Area!$1:$1,0),4),1),"2:",LEFT(ADDRESS(1,MATCH(C387,Area!$1:$1,0),4),1),"99"))),0)</f>
        <v>0</v>
      </c>
      <c r="BB387">
        <f ca="1">IF(COUNTBLANK(D387)=0,COUNTA(INDIRECT(CONCATENATE("Setup!",LEFT(ADDRESS(1,MATCH(CONCATENATE(C387,":",D387),Setup!$1:$1,0),4),1),"2:",LEFT(ADDRESS(1,MATCH(CONCATENATE(C387,":",D387),Setup!$1:$1,0),4),1),"99"))),0)</f>
        <v>0</v>
      </c>
      <c r="BC387">
        <f ca="1">IF(COUNTBLANK(E387)=0,COUNTA(INDIRECT(CONCATENATE("Comp!",SUBSTITUTE(ADDRESS(1,MATCH(CONCATENATE(C387,":",D387,":",E387),Comp!$1:$1,0),4),"1",""),"2:",SUBSTITUTE(ADDRESS(1,MATCH(CONCATENATE(C387,":",D387,":",E387),Comp!$1:$1,0),4),"1",""),"99"))),0)</f>
        <v>0</v>
      </c>
    </row>
    <row r="388" spans="1:55">
      <c r="A388" s="20" t="s">
        <v>73</v>
      </c>
      <c r="B388" s="21"/>
      <c r="C388" s="20"/>
      <c r="D388" s="22"/>
      <c r="E388" s="22"/>
      <c r="F388" s="21"/>
      <c r="G388" s="23"/>
      <c r="H388" s="24"/>
      <c r="I388" s="22"/>
      <c r="J388" s="22"/>
      <c r="K388" s="22"/>
      <c r="L388" s="21"/>
      <c r="M388" s="20"/>
      <c r="N388" s="20"/>
      <c r="O388" s="23"/>
      <c r="P388" s="21"/>
      <c r="Q388" s="20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1"/>
      <c r="AU388" s="25" t="str">
        <f t="shared" si="10"/>
        <v>1Q42</v>
      </c>
      <c r="AV388" t="str">
        <f t="shared" si="11"/>
        <v>1Q42</v>
      </c>
      <c r="BA388">
        <f ca="1">IF(COUNTBLANK(C388)=0,COUNTA(INDIRECT(CONCATENATE("Area!",LEFT(ADDRESS(1,MATCH(C388,Area!$1:$1,0),4),1),"2:",LEFT(ADDRESS(1,MATCH(C388,Area!$1:$1,0),4),1),"99"))),0)</f>
        <v>0</v>
      </c>
      <c r="BB388">
        <f ca="1">IF(COUNTBLANK(D388)=0,COUNTA(INDIRECT(CONCATENATE("Setup!",LEFT(ADDRESS(1,MATCH(CONCATENATE(C388,":",D388),Setup!$1:$1,0),4),1),"2:",LEFT(ADDRESS(1,MATCH(CONCATENATE(C388,":",D388),Setup!$1:$1,0),4),1),"99"))),0)</f>
        <v>0</v>
      </c>
      <c r="BC388">
        <f ca="1">IF(COUNTBLANK(E388)=0,COUNTA(INDIRECT(CONCATENATE("Comp!",SUBSTITUTE(ADDRESS(1,MATCH(CONCATENATE(C388,":",D388,":",E388),Comp!$1:$1,0),4),"1",""),"2:",SUBSTITUTE(ADDRESS(1,MATCH(CONCATENATE(C388,":",D388,":",E388),Comp!$1:$1,0),4),"1",""),"99"))),0)</f>
        <v>0</v>
      </c>
    </row>
    <row r="389" spans="1:55">
      <c r="A389" s="20" t="s">
        <v>73</v>
      </c>
      <c r="B389" s="21"/>
      <c r="C389" s="20"/>
      <c r="D389" s="22"/>
      <c r="E389" s="22"/>
      <c r="F389" s="21"/>
      <c r="G389" s="23"/>
      <c r="H389" s="24"/>
      <c r="I389" s="22"/>
      <c r="J389" s="22"/>
      <c r="K389" s="22"/>
      <c r="L389" s="21"/>
      <c r="M389" s="20"/>
      <c r="N389" s="20"/>
      <c r="O389" s="23"/>
      <c r="P389" s="21"/>
      <c r="Q389" s="20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1"/>
      <c r="AU389" s="25" t="str">
        <f t="shared" si="10"/>
        <v>1Q42</v>
      </c>
      <c r="AV389" t="str">
        <f t="shared" si="11"/>
        <v>1Q42</v>
      </c>
      <c r="BA389">
        <f ca="1">IF(COUNTBLANK(C389)=0,COUNTA(INDIRECT(CONCATENATE("Area!",LEFT(ADDRESS(1,MATCH(C389,Area!$1:$1,0),4),1),"2:",LEFT(ADDRESS(1,MATCH(C389,Area!$1:$1,0),4),1),"99"))),0)</f>
        <v>0</v>
      </c>
      <c r="BB389">
        <f ca="1">IF(COUNTBLANK(D389)=0,COUNTA(INDIRECT(CONCATENATE("Setup!",LEFT(ADDRESS(1,MATCH(CONCATENATE(C389,":",D389),Setup!$1:$1,0),4),1),"2:",LEFT(ADDRESS(1,MATCH(CONCATENATE(C389,":",D389),Setup!$1:$1,0),4),1),"99"))),0)</f>
        <v>0</v>
      </c>
      <c r="BC389">
        <f ca="1">IF(COUNTBLANK(E389)=0,COUNTA(INDIRECT(CONCATENATE("Comp!",SUBSTITUTE(ADDRESS(1,MATCH(CONCATENATE(C389,":",D389,":",E389),Comp!$1:$1,0),4),"1",""),"2:",SUBSTITUTE(ADDRESS(1,MATCH(CONCATENATE(C389,":",D389,":",E389),Comp!$1:$1,0),4),"1",""),"99"))),0)</f>
        <v>0</v>
      </c>
    </row>
    <row r="390" spans="1:55">
      <c r="A390" s="20" t="s">
        <v>73</v>
      </c>
      <c r="B390" s="21"/>
      <c r="C390" s="20"/>
      <c r="D390" s="22"/>
      <c r="E390" s="22"/>
      <c r="F390" s="21"/>
      <c r="G390" s="23"/>
      <c r="H390" s="24"/>
      <c r="I390" s="22"/>
      <c r="J390" s="22"/>
      <c r="K390" s="22"/>
      <c r="L390" s="21"/>
      <c r="M390" s="20"/>
      <c r="N390" s="20"/>
      <c r="O390" s="23"/>
      <c r="P390" s="21"/>
      <c r="Q390" s="20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1"/>
      <c r="AU390" s="25" t="str">
        <f t="shared" si="10"/>
        <v>1Q42</v>
      </c>
      <c r="AV390" t="str">
        <f t="shared" si="11"/>
        <v>1Q42</v>
      </c>
      <c r="BA390">
        <f ca="1">IF(COUNTBLANK(C390)=0,COUNTA(INDIRECT(CONCATENATE("Area!",LEFT(ADDRESS(1,MATCH(C390,Area!$1:$1,0),4),1),"2:",LEFT(ADDRESS(1,MATCH(C390,Area!$1:$1,0),4),1),"99"))),0)</f>
        <v>0</v>
      </c>
      <c r="BB390">
        <f ca="1">IF(COUNTBLANK(D390)=0,COUNTA(INDIRECT(CONCATENATE("Setup!",LEFT(ADDRESS(1,MATCH(CONCATENATE(C390,":",D390),Setup!$1:$1,0),4),1),"2:",LEFT(ADDRESS(1,MATCH(CONCATENATE(C390,":",D390),Setup!$1:$1,0),4),1),"99"))),0)</f>
        <v>0</v>
      </c>
      <c r="BC390">
        <f ca="1">IF(COUNTBLANK(E390)=0,COUNTA(INDIRECT(CONCATENATE("Comp!",SUBSTITUTE(ADDRESS(1,MATCH(CONCATENATE(C390,":",D390,":",E390),Comp!$1:$1,0),4),"1",""),"2:",SUBSTITUTE(ADDRESS(1,MATCH(CONCATENATE(C390,":",D390,":",E390),Comp!$1:$1,0),4),"1",""),"99"))),0)</f>
        <v>0</v>
      </c>
    </row>
    <row r="391" spans="1:55">
      <c r="A391" s="20" t="s">
        <v>73</v>
      </c>
      <c r="B391" s="21"/>
      <c r="C391" s="20"/>
      <c r="D391" s="22"/>
      <c r="E391" s="22"/>
      <c r="F391" s="21"/>
      <c r="G391" s="23"/>
      <c r="H391" s="24"/>
      <c r="I391" s="22"/>
      <c r="J391" s="22"/>
      <c r="K391" s="22"/>
      <c r="L391" s="21"/>
      <c r="M391" s="20"/>
      <c r="N391" s="20"/>
      <c r="O391" s="23"/>
      <c r="P391" s="21"/>
      <c r="Q391" s="20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1"/>
      <c r="AU391" s="25" t="str">
        <f t="shared" si="10"/>
        <v>1Q42</v>
      </c>
      <c r="AV391" t="str">
        <f t="shared" si="11"/>
        <v>1Q42</v>
      </c>
      <c r="BA391">
        <f ca="1">IF(COUNTBLANK(C391)=0,COUNTA(INDIRECT(CONCATENATE("Area!",LEFT(ADDRESS(1,MATCH(C391,Area!$1:$1,0),4),1),"2:",LEFT(ADDRESS(1,MATCH(C391,Area!$1:$1,0),4),1),"99"))),0)</f>
        <v>0</v>
      </c>
      <c r="BB391">
        <f ca="1">IF(COUNTBLANK(D391)=0,COUNTA(INDIRECT(CONCATENATE("Setup!",LEFT(ADDRESS(1,MATCH(CONCATENATE(C391,":",D391),Setup!$1:$1,0),4),1),"2:",LEFT(ADDRESS(1,MATCH(CONCATENATE(C391,":",D391),Setup!$1:$1,0),4),1),"99"))),0)</f>
        <v>0</v>
      </c>
      <c r="BC391">
        <f ca="1">IF(COUNTBLANK(E391)=0,COUNTA(INDIRECT(CONCATENATE("Comp!",SUBSTITUTE(ADDRESS(1,MATCH(CONCATENATE(C391,":",D391,":",E391),Comp!$1:$1,0),4),"1",""),"2:",SUBSTITUTE(ADDRESS(1,MATCH(CONCATENATE(C391,":",D391,":",E391),Comp!$1:$1,0),4),"1",""),"99"))),0)</f>
        <v>0</v>
      </c>
    </row>
    <row r="392" spans="1:55">
      <c r="A392" s="20" t="s">
        <v>73</v>
      </c>
      <c r="B392" s="21"/>
      <c r="C392" s="20"/>
      <c r="D392" s="22"/>
      <c r="E392" s="22"/>
      <c r="F392" s="21"/>
      <c r="G392" s="23"/>
      <c r="H392" s="24"/>
      <c r="I392" s="22"/>
      <c r="J392" s="22"/>
      <c r="K392" s="22"/>
      <c r="L392" s="21"/>
      <c r="M392" s="20"/>
      <c r="N392" s="20"/>
      <c r="O392" s="23"/>
      <c r="P392" s="21"/>
      <c r="Q392" s="20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1"/>
      <c r="AU392" s="25" t="str">
        <f t="shared" si="10"/>
        <v>1Q42</v>
      </c>
      <c r="AV392" t="str">
        <f t="shared" si="11"/>
        <v>1Q42</v>
      </c>
      <c r="BA392">
        <f ca="1">IF(COUNTBLANK(C392)=0,COUNTA(INDIRECT(CONCATENATE("Area!",LEFT(ADDRESS(1,MATCH(C392,Area!$1:$1,0),4),1),"2:",LEFT(ADDRESS(1,MATCH(C392,Area!$1:$1,0),4),1),"99"))),0)</f>
        <v>0</v>
      </c>
      <c r="BB392">
        <f ca="1">IF(COUNTBLANK(D392)=0,COUNTA(INDIRECT(CONCATENATE("Setup!",LEFT(ADDRESS(1,MATCH(CONCATENATE(C392,":",D392),Setup!$1:$1,0),4),1),"2:",LEFT(ADDRESS(1,MATCH(CONCATENATE(C392,":",D392),Setup!$1:$1,0),4),1),"99"))),0)</f>
        <v>0</v>
      </c>
      <c r="BC392">
        <f ca="1">IF(COUNTBLANK(E392)=0,COUNTA(INDIRECT(CONCATENATE("Comp!",SUBSTITUTE(ADDRESS(1,MATCH(CONCATENATE(C392,":",D392,":",E392),Comp!$1:$1,0),4),"1",""),"2:",SUBSTITUTE(ADDRESS(1,MATCH(CONCATENATE(C392,":",D392,":",E392),Comp!$1:$1,0),4),"1",""),"99"))),0)</f>
        <v>0</v>
      </c>
    </row>
    <row r="393" spans="1:55">
      <c r="A393" s="20" t="s">
        <v>73</v>
      </c>
      <c r="B393" s="21"/>
      <c r="C393" s="20"/>
      <c r="D393" s="22"/>
      <c r="E393" s="22"/>
      <c r="F393" s="21"/>
      <c r="G393" s="23"/>
      <c r="H393" s="24"/>
      <c r="I393" s="22"/>
      <c r="J393" s="22"/>
      <c r="K393" s="22"/>
      <c r="L393" s="21"/>
      <c r="M393" s="20"/>
      <c r="N393" s="20"/>
      <c r="O393" s="23"/>
      <c r="P393" s="21"/>
      <c r="Q393" s="20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1"/>
      <c r="AU393" s="25" t="str">
        <f t="shared" ref="AU393:AU456" si="12">CONCATENATE(A393,B393)</f>
        <v>1Q42</v>
      </c>
      <c r="AV393" t="str">
        <f t="shared" ref="AV393:AV456" si="13">CONCATENATE(A393,B393)</f>
        <v>1Q42</v>
      </c>
      <c r="BA393">
        <f ca="1">IF(COUNTBLANK(C393)=0,COUNTA(INDIRECT(CONCATENATE("Area!",LEFT(ADDRESS(1,MATCH(C393,Area!$1:$1,0),4),1),"2:",LEFT(ADDRESS(1,MATCH(C393,Area!$1:$1,0),4),1),"99"))),0)</f>
        <v>0</v>
      </c>
      <c r="BB393">
        <f ca="1">IF(COUNTBLANK(D393)=0,COUNTA(INDIRECT(CONCATENATE("Setup!",LEFT(ADDRESS(1,MATCH(CONCATENATE(C393,":",D393),Setup!$1:$1,0),4),1),"2:",LEFT(ADDRESS(1,MATCH(CONCATENATE(C393,":",D393),Setup!$1:$1,0),4),1),"99"))),0)</f>
        <v>0</v>
      </c>
      <c r="BC393">
        <f ca="1">IF(COUNTBLANK(E393)=0,COUNTA(INDIRECT(CONCATENATE("Comp!",SUBSTITUTE(ADDRESS(1,MATCH(CONCATENATE(C393,":",D393,":",E393),Comp!$1:$1,0),4),"1",""),"2:",SUBSTITUTE(ADDRESS(1,MATCH(CONCATENATE(C393,":",D393,":",E393),Comp!$1:$1,0),4),"1",""),"99"))),0)</f>
        <v>0</v>
      </c>
    </row>
    <row r="394" spans="1:55">
      <c r="A394" s="20" t="s">
        <v>73</v>
      </c>
      <c r="B394" s="21"/>
      <c r="C394" s="20"/>
      <c r="D394" s="22"/>
      <c r="E394" s="22"/>
      <c r="F394" s="21"/>
      <c r="G394" s="23"/>
      <c r="H394" s="24"/>
      <c r="I394" s="22"/>
      <c r="J394" s="22"/>
      <c r="K394" s="22"/>
      <c r="L394" s="21"/>
      <c r="M394" s="20"/>
      <c r="N394" s="20"/>
      <c r="O394" s="23"/>
      <c r="P394" s="21"/>
      <c r="Q394" s="20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1"/>
      <c r="AU394" s="25" t="str">
        <f t="shared" si="12"/>
        <v>1Q42</v>
      </c>
      <c r="AV394" t="str">
        <f t="shared" si="13"/>
        <v>1Q42</v>
      </c>
      <c r="BA394">
        <f ca="1">IF(COUNTBLANK(C394)=0,COUNTA(INDIRECT(CONCATENATE("Area!",LEFT(ADDRESS(1,MATCH(C394,Area!$1:$1,0),4),1),"2:",LEFT(ADDRESS(1,MATCH(C394,Area!$1:$1,0),4),1),"99"))),0)</f>
        <v>0</v>
      </c>
      <c r="BB394">
        <f ca="1">IF(COUNTBLANK(D394)=0,COUNTA(INDIRECT(CONCATENATE("Setup!",LEFT(ADDRESS(1,MATCH(CONCATENATE(C394,":",D394),Setup!$1:$1,0),4),1),"2:",LEFT(ADDRESS(1,MATCH(CONCATENATE(C394,":",D394),Setup!$1:$1,0),4),1),"99"))),0)</f>
        <v>0</v>
      </c>
      <c r="BC394">
        <f ca="1">IF(COUNTBLANK(E394)=0,COUNTA(INDIRECT(CONCATENATE("Comp!",SUBSTITUTE(ADDRESS(1,MATCH(CONCATENATE(C394,":",D394,":",E394),Comp!$1:$1,0),4),"1",""),"2:",SUBSTITUTE(ADDRESS(1,MATCH(CONCATENATE(C394,":",D394,":",E394),Comp!$1:$1,0),4),"1",""),"99"))),0)</f>
        <v>0</v>
      </c>
    </row>
    <row r="395" spans="1:55">
      <c r="A395" s="20" t="s">
        <v>73</v>
      </c>
      <c r="B395" s="21"/>
      <c r="C395" s="20"/>
      <c r="D395" s="22"/>
      <c r="E395" s="22"/>
      <c r="F395" s="21"/>
      <c r="G395" s="23"/>
      <c r="H395" s="24"/>
      <c r="I395" s="22"/>
      <c r="J395" s="22"/>
      <c r="K395" s="22"/>
      <c r="L395" s="21"/>
      <c r="M395" s="20"/>
      <c r="N395" s="20"/>
      <c r="O395" s="23"/>
      <c r="P395" s="21"/>
      <c r="Q395" s="20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1"/>
      <c r="AU395" s="25" t="str">
        <f t="shared" si="12"/>
        <v>1Q42</v>
      </c>
      <c r="AV395" t="str">
        <f t="shared" si="13"/>
        <v>1Q42</v>
      </c>
      <c r="BA395">
        <f ca="1">IF(COUNTBLANK(C395)=0,COUNTA(INDIRECT(CONCATENATE("Area!",LEFT(ADDRESS(1,MATCH(C395,Area!$1:$1,0),4),1),"2:",LEFT(ADDRESS(1,MATCH(C395,Area!$1:$1,0),4),1),"99"))),0)</f>
        <v>0</v>
      </c>
      <c r="BB395">
        <f ca="1">IF(COUNTBLANK(D395)=0,COUNTA(INDIRECT(CONCATENATE("Setup!",LEFT(ADDRESS(1,MATCH(CONCATENATE(C395,":",D395),Setup!$1:$1,0),4),1),"2:",LEFT(ADDRESS(1,MATCH(CONCATENATE(C395,":",D395),Setup!$1:$1,0),4),1),"99"))),0)</f>
        <v>0</v>
      </c>
      <c r="BC395">
        <f ca="1">IF(COUNTBLANK(E395)=0,COUNTA(INDIRECT(CONCATENATE("Comp!",SUBSTITUTE(ADDRESS(1,MATCH(CONCATENATE(C395,":",D395,":",E395),Comp!$1:$1,0),4),"1",""),"2:",SUBSTITUTE(ADDRESS(1,MATCH(CONCATENATE(C395,":",D395,":",E395),Comp!$1:$1,0),4),"1",""),"99"))),0)</f>
        <v>0</v>
      </c>
    </row>
    <row r="396" spans="1:55">
      <c r="A396" s="20" t="s">
        <v>73</v>
      </c>
      <c r="B396" s="21"/>
      <c r="C396" s="20"/>
      <c r="D396" s="22"/>
      <c r="E396" s="22"/>
      <c r="F396" s="21"/>
      <c r="G396" s="23"/>
      <c r="H396" s="24"/>
      <c r="I396" s="22"/>
      <c r="J396" s="22"/>
      <c r="K396" s="22"/>
      <c r="L396" s="21"/>
      <c r="M396" s="20"/>
      <c r="N396" s="20"/>
      <c r="O396" s="23"/>
      <c r="P396" s="21"/>
      <c r="Q396" s="20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1"/>
      <c r="AU396" s="25" t="str">
        <f t="shared" si="12"/>
        <v>1Q42</v>
      </c>
      <c r="AV396" t="str">
        <f t="shared" si="13"/>
        <v>1Q42</v>
      </c>
      <c r="BA396">
        <f ca="1">IF(COUNTBLANK(C396)=0,COUNTA(INDIRECT(CONCATENATE("Area!",LEFT(ADDRESS(1,MATCH(C396,Area!$1:$1,0),4),1),"2:",LEFT(ADDRESS(1,MATCH(C396,Area!$1:$1,0),4),1),"99"))),0)</f>
        <v>0</v>
      </c>
      <c r="BB396">
        <f ca="1">IF(COUNTBLANK(D396)=0,COUNTA(INDIRECT(CONCATENATE("Setup!",LEFT(ADDRESS(1,MATCH(CONCATENATE(C396,":",D396),Setup!$1:$1,0),4),1),"2:",LEFT(ADDRESS(1,MATCH(CONCATENATE(C396,":",D396),Setup!$1:$1,0),4),1),"99"))),0)</f>
        <v>0</v>
      </c>
      <c r="BC396">
        <f ca="1">IF(COUNTBLANK(E396)=0,COUNTA(INDIRECT(CONCATENATE("Comp!",SUBSTITUTE(ADDRESS(1,MATCH(CONCATENATE(C396,":",D396,":",E396),Comp!$1:$1,0),4),"1",""),"2:",SUBSTITUTE(ADDRESS(1,MATCH(CONCATENATE(C396,":",D396,":",E396),Comp!$1:$1,0),4),"1",""),"99"))),0)</f>
        <v>0</v>
      </c>
    </row>
    <row r="397" spans="1:55">
      <c r="A397" s="20" t="s">
        <v>73</v>
      </c>
      <c r="B397" s="21"/>
      <c r="C397" s="20"/>
      <c r="D397" s="22"/>
      <c r="E397" s="22"/>
      <c r="F397" s="21"/>
      <c r="G397" s="23"/>
      <c r="H397" s="24"/>
      <c r="I397" s="22"/>
      <c r="J397" s="22"/>
      <c r="K397" s="22"/>
      <c r="L397" s="21"/>
      <c r="M397" s="20"/>
      <c r="N397" s="20"/>
      <c r="O397" s="23"/>
      <c r="P397" s="21"/>
      <c r="Q397" s="20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1"/>
      <c r="AU397" s="25" t="str">
        <f t="shared" si="12"/>
        <v>1Q42</v>
      </c>
      <c r="AV397" t="str">
        <f t="shared" si="13"/>
        <v>1Q42</v>
      </c>
      <c r="BA397">
        <f ca="1">IF(COUNTBLANK(C397)=0,COUNTA(INDIRECT(CONCATENATE("Area!",LEFT(ADDRESS(1,MATCH(C397,Area!$1:$1,0),4),1),"2:",LEFT(ADDRESS(1,MATCH(C397,Area!$1:$1,0),4),1),"99"))),0)</f>
        <v>0</v>
      </c>
      <c r="BB397">
        <f ca="1">IF(COUNTBLANK(D397)=0,COUNTA(INDIRECT(CONCATENATE("Setup!",LEFT(ADDRESS(1,MATCH(CONCATENATE(C397,":",D397),Setup!$1:$1,0),4),1),"2:",LEFT(ADDRESS(1,MATCH(CONCATENATE(C397,":",D397),Setup!$1:$1,0),4),1),"99"))),0)</f>
        <v>0</v>
      </c>
      <c r="BC397">
        <f ca="1">IF(COUNTBLANK(E397)=0,COUNTA(INDIRECT(CONCATENATE("Comp!",SUBSTITUTE(ADDRESS(1,MATCH(CONCATENATE(C397,":",D397,":",E397),Comp!$1:$1,0),4),"1",""),"2:",SUBSTITUTE(ADDRESS(1,MATCH(CONCATENATE(C397,":",D397,":",E397),Comp!$1:$1,0),4),"1",""),"99"))),0)</f>
        <v>0</v>
      </c>
    </row>
    <row r="398" spans="1:55">
      <c r="A398" s="20" t="s">
        <v>73</v>
      </c>
      <c r="B398" s="21"/>
      <c r="C398" s="20"/>
      <c r="D398" s="22"/>
      <c r="E398" s="22"/>
      <c r="F398" s="21"/>
      <c r="G398" s="23"/>
      <c r="H398" s="24"/>
      <c r="I398" s="22"/>
      <c r="J398" s="22"/>
      <c r="K398" s="22"/>
      <c r="L398" s="21"/>
      <c r="M398" s="20"/>
      <c r="N398" s="20"/>
      <c r="O398" s="23"/>
      <c r="P398" s="21"/>
      <c r="Q398" s="20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1"/>
      <c r="AU398" s="25" t="str">
        <f t="shared" si="12"/>
        <v>1Q42</v>
      </c>
      <c r="AV398" t="str">
        <f t="shared" si="13"/>
        <v>1Q42</v>
      </c>
      <c r="BA398">
        <f ca="1">IF(COUNTBLANK(C398)=0,COUNTA(INDIRECT(CONCATENATE("Area!",LEFT(ADDRESS(1,MATCH(C398,Area!$1:$1,0),4),1),"2:",LEFT(ADDRESS(1,MATCH(C398,Area!$1:$1,0),4),1),"99"))),0)</f>
        <v>0</v>
      </c>
      <c r="BB398">
        <f ca="1">IF(COUNTBLANK(D398)=0,COUNTA(INDIRECT(CONCATENATE("Setup!",LEFT(ADDRESS(1,MATCH(CONCATENATE(C398,":",D398),Setup!$1:$1,0),4),1),"2:",LEFT(ADDRESS(1,MATCH(CONCATENATE(C398,":",D398),Setup!$1:$1,0),4),1),"99"))),0)</f>
        <v>0</v>
      </c>
      <c r="BC398">
        <f ca="1">IF(COUNTBLANK(E398)=0,COUNTA(INDIRECT(CONCATENATE("Comp!",SUBSTITUTE(ADDRESS(1,MATCH(CONCATENATE(C398,":",D398,":",E398),Comp!$1:$1,0),4),"1",""),"2:",SUBSTITUTE(ADDRESS(1,MATCH(CONCATENATE(C398,":",D398,":",E398),Comp!$1:$1,0),4),"1",""),"99"))),0)</f>
        <v>0</v>
      </c>
    </row>
    <row r="399" spans="1:55">
      <c r="A399" s="20" t="s">
        <v>73</v>
      </c>
      <c r="B399" s="21"/>
      <c r="C399" s="20"/>
      <c r="D399" s="22"/>
      <c r="E399" s="22"/>
      <c r="F399" s="21"/>
      <c r="G399" s="23"/>
      <c r="H399" s="24"/>
      <c r="I399" s="22"/>
      <c r="J399" s="22"/>
      <c r="K399" s="22"/>
      <c r="L399" s="21"/>
      <c r="M399" s="20"/>
      <c r="N399" s="20"/>
      <c r="O399" s="23"/>
      <c r="P399" s="21"/>
      <c r="Q399" s="20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1"/>
      <c r="AU399" s="25" t="str">
        <f t="shared" si="12"/>
        <v>1Q42</v>
      </c>
      <c r="AV399" t="str">
        <f t="shared" si="13"/>
        <v>1Q42</v>
      </c>
      <c r="BA399">
        <f ca="1">IF(COUNTBLANK(C399)=0,COUNTA(INDIRECT(CONCATENATE("Area!",LEFT(ADDRESS(1,MATCH(C399,Area!$1:$1,0),4),1),"2:",LEFT(ADDRESS(1,MATCH(C399,Area!$1:$1,0),4),1),"99"))),0)</f>
        <v>0</v>
      </c>
      <c r="BB399">
        <f ca="1">IF(COUNTBLANK(D399)=0,COUNTA(INDIRECT(CONCATENATE("Setup!",LEFT(ADDRESS(1,MATCH(CONCATENATE(C399,":",D399),Setup!$1:$1,0),4),1),"2:",LEFT(ADDRESS(1,MATCH(CONCATENATE(C399,":",D399),Setup!$1:$1,0),4),1),"99"))),0)</f>
        <v>0</v>
      </c>
      <c r="BC399">
        <f ca="1">IF(COUNTBLANK(E399)=0,COUNTA(INDIRECT(CONCATENATE("Comp!",SUBSTITUTE(ADDRESS(1,MATCH(CONCATENATE(C399,":",D399,":",E399),Comp!$1:$1,0),4),"1",""),"2:",SUBSTITUTE(ADDRESS(1,MATCH(CONCATENATE(C399,":",D399,":",E399),Comp!$1:$1,0),4),"1",""),"99"))),0)</f>
        <v>0</v>
      </c>
    </row>
    <row r="400" spans="1:55">
      <c r="A400" s="20" t="s">
        <v>73</v>
      </c>
      <c r="B400" s="21"/>
      <c r="C400" s="20"/>
      <c r="D400" s="22"/>
      <c r="E400" s="22"/>
      <c r="F400" s="21"/>
      <c r="G400" s="23"/>
      <c r="H400" s="24"/>
      <c r="I400" s="22"/>
      <c r="J400" s="22"/>
      <c r="K400" s="22"/>
      <c r="L400" s="21"/>
      <c r="M400" s="20"/>
      <c r="N400" s="20"/>
      <c r="O400" s="23"/>
      <c r="P400" s="21"/>
      <c r="Q400" s="20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1"/>
      <c r="AU400" s="25" t="str">
        <f t="shared" si="12"/>
        <v>1Q42</v>
      </c>
      <c r="AV400" t="str">
        <f t="shared" si="13"/>
        <v>1Q42</v>
      </c>
      <c r="BA400">
        <f ca="1">IF(COUNTBLANK(C400)=0,COUNTA(INDIRECT(CONCATENATE("Area!",LEFT(ADDRESS(1,MATCH(C400,Area!$1:$1,0),4),1),"2:",LEFT(ADDRESS(1,MATCH(C400,Area!$1:$1,0),4),1),"99"))),0)</f>
        <v>0</v>
      </c>
      <c r="BB400">
        <f ca="1">IF(COUNTBLANK(D400)=0,COUNTA(INDIRECT(CONCATENATE("Setup!",LEFT(ADDRESS(1,MATCH(CONCATENATE(C400,":",D400),Setup!$1:$1,0),4),1),"2:",LEFT(ADDRESS(1,MATCH(CONCATENATE(C400,":",D400),Setup!$1:$1,0),4),1),"99"))),0)</f>
        <v>0</v>
      </c>
      <c r="BC400">
        <f ca="1">IF(COUNTBLANK(E400)=0,COUNTA(INDIRECT(CONCATENATE("Comp!",SUBSTITUTE(ADDRESS(1,MATCH(CONCATENATE(C400,":",D400,":",E400),Comp!$1:$1,0),4),"1",""),"2:",SUBSTITUTE(ADDRESS(1,MATCH(CONCATENATE(C400,":",D400,":",E400),Comp!$1:$1,0),4),"1",""),"99"))),0)</f>
        <v>0</v>
      </c>
    </row>
    <row r="401" spans="1:55">
      <c r="A401" s="20" t="s">
        <v>73</v>
      </c>
      <c r="B401" s="21"/>
      <c r="C401" s="20"/>
      <c r="D401" s="22"/>
      <c r="E401" s="22"/>
      <c r="F401" s="21"/>
      <c r="G401" s="23"/>
      <c r="H401" s="24"/>
      <c r="I401" s="22"/>
      <c r="J401" s="22"/>
      <c r="K401" s="22"/>
      <c r="L401" s="21"/>
      <c r="M401" s="20"/>
      <c r="N401" s="20"/>
      <c r="O401" s="23"/>
      <c r="P401" s="21"/>
      <c r="Q401" s="20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1"/>
      <c r="AU401" s="25" t="str">
        <f t="shared" si="12"/>
        <v>1Q42</v>
      </c>
      <c r="AV401" t="str">
        <f t="shared" si="13"/>
        <v>1Q42</v>
      </c>
      <c r="BA401">
        <f ca="1">IF(COUNTBLANK(C401)=0,COUNTA(INDIRECT(CONCATENATE("Area!",LEFT(ADDRESS(1,MATCH(C401,Area!$1:$1,0),4),1),"2:",LEFT(ADDRESS(1,MATCH(C401,Area!$1:$1,0),4),1),"99"))),0)</f>
        <v>0</v>
      </c>
      <c r="BB401">
        <f ca="1">IF(COUNTBLANK(D401)=0,COUNTA(INDIRECT(CONCATENATE("Setup!",LEFT(ADDRESS(1,MATCH(CONCATENATE(C401,":",D401),Setup!$1:$1,0),4),1),"2:",LEFT(ADDRESS(1,MATCH(CONCATENATE(C401,":",D401),Setup!$1:$1,0),4),1),"99"))),0)</f>
        <v>0</v>
      </c>
      <c r="BC401">
        <f ca="1">IF(COUNTBLANK(E401)=0,COUNTA(INDIRECT(CONCATENATE("Comp!",SUBSTITUTE(ADDRESS(1,MATCH(CONCATENATE(C401,":",D401,":",E401),Comp!$1:$1,0),4),"1",""),"2:",SUBSTITUTE(ADDRESS(1,MATCH(CONCATENATE(C401,":",D401,":",E401),Comp!$1:$1,0),4),"1",""),"99"))),0)</f>
        <v>0</v>
      </c>
    </row>
    <row r="402" spans="1:55">
      <c r="A402" s="20" t="s">
        <v>73</v>
      </c>
      <c r="B402" s="21"/>
      <c r="C402" s="20"/>
      <c r="D402" s="22"/>
      <c r="E402" s="22"/>
      <c r="F402" s="21"/>
      <c r="G402" s="23"/>
      <c r="H402" s="24"/>
      <c r="I402" s="22"/>
      <c r="J402" s="22"/>
      <c r="K402" s="22"/>
      <c r="L402" s="21"/>
      <c r="M402" s="20"/>
      <c r="N402" s="20"/>
      <c r="O402" s="23"/>
      <c r="P402" s="21"/>
      <c r="Q402" s="20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1"/>
      <c r="AU402" s="25" t="str">
        <f t="shared" si="12"/>
        <v>1Q42</v>
      </c>
      <c r="AV402" t="str">
        <f t="shared" si="13"/>
        <v>1Q42</v>
      </c>
      <c r="BA402">
        <f ca="1">IF(COUNTBLANK(C402)=0,COUNTA(INDIRECT(CONCATENATE("Area!",LEFT(ADDRESS(1,MATCH(C402,Area!$1:$1,0),4),1),"2:",LEFT(ADDRESS(1,MATCH(C402,Area!$1:$1,0),4),1),"99"))),0)</f>
        <v>0</v>
      </c>
      <c r="BB402">
        <f ca="1">IF(COUNTBLANK(D402)=0,COUNTA(INDIRECT(CONCATENATE("Setup!",LEFT(ADDRESS(1,MATCH(CONCATENATE(C402,":",D402),Setup!$1:$1,0),4),1),"2:",LEFT(ADDRESS(1,MATCH(CONCATENATE(C402,":",D402),Setup!$1:$1,0),4),1),"99"))),0)</f>
        <v>0</v>
      </c>
      <c r="BC402">
        <f ca="1">IF(COUNTBLANK(E402)=0,COUNTA(INDIRECT(CONCATENATE("Comp!",SUBSTITUTE(ADDRESS(1,MATCH(CONCATENATE(C402,":",D402,":",E402),Comp!$1:$1,0),4),"1",""),"2:",SUBSTITUTE(ADDRESS(1,MATCH(CONCATENATE(C402,":",D402,":",E402),Comp!$1:$1,0),4),"1",""),"99"))),0)</f>
        <v>0</v>
      </c>
    </row>
    <row r="403" spans="1:55">
      <c r="A403" s="20" t="s">
        <v>73</v>
      </c>
      <c r="B403" s="21"/>
      <c r="C403" s="20"/>
      <c r="D403" s="22"/>
      <c r="E403" s="22"/>
      <c r="F403" s="21"/>
      <c r="G403" s="23"/>
      <c r="H403" s="24"/>
      <c r="I403" s="22"/>
      <c r="J403" s="22"/>
      <c r="K403" s="22"/>
      <c r="L403" s="21"/>
      <c r="M403" s="20"/>
      <c r="N403" s="20"/>
      <c r="O403" s="23"/>
      <c r="P403" s="21"/>
      <c r="Q403" s="20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1"/>
      <c r="AU403" s="25" t="str">
        <f t="shared" si="12"/>
        <v>1Q42</v>
      </c>
      <c r="AV403" t="str">
        <f t="shared" si="13"/>
        <v>1Q42</v>
      </c>
      <c r="BA403">
        <f ca="1">IF(COUNTBLANK(C403)=0,COUNTA(INDIRECT(CONCATENATE("Area!",LEFT(ADDRESS(1,MATCH(C403,Area!$1:$1,0),4),1),"2:",LEFT(ADDRESS(1,MATCH(C403,Area!$1:$1,0),4),1),"99"))),0)</f>
        <v>0</v>
      </c>
      <c r="BB403">
        <f ca="1">IF(COUNTBLANK(D403)=0,COUNTA(INDIRECT(CONCATENATE("Setup!",LEFT(ADDRESS(1,MATCH(CONCATENATE(C403,":",D403),Setup!$1:$1,0),4),1),"2:",LEFT(ADDRESS(1,MATCH(CONCATENATE(C403,":",D403),Setup!$1:$1,0),4),1),"99"))),0)</f>
        <v>0</v>
      </c>
      <c r="BC403">
        <f ca="1">IF(COUNTBLANK(E403)=0,COUNTA(INDIRECT(CONCATENATE("Comp!",SUBSTITUTE(ADDRESS(1,MATCH(CONCATENATE(C403,":",D403,":",E403),Comp!$1:$1,0),4),"1",""),"2:",SUBSTITUTE(ADDRESS(1,MATCH(CONCATENATE(C403,":",D403,":",E403),Comp!$1:$1,0),4),"1",""),"99"))),0)</f>
        <v>0</v>
      </c>
    </row>
    <row r="404" spans="1:55">
      <c r="A404" s="20" t="s">
        <v>73</v>
      </c>
      <c r="B404" s="21"/>
      <c r="C404" s="20"/>
      <c r="D404" s="22"/>
      <c r="E404" s="22"/>
      <c r="F404" s="21"/>
      <c r="G404" s="23"/>
      <c r="H404" s="24"/>
      <c r="I404" s="22"/>
      <c r="J404" s="22"/>
      <c r="K404" s="22"/>
      <c r="L404" s="21"/>
      <c r="M404" s="20"/>
      <c r="N404" s="20"/>
      <c r="O404" s="23"/>
      <c r="P404" s="21"/>
      <c r="Q404" s="20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1"/>
      <c r="AU404" s="25" t="str">
        <f t="shared" si="12"/>
        <v>1Q42</v>
      </c>
      <c r="AV404" t="str">
        <f t="shared" si="13"/>
        <v>1Q42</v>
      </c>
      <c r="BA404">
        <f ca="1">IF(COUNTBLANK(C404)=0,COUNTA(INDIRECT(CONCATENATE("Area!",LEFT(ADDRESS(1,MATCH(C404,Area!$1:$1,0),4),1),"2:",LEFT(ADDRESS(1,MATCH(C404,Area!$1:$1,0),4),1),"99"))),0)</f>
        <v>0</v>
      </c>
      <c r="BB404">
        <f ca="1">IF(COUNTBLANK(D404)=0,COUNTA(INDIRECT(CONCATENATE("Setup!",LEFT(ADDRESS(1,MATCH(CONCATENATE(C404,":",D404),Setup!$1:$1,0),4),1),"2:",LEFT(ADDRESS(1,MATCH(CONCATENATE(C404,":",D404),Setup!$1:$1,0),4),1),"99"))),0)</f>
        <v>0</v>
      </c>
      <c r="BC404">
        <f ca="1">IF(COUNTBLANK(E404)=0,COUNTA(INDIRECT(CONCATENATE("Comp!",SUBSTITUTE(ADDRESS(1,MATCH(CONCATENATE(C404,":",D404,":",E404),Comp!$1:$1,0),4),"1",""),"2:",SUBSTITUTE(ADDRESS(1,MATCH(CONCATENATE(C404,":",D404,":",E404),Comp!$1:$1,0),4),"1",""),"99"))),0)</f>
        <v>0</v>
      </c>
    </row>
    <row r="405" spans="1:55">
      <c r="A405" s="20" t="s">
        <v>73</v>
      </c>
      <c r="B405" s="21"/>
      <c r="C405" s="20"/>
      <c r="D405" s="22"/>
      <c r="E405" s="22"/>
      <c r="F405" s="21"/>
      <c r="G405" s="23"/>
      <c r="H405" s="24"/>
      <c r="I405" s="22"/>
      <c r="J405" s="22"/>
      <c r="K405" s="22"/>
      <c r="L405" s="21"/>
      <c r="M405" s="20"/>
      <c r="N405" s="20"/>
      <c r="O405" s="23"/>
      <c r="P405" s="21"/>
      <c r="Q405" s="20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1"/>
      <c r="AU405" s="25" t="str">
        <f t="shared" si="12"/>
        <v>1Q42</v>
      </c>
      <c r="AV405" t="str">
        <f t="shared" si="13"/>
        <v>1Q42</v>
      </c>
      <c r="BA405">
        <f ca="1">IF(COUNTBLANK(C405)=0,COUNTA(INDIRECT(CONCATENATE("Area!",LEFT(ADDRESS(1,MATCH(C405,Area!$1:$1,0),4),1),"2:",LEFT(ADDRESS(1,MATCH(C405,Area!$1:$1,0),4),1),"99"))),0)</f>
        <v>0</v>
      </c>
      <c r="BB405">
        <f ca="1">IF(COUNTBLANK(D405)=0,COUNTA(INDIRECT(CONCATENATE("Setup!",LEFT(ADDRESS(1,MATCH(CONCATENATE(C405,":",D405),Setup!$1:$1,0),4),1),"2:",LEFT(ADDRESS(1,MATCH(CONCATENATE(C405,":",D405),Setup!$1:$1,0),4),1),"99"))),0)</f>
        <v>0</v>
      </c>
      <c r="BC405">
        <f ca="1">IF(COUNTBLANK(E405)=0,COUNTA(INDIRECT(CONCATENATE("Comp!",SUBSTITUTE(ADDRESS(1,MATCH(CONCATENATE(C405,":",D405,":",E405),Comp!$1:$1,0),4),"1",""),"2:",SUBSTITUTE(ADDRESS(1,MATCH(CONCATENATE(C405,":",D405,":",E405),Comp!$1:$1,0),4),"1",""),"99"))),0)</f>
        <v>0</v>
      </c>
    </row>
    <row r="406" spans="1:55">
      <c r="A406" s="20" t="s">
        <v>73</v>
      </c>
      <c r="B406" s="21"/>
      <c r="C406" s="20"/>
      <c r="D406" s="22"/>
      <c r="E406" s="22"/>
      <c r="F406" s="21"/>
      <c r="G406" s="23"/>
      <c r="H406" s="24"/>
      <c r="I406" s="22"/>
      <c r="J406" s="22"/>
      <c r="K406" s="22"/>
      <c r="L406" s="21"/>
      <c r="M406" s="20"/>
      <c r="N406" s="20"/>
      <c r="O406" s="23"/>
      <c r="P406" s="21"/>
      <c r="Q406" s="20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1"/>
      <c r="AU406" s="25" t="str">
        <f t="shared" si="12"/>
        <v>1Q42</v>
      </c>
      <c r="AV406" t="str">
        <f t="shared" si="13"/>
        <v>1Q42</v>
      </c>
      <c r="BA406">
        <f ca="1">IF(COUNTBLANK(C406)=0,COUNTA(INDIRECT(CONCATENATE("Area!",LEFT(ADDRESS(1,MATCH(C406,Area!$1:$1,0),4),1),"2:",LEFT(ADDRESS(1,MATCH(C406,Area!$1:$1,0),4),1),"99"))),0)</f>
        <v>0</v>
      </c>
      <c r="BB406">
        <f ca="1">IF(COUNTBLANK(D406)=0,COUNTA(INDIRECT(CONCATENATE("Setup!",LEFT(ADDRESS(1,MATCH(CONCATENATE(C406,":",D406),Setup!$1:$1,0),4),1),"2:",LEFT(ADDRESS(1,MATCH(CONCATENATE(C406,":",D406),Setup!$1:$1,0),4),1),"99"))),0)</f>
        <v>0</v>
      </c>
      <c r="BC406">
        <f ca="1">IF(COUNTBLANK(E406)=0,COUNTA(INDIRECT(CONCATENATE("Comp!",SUBSTITUTE(ADDRESS(1,MATCH(CONCATENATE(C406,":",D406,":",E406),Comp!$1:$1,0),4),"1",""),"2:",SUBSTITUTE(ADDRESS(1,MATCH(CONCATENATE(C406,":",D406,":",E406),Comp!$1:$1,0),4),"1",""),"99"))),0)</f>
        <v>0</v>
      </c>
    </row>
    <row r="407" spans="1:55">
      <c r="A407" s="20" t="s">
        <v>73</v>
      </c>
      <c r="B407" s="21"/>
      <c r="C407" s="20"/>
      <c r="D407" s="22"/>
      <c r="E407" s="22"/>
      <c r="F407" s="21"/>
      <c r="G407" s="23"/>
      <c r="H407" s="24"/>
      <c r="I407" s="22"/>
      <c r="J407" s="22"/>
      <c r="K407" s="22"/>
      <c r="L407" s="21"/>
      <c r="M407" s="20"/>
      <c r="N407" s="20"/>
      <c r="O407" s="23"/>
      <c r="P407" s="21"/>
      <c r="Q407" s="20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1"/>
      <c r="AU407" s="25" t="str">
        <f t="shared" si="12"/>
        <v>1Q42</v>
      </c>
      <c r="AV407" t="str">
        <f t="shared" si="13"/>
        <v>1Q42</v>
      </c>
      <c r="BA407">
        <f ca="1">IF(COUNTBLANK(C407)=0,COUNTA(INDIRECT(CONCATENATE("Area!",LEFT(ADDRESS(1,MATCH(C407,Area!$1:$1,0),4),1),"2:",LEFT(ADDRESS(1,MATCH(C407,Area!$1:$1,0),4),1),"99"))),0)</f>
        <v>0</v>
      </c>
      <c r="BB407">
        <f ca="1">IF(COUNTBLANK(D407)=0,COUNTA(INDIRECT(CONCATENATE("Setup!",LEFT(ADDRESS(1,MATCH(CONCATENATE(C407,":",D407),Setup!$1:$1,0),4),1),"2:",LEFT(ADDRESS(1,MATCH(CONCATENATE(C407,":",D407),Setup!$1:$1,0),4),1),"99"))),0)</f>
        <v>0</v>
      </c>
      <c r="BC407">
        <f ca="1">IF(COUNTBLANK(E407)=0,COUNTA(INDIRECT(CONCATENATE("Comp!",SUBSTITUTE(ADDRESS(1,MATCH(CONCATENATE(C407,":",D407,":",E407),Comp!$1:$1,0),4),"1",""),"2:",SUBSTITUTE(ADDRESS(1,MATCH(CONCATENATE(C407,":",D407,":",E407),Comp!$1:$1,0),4),"1",""),"99"))),0)</f>
        <v>0</v>
      </c>
    </row>
    <row r="408" spans="1:55">
      <c r="A408" s="20" t="s">
        <v>73</v>
      </c>
      <c r="B408" s="21"/>
      <c r="C408" s="20"/>
      <c r="D408" s="22"/>
      <c r="E408" s="22"/>
      <c r="F408" s="21"/>
      <c r="G408" s="23"/>
      <c r="H408" s="24"/>
      <c r="I408" s="22"/>
      <c r="J408" s="22"/>
      <c r="K408" s="22"/>
      <c r="L408" s="21"/>
      <c r="M408" s="20"/>
      <c r="N408" s="20"/>
      <c r="O408" s="23"/>
      <c r="P408" s="21"/>
      <c r="Q408" s="20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1"/>
      <c r="AU408" s="25" t="str">
        <f t="shared" si="12"/>
        <v>1Q42</v>
      </c>
      <c r="AV408" t="str">
        <f t="shared" si="13"/>
        <v>1Q42</v>
      </c>
      <c r="BA408">
        <f ca="1">IF(COUNTBLANK(C408)=0,COUNTA(INDIRECT(CONCATENATE("Area!",LEFT(ADDRESS(1,MATCH(C408,Area!$1:$1,0),4),1),"2:",LEFT(ADDRESS(1,MATCH(C408,Area!$1:$1,0),4),1),"99"))),0)</f>
        <v>0</v>
      </c>
      <c r="BB408">
        <f ca="1">IF(COUNTBLANK(D408)=0,COUNTA(INDIRECT(CONCATENATE("Setup!",LEFT(ADDRESS(1,MATCH(CONCATENATE(C408,":",D408),Setup!$1:$1,0),4),1),"2:",LEFT(ADDRESS(1,MATCH(CONCATENATE(C408,":",D408),Setup!$1:$1,0),4),1),"99"))),0)</f>
        <v>0</v>
      </c>
      <c r="BC408">
        <f ca="1">IF(COUNTBLANK(E408)=0,COUNTA(INDIRECT(CONCATENATE("Comp!",SUBSTITUTE(ADDRESS(1,MATCH(CONCATENATE(C408,":",D408,":",E408),Comp!$1:$1,0),4),"1",""),"2:",SUBSTITUTE(ADDRESS(1,MATCH(CONCATENATE(C408,":",D408,":",E408),Comp!$1:$1,0),4),"1",""),"99"))),0)</f>
        <v>0</v>
      </c>
    </row>
    <row r="409" spans="1:55">
      <c r="A409" s="20" t="s">
        <v>73</v>
      </c>
      <c r="B409" s="21"/>
      <c r="C409" s="20"/>
      <c r="D409" s="22"/>
      <c r="E409" s="22"/>
      <c r="F409" s="21"/>
      <c r="G409" s="23"/>
      <c r="H409" s="24"/>
      <c r="I409" s="22"/>
      <c r="J409" s="22"/>
      <c r="K409" s="22"/>
      <c r="L409" s="21"/>
      <c r="M409" s="20"/>
      <c r="N409" s="20"/>
      <c r="O409" s="23"/>
      <c r="P409" s="21"/>
      <c r="Q409" s="20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1"/>
      <c r="AU409" s="25" t="str">
        <f t="shared" si="12"/>
        <v>1Q42</v>
      </c>
      <c r="AV409" t="str">
        <f t="shared" si="13"/>
        <v>1Q42</v>
      </c>
      <c r="BA409">
        <f ca="1">IF(COUNTBLANK(C409)=0,COUNTA(INDIRECT(CONCATENATE("Area!",LEFT(ADDRESS(1,MATCH(C409,Area!$1:$1,0),4),1),"2:",LEFT(ADDRESS(1,MATCH(C409,Area!$1:$1,0),4),1),"99"))),0)</f>
        <v>0</v>
      </c>
      <c r="BB409">
        <f ca="1">IF(COUNTBLANK(D409)=0,COUNTA(INDIRECT(CONCATENATE("Setup!",LEFT(ADDRESS(1,MATCH(CONCATENATE(C409,":",D409),Setup!$1:$1,0),4),1),"2:",LEFT(ADDRESS(1,MATCH(CONCATENATE(C409,":",D409),Setup!$1:$1,0),4),1),"99"))),0)</f>
        <v>0</v>
      </c>
      <c r="BC409">
        <f ca="1">IF(COUNTBLANK(E409)=0,COUNTA(INDIRECT(CONCATENATE("Comp!",SUBSTITUTE(ADDRESS(1,MATCH(CONCATENATE(C409,":",D409,":",E409),Comp!$1:$1,0),4),"1",""),"2:",SUBSTITUTE(ADDRESS(1,MATCH(CONCATENATE(C409,":",D409,":",E409),Comp!$1:$1,0),4),"1",""),"99"))),0)</f>
        <v>0</v>
      </c>
    </row>
    <row r="410" spans="1:55">
      <c r="A410" s="20" t="s">
        <v>73</v>
      </c>
      <c r="B410" s="21"/>
      <c r="C410" s="20"/>
      <c r="D410" s="22"/>
      <c r="E410" s="22"/>
      <c r="F410" s="21"/>
      <c r="G410" s="23"/>
      <c r="H410" s="24"/>
      <c r="I410" s="22"/>
      <c r="J410" s="22"/>
      <c r="K410" s="22"/>
      <c r="L410" s="21"/>
      <c r="M410" s="20"/>
      <c r="N410" s="20"/>
      <c r="O410" s="23"/>
      <c r="P410" s="21"/>
      <c r="Q410" s="20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1"/>
      <c r="AU410" s="25" t="str">
        <f t="shared" si="12"/>
        <v>1Q42</v>
      </c>
      <c r="AV410" t="str">
        <f t="shared" si="13"/>
        <v>1Q42</v>
      </c>
      <c r="BA410">
        <f ca="1">IF(COUNTBLANK(C410)=0,COUNTA(INDIRECT(CONCATENATE("Area!",LEFT(ADDRESS(1,MATCH(C410,Area!$1:$1,0),4),1),"2:",LEFT(ADDRESS(1,MATCH(C410,Area!$1:$1,0),4),1),"99"))),0)</f>
        <v>0</v>
      </c>
      <c r="BB410">
        <f ca="1">IF(COUNTBLANK(D410)=0,COUNTA(INDIRECT(CONCATENATE("Setup!",LEFT(ADDRESS(1,MATCH(CONCATENATE(C410,":",D410),Setup!$1:$1,0),4),1),"2:",LEFT(ADDRESS(1,MATCH(CONCATENATE(C410,":",D410),Setup!$1:$1,0),4),1),"99"))),0)</f>
        <v>0</v>
      </c>
      <c r="BC410">
        <f ca="1">IF(COUNTBLANK(E410)=0,COUNTA(INDIRECT(CONCATENATE("Comp!",SUBSTITUTE(ADDRESS(1,MATCH(CONCATENATE(C410,":",D410,":",E410),Comp!$1:$1,0),4),"1",""),"2:",SUBSTITUTE(ADDRESS(1,MATCH(CONCATENATE(C410,":",D410,":",E410),Comp!$1:$1,0),4),"1",""),"99"))),0)</f>
        <v>0</v>
      </c>
    </row>
    <row r="411" spans="1:55">
      <c r="A411" s="20" t="s">
        <v>73</v>
      </c>
      <c r="B411" s="21"/>
      <c r="C411" s="20"/>
      <c r="D411" s="22"/>
      <c r="E411" s="22"/>
      <c r="F411" s="21"/>
      <c r="G411" s="23"/>
      <c r="H411" s="24"/>
      <c r="I411" s="22"/>
      <c r="J411" s="22"/>
      <c r="K411" s="22"/>
      <c r="L411" s="21"/>
      <c r="M411" s="20"/>
      <c r="N411" s="20"/>
      <c r="O411" s="23"/>
      <c r="P411" s="21"/>
      <c r="Q411" s="20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1"/>
      <c r="AU411" s="25" t="str">
        <f t="shared" si="12"/>
        <v>1Q42</v>
      </c>
      <c r="AV411" t="str">
        <f t="shared" si="13"/>
        <v>1Q42</v>
      </c>
      <c r="BA411">
        <f ca="1">IF(COUNTBLANK(C411)=0,COUNTA(INDIRECT(CONCATENATE("Area!",LEFT(ADDRESS(1,MATCH(C411,Area!$1:$1,0),4),1),"2:",LEFT(ADDRESS(1,MATCH(C411,Area!$1:$1,0),4),1),"99"))),0)</f>
        <v>0</v>
      </c>
      <c r="BB411">
        <f ca="1">IF(COUNTBLANK(D411)=0,COUNTA(INDIRECT(CONCATENATE("Setup!",LEFT(ADDRESS(1,MATCH(CONCATENATE(C411,":",D411),Setup!$1:$1,0),4),1),"2:",LEFT(ADDRESS(1,MATCH(CONCATENATE(C411,":",D411),Setup!$1:$1,0),4),1),"99"))),0)</f>
        <v>0</v>
      </c>
      <c r="BC411">
        <f ca="1">IF(COUNTBLANK(E411)=0,COUNTA(INDIRECT(CONCATENATE("Comp!",SUBSTITUTE(ADDRESS(1,MATCH(CONCATENATE(C411,":",D411,":",E411),Comp!$1:$1,0),4),"1",""),"2:",SUBSTITUTE(ADDRESS(1,MATCH(CONCATENATE(C411,":",D411,":",E411),Comp!$1:$1,0),4),"1",""),"99"))),0)</f>
        <v>0</v>
      </c>
    </row>
    <row r="412" spans="1:55">
      <c r="A412" s="20" t="s">
        <v>73</v>
      </c>
      <c r="B412" s="21"/>
      <c r="C412" s="20"/>
      <c r="D412" s="22"/>
      <c r="E412" s="22"/>
      <c r="F412" s="21"/>
      <c r="G412" s="23"/>
      <c r="H412" s="24"/>
      <c r="I412" s="22"/>
      <c r="J412" s="22"/>
      <c r="K412" s="22"/>
      <c r="L412" s="21"/>
      <c r="M412" s="20"/>
      <c r="N412" s="20"/>
      <c r="O412" s="23"/>
      <c r="P412" s="21"/>
      <c r="Q412" s="20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1"/>
      <c r="AU412" s="25" t="str">
        <f t="shared" si="12"/>
        <v>1Q42</v>
      </c>
      <c r="AV412" t="str">
        <f t="shared" si="13"/>
        <v>1Q42</v>
      </c>
      <c r="BA412">
        <f ca="1">IF(COUNTBLANK(C412)=0,COUNTA(INDIRECT(CONCATENATE("Area!",LEFT(ADDRESS(1,MATCH(C412,Area!$1:$1,0),4),1),"2:",LEFT(ADDRESS(1,MATCH(C412,Area!$1:$1,0),4),1),"99"))),0)</f>
        <v>0</v>
      </c>
      <c r="BB412">
        <f ca="1">IF(COUNTBLANK(D412)=0,COUNTA(INDIRECT(CONCATENATE("Setup!",LEFT(ADDRESS(1,MATCH(CONCATENATE(C412,":",D412),Setup!$1:$1,0),4),1),"2:",LEFT(ADDRESS(1,MATCH(CONCATENATE(C412,":",D412),Setup!$1:$1,0),4),1),"99"))),0)</f>
        <v>0</v>
      </c>
      <c r="BC412">
        <f ca="1">IF(COUNTBLANK(E412)=0,COUNTA(INDIRECT(CONCATENATE("Comp!",SUBSTITUTE(ADDRESS(1,MATCH(CONCATENATE(C412,":",D412,":",E412),Comp!$1:$1,0),4),"1",""),"2:",SUBSTITUTE(ADDRESS(1,MATCH(CONCATENATE(C412,":",D412,":",E412),Comp!$1:$1,0),4),"1",""),"99"))),0)</f>
        <v>0</v>
      </c>
    </row>
    <row r="413" spans="1:55">
      <c r="A413" s="20" t="s">
        <v>73</v>
      </c>
      <c r="B413" s="21"/>
      <c r="C413" s="20"/>
      <c r="D413" s="22"/>
      <c r="E413" s="22"/>
      <c r="F413" s="21"/>
      <c r="G413" s="23"/>
      <c r="H413" s="24"/>
      <c r="I413" s="22"/>
      <c r="J413" s="22"/>
      <c r="K413" s="22"/>
      <c r="L413" s="21"/>
      <c r="M413" s="20"/>
      <c r="N413" s="20"/>
      <c r="O413" s="23"/>
      <c r="P413" s="21"/>
      <c r="Q413" s="20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1"/>
      <c r="AU413" s="25" t="str">
        <f t="shared" si="12"/>
        <v>1Q42</v>
      </c>
      <c r="AV413" t="str">
        <f t="shared" si="13"/>
        <v>1Q42</v>
      </c>
      <c r="BA413">
        <f ca="1">IF(COUNTBLANK(C413)=0,COUNTA(INDIRECT(CONCATENATE("Area!",LEFT(ADDRESS(1,MATCH(C413,Area!$1:$1,0),4),1),"2:",LEFT(ADDRESS(1,MATCH(C413,Area!$1:$1,0),4),1),"99"))),0)</f>
        <v>0</v>
      </c>
      <c r="BB413">
        <f ca="1">IF(COUNTBLANK(D413)=0,COUNTA(INDIRECT(CONCATENATE("Setup!",LEFT(ADDRESS(1,MATCH(CONCATENATE(C413,":",D413),Setup!$1:$1,0),4),1),"2:",LEFT(ADDRESS(1,MATCH(CONCATENATE(C413,":",D413),Setup!$1:$1,0),4),1),"99"))),0)</f>
        <v>0</v>
      </c>
      <c r="BC413">
        <f ca="1">IF(COUNTBLANK(E413)=0,COUNTA(INDIRECT(CONCATENATE("Comp!",SUBSTITUTE(ADDRESS(1,MATCH(CONCATENATE(C413,":",D413,":",E413),Comp!$1:$1,0),4),"1",""),"2:",SUBSTITUTE(ADDRESS(1,MATCH(CONCATENATE(C413,":",D413,":",E413),Comp!$1:$1,0),4),"1",""),"99"))),0)</f>
        <v>0</v>
      </c>
    </row>
    <row r="414" spans="1:55">
      <c r="A414" s="20" t="s">
        <v>73</v>
      </c>
      <c r="B414" s="21"/>
      <c r="C414" s="20"/>
      <c r="D414" s="22"/>
      <c r="E414" s="22"/>
      <c r="F414" s="21"/>
      <c r="G414" s="23"/>
      <c r="H414" s="24"/>
      <c r="I414" s="22"/>
      <c r="J414" s="22"/>
      <c r="K414" s="22"/>
      <c r="L414" s="21"/>
      <c r="M414" s="20"/>
      <c r="N414" s="20"/>
      <c r="O414" s="23"/>
      <c r="P414" s="21"/>
      <c r="Q414" s="20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1"/>
      <c r="AU414" s="25" t="str">
        <f t="shared" si="12"/>
        <v>1Q42</v>
      </c>
      <c r="AV414" t="str">
        <f t="shared" si="13"/>
        <v>1Q42</v>
      </c>
      <c r="BA414">
        <f ca="1">IF(COUNTBLANK(C414)=0,COUNTA(INDIRECT(CONCATENATE("Area!",LEFT(ADDRESS(1,MATCH(C414,Area!$1:$1,0),4),1),"2:",LEFT(ADDRESS(1,MATCH(C414,Area!$1:$1,0),4),1),"99"))),0)</f>
        <v>0</v>
      </c>
      <c r="BB414">
        <f ca="1">IF(COUNTBLANK(D414)=0,COUNTA(INDIRECT(CONCATENATE("Setup!",LEFT(ADDRESS(1,MATCH(CONCATENATE(C414,":",D414),Setup!$1:$1,0),4),1),"2:",LEFT(ADDRESS(1,MATCH(CONCATENATE(C414,":",D414),Setup!$1:$1,0),4),1),"99"))),0)</f>
        <v>0</v>
      </c>
      <c r="BC414">
        <f ca="1">IF(COUNTBLANK(E414)=0,COUNTA(INDIRECT(CONCATENATE("Comp!",SUBSTITUTE(ADDRESS(1,MATCH(CONCATENATE(C414,":",D414,":",E414),Comp!$1:$1,0),4),"1",""),"2:",SUBSTITUTE(ADDRESS(1,MATCH(CONCATENATE(C414,":",D414,":",E414),Comp!$1:$1,0),4),"1",""),"99"))),0)</f>
        <v>0</v>
      </c>
    </row>
    <row r="415" spans="1:55">
      <c r="A415" s="20" t="s">
        <v>73</v>
      </c>
      <c r="B415" s="21"/>
      <c r="C415" s="20"/>
      <c r="D415" s="22"/>
      <c r="E415" s="22"/>
      <c r="F415" s="21"/>
      <c r="G415" s="23"/>
      <c r="H415" s="24"/>
      <c r="I415" s="22"/>
      <c r="J415" s="22"/>
      <c r="K415" s="22"/>
      <c r="L415" s="21"/>
      <c r="M415" s="20"/>
      <c r="N415" s="20"/>
      <c r="O415" s="23"/>
      <c r="P415" s="21"/>
      <c r="Q415" s="20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1"/>
      <c r="AU415" s="25" t="str">
        <f t="shared" si="12"/>
        <v>1Q42</v>
      </c>
      <c r="AV415" t="str">
        <f t="shared" si="13"/>
        <v>1Q42</v>
      </c>
      <c r="BA415">
        <f ca="1">IF(COUNTBLANK(C415)=0,COUNTA(INDIRECT(CONCATENATE("Area!",LEFT(ADDRESS(1,MATCH(C415,Area!$1:$1,0),4),1),"2:",LEFT(ADDRESS(1,MATCH(C415,Area!$1:$1,0),4),1),"99"))),0)</f>
        <v>0</v>
      </c>
      <c r="BB415">
        <f ca="1">IF(COUNTBLANK(D415)=0,COUNTA(INDIRECT(CONCATENATE("Setup!",LEFT(ADDRESS(1,MATCH(CONCATENATE(C415,":",D415),Setup!$1:$1,0),4),1),"2:",LEFT(ADDRESS(1,MATCH(CONCATENATE(C415,":",D415),Setup!$1:$1,0),4),1),"99"))),0)</f>
        <v>0</v>
      </c>
      <c r="BC415">
        <f ca="1">IF(COUNTBLANK(E415)=0,COUNTA(INDIRECT(CONCATENATE("Comp!",SUBSTITUTE(ADDRESS(1,MATCH(CONCATENATE(C415,":",D415,":",E415),Comp!$1:$1,0),4),"1",""),"2:",SUBSTITUTE(ADDRESS(1,MATCH(CONCATENATE(C415,":",D415,":",E415),Comp!$1:$1,0),4),"1",""),"99"))),0)</f>
        <v>0</v>
      </c>
    </row>
    <row r="416" spans="1:55">
      <c r="A416" s="20" t="s">
        <v>73</v>
      </c>
      <c r="B416" s="21"/>
      <c r="C416" s="20"/>
      <c r="D416" s="22"/>
      <c r="E416" s="22"/>
      <c r="F416" s="21"/>
      <c r="G416" s="23"/>
      <c r="H416" s="24"/>
      <c r="I416" s="22"/>
      <c r="J416" s="22"/>
      <c r="K416" s="22"/>
      <c r="L416" s="21"/>
      <c r="M416" s="20"/>
      <c r="N416" s="20"/>
      <c r="O416" s="23"/>
      <c r="P416" s="21"/>
      <c r="Q416" s="20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1"/>
      <c r="AU416" s="25" t="str">
        <f t="shared" si="12"/>
        <v>1Q42</v>
      </c>
      <c r="AV416" t="str">
        <f t="shared" si="13"/>
        <v>1Q42</v>
      </c>
      <c r="BA416">
        <f ca="1">IF(COUNTBLANK(C416)=0,COUNTA(INDIRECT(CONCATENATE("Area!",LEFT(ADDRESS(1,MATCH(C416,Area!$1:$1,0),4),1),"2:",LEFT(ADDRESS(1,MATCH(C416,Area!$1:$1,0),4),1),"99"))),0)</f>
        <v>0</v>
      </c>
      <c r="BB416">
        <f ca="1">IF(COUNTBLANK(D416)=0,COUNTA(INDIRECT(CONCATENATE("Setup!",LEFT(ADDRESS(1,MATCH(CONCATENATE(C416,":",D416),Setup!$1:$1,0),4),1),"2:",LEFT(ADDRESS(1,MATCH(CONCATENATE(C416,":",D416),Setup!$1:$1,0),4),1),"99"))),0)</f>
        <v>0</v>
      </c>
      <c r="BC416">
        <f ca="1">IF(COUNTBLANK(E416)=0,COUNTA(INDIRECT(CONCATENATE("Comp!",SUBSTITUTE(ADDRESS(1,MATCH(CONCATENATE(C416,":",D416,":",E416),Comp!$1:$1,0),4),"1",""),"2:",SUBSTITUTE(ADDRESS(1,MATCH(CONCATENATE(C416,":",D416,":",E416),Comp!$1:$1,0),4),"1",""),"99"))),0)</f>
        <v>0</v>
      </c>
    </row>
    <row r="417" spans="1:55">
      <c r="A417" s="20" t="s">
        <v>73</v>
      </c>
      <c r="B417" s="21"/>
      <c r="C417" s="20"/>
      <c r="D417" s="22"/>
      <c r="E417" s="22"/>
      <c r="F417" s="21"/>
      <c r="G417" s="23"/>
      <c r="H417" s="24"/>
      <c r="I417" s="22"/>
      <c r="J417" s="22"/>
      <c r="K417" s="22"/>
      <c r="L417" s="21"/>
      <c r="M417" s="20"/>
      <c r="N417" s="20"/>
      <c r="O417" s="23"/>
      <c r="P417" s="21"/>
      <c r="Q417" s="20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1"/>
      <c r="AU417" s="25" t="str">
        <f t="shared" si="12"/>
        <v>1Q42</v>
      </c>
      <c r="AV417" t="str">
        <f t="shared" si="13"/>
        <v>1Q42</v>
      </c>
      <c r="BA417">
        <f ca="1">IF(COUNTBLANK(C417)=0,COUNTA(INDIRECT(CONCATENATE("Area!",LEFT(ADDRESS(1,MATCH(C417,Area!$1:$1,0),4),1),"2:",LEFT(ADDRESS(1,MATCH(C417,Area!$1:$1,0),4),1),"99"))),0)</f>
        <v>0</v>
      </c>
      <c r="BB417">
        <f ca="1">IF(COUNTBLANK(D417)=0,COUNTA(INDIRECT(CONCATENATE("Setup!",LEFT(ADDRESS(1,MATCH(CONCATENATE(C417,":",D417),Setup!$1:$1,0),4),1),"2:",LEFT(ADDRESS(1,MATCH(CONCATENATE(C417,":",D417),Setup!$1:$1,0),4),1),"99"))),0)</f>
        <v>0</v>
      </c>
      <c r="BC417">
        <f ca="1">IF(COUNTBLANK(E417)=0,COUNTA(INDIRECT(CONCATENATE("Comp!",SUBSTITUTE(ADDRESS(1,MATCH(CONCATENATE(C417,":",D417,":",E417),Comp!$1:$1,0),4),"1",""),"2:",SUBSTITUTE(ADDRESS(1,MATCH(CONCATENATE(C417,":",D417,":",E417),Comp!$1:$1,0),4),"1",""),"99"))),0)</f>
        <v>0</v>
      </c>
    </row>
    <row r="418" spans="1:55">
      <c r="A418" s="20" t="s">
        <v>73</v>
      </c>
      <c r="B418" s="21"/>
      <c r="C418" s="20"/>
      <c r="D418" s="22"/>
      <c r="E418" s="22"/>
      <c r="F418" s="21"/>
      <c r="G418" s="23"/>
      <c r="H418" s="24"/>
      <c r="I418" s="22"/>
      <c r="J418" s="22"/>
      <c r="K418" s="22"/>
      <c r="L418" s="21"/>
      <c r="M418" s="20"/>
      <c r="N418" s="20"/>
      <c r="O418" s="23"/>
      <c r="P418" s="21"/>
      <c r="Q418" s="20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1"/>
      <c r="AU418" s="25" t="str">
        <f t="shared" si="12"/>
        <v>1Q42</v>
      </c>
      <c r="AV418" t="str">
        <f t="shared" si="13"/>
        <v>1Q42</v>
      </c>
      <c r="BA418">
        <f ca="1">IF(COUNTBLANK(C418)=0,COUNTA(INDIRECT(CONCATENATE("Area!",LEFT(ADDRESS(1,MATCH(C418,Area!$1:$1,0),4),1),"2:",LEFT(ADDRESS(1,MATCH(C418,Area!$1:$1,0),4),1),"99"))),0)</f>
        <v>0</v>
      </c>
      <c r="BB418">
        <f ca="1">IF(COUNTBLANK(D418)=0,COUNTA(INDIRECT(CONCATENATE("Setup!",LEFT(ADDRESS(1,MATCH(CONCATENATE(C418,":",D418),Setup!$1:$1,0),4),1),"2:",LEFT(ADDRESS(1,MATCH(CONCATENATE(C418,":",D418),Setup!$1:$1,0),4),1),"99"))),0)</f>
        <v>0</v>
      </c>
      <c r="BC418">
        <f ca="1">IF(COUNTBLANK(E418)=0,COUNTA(INDIRECT(CONCATENATE("Comp!",SUBSTITUTE(ADDRESS(1,MATCH(CONCATENATE(C418,":",D418,":",E418),Comp!$1:$1,0),4),"1",""),"2:",SUBSTITUTE(ADDRESS(1,MATCH(CONCATENATE(C418,":",D418,":",E418),Comp!$1:$1,0),4),"1",""),"99"))),0)</f>
        <v>0</v>
      </c>
    </row>
    <row r="419" spans="1:55">
      <c r="A419" s="20" t="s">
        <v>73</v>
      </c>
      <c r="B419" s="21"/>
      <c r="C419" s="20"/>
      <c r="D419" s="22"/>
      <c r="E419" s="22"/>
      <c r="F419" s="21"/>
      <c r="G419" s="23"/>
      <c r="H419" s="24"/>
      <c r="I419" s="22"/>
      <c r="J419" s="22"/>
      <c r="K419" s="22"/>
      <c r="L419" s="21"/>
      <c r="M419" s="20"/>
      <c r="N419" s="20"/>
      <c r="O419" s="23"/>
      <c r="P419" s="21"/>
      <c r="Q419" s="20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1"/>
      <c r="AU419" s="25" t="str">
        <f t="shared" si="12"/>
        <v>1Q42</v>
      </c>
      <c r="AV419" t="str">
        <f t="shared" si="13"/>
        <v>1Q42</v>
      </c>
      <c r="BA419">
        <f ca="1">IF(COUNTBLANK(C419)=0,COUNTA(INDIRECT(CONCATENATE("Area!",LEFT(ADDRESS(1,MATCH(C419,Area!$1:$1,0),4),1),"2:",LEFT(ADDRESS(1,MATCH(C419,Area!$1:$1,0),4),1),"99"))),0)</f>
        <v>0</v>
      </c>
      <c r="BB419">
        <f ca="1">IF(COUNTBLANK(D419)=0,COUNTA(INDIRECT(CONCATENATE("Setup!",LEFT(ADDRESS(1,MATCH(CONCATENATE(C419,":",D419),Setup!$1:$1,0),4),1),"2:",LEFT(ADDRESS(1,MATCH(CONCATENATE(C419,":",D419),Setup!$1:$1,0),4),1),"99"))),0)</f>
        <v>0</v>
      </c>
      <c r="BC419">
        <f ca="1">IF(COUNTBLANK(E419)=0,COUNTA(INDIRECT(CONCATENATE("Comp!",SUBSTITUTE(ADDRESS(1,MATCH(CONCATENATE(C419,":",D419,":",E419),Comp!$1:$1,0),4),"1",""),"2:",SUBSTITUTE(ADDRESS(1,MATCH(CONCATENATE(C419,":",D419,":",E419),Comp!$1:$1,0),4),"1",""),"99"))),0)</f>
        <v>0</v>
      </c>
    </row>
    <row r="420" spans="1:55">
      <c r="A420" s="20" t="s">
        <v>73</v>
      </c>
      <c r="B420" s="21"/>
      <c r="C420" s="20"/>
      <c r="D420" s="22"/>
      <c r="E420" s="22"/>
      <c r="F420" s="21"/>
      <c r="G420" s="23"/>
      <c r="H420" s="24"/>
      <c r="I420" s="22"/>
      <c r="J420" s="22"/>
      <c r="K420" s="22"/>
      <c r="L420" s="21"/>
      <c r="M420" s="20"/>
      <c r="N420" s="20"/>
      <c r="O420" s="23"/>
      <c r="P420" s="21"/>
      <c r="Q420" s="20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1"/>
      <c r="AU420" s="25" t="str">
        <f t="shared" si="12"/>
        <v>1Q42</v>
      </c>
      <c r="AV420" t="str">
        <f t="shared" si="13"/>
        <v>1Q42</v>
      </c>
      <c r="BA420">
        <f ca="1">IF(COUNTBLANK(C420)=0,COUNTA(INDIRECT(CONCATENATE("Area!",LEFT(ADDRESS(1,MATCH(C420,Area!$1:$1,0),4),1),"2:",LEFT(ADDRESS(1,MATCH(C420,Area!$1:$1,0),4),1),"99"))),0)</f>
        <v>0</v>
      </c>
      <c r="BB420">
        <f ca="1">IF(COUNTBLANK(D420)=0,COUNTA(INDIRECT(CONCATENATE("Setup!",LEFT(ADDRESS(1,MATCH(CONCATENATE(C420,":",D420),Setup!$1:$1,0),4),1),"2:",LEFT(ADDRESS(1,MATCH(CONCATENATE(C420,":",D420),Setup!$1:$1,0),4),1),"99"))),0)</f>
        <v>0</v>
      </c>
      <c r="BC420">
        <f ca="1">IF(COUNTBLANK(E420)=0,COUNTA(INDIRECT(CONCATENATE("Comp!",SUBSTITUTE(ADDRESS(1,MATCH(CONCATENATE(C420,":",D420,":",E420),Comp!$1:$1,0),4),"1",""),"2:",SUBSTITUTE(ADDRESS(1,MATCH(CONCATENATE(C420,":",D420,":",E420),Comp!$1:$1,0),4),"1",""),"99"))),0)</f>
        <v>0</v>
      </c>
    </row>
    <row r="421" spans="1:55">
      <c r="A421" s="20" t="s">
        <v>73</v>
      </c>
      <c r="B421" s="21"/>
      <c r="C421" s="20"/>
      <c r="D421" s="22"/>
      <c r="E421" s="22"/>
      <c r="F421" s="21"/>
      <c r="G421" s="23"/>
      <c r="H421" s="24"/>
      <c r="I421" s="22"/>
      <c r="J421" s="22"/>
      <c r="K421" s="22"/>
      <c r="L421" s="21"/>
      <c r="M421" s="20"/>
      <c r="N421" s="20"/>
      <c r="O421" s="23"/>
      <c r="P421" s="21"/>
      <c r="Q421" s="20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1"/>
      <c r="AU421" s="25" t="str">
        <f t="shared" si="12"/>
        <v>1Q42</v>
      </c>
      <c r="AV421" t="str">
        <f t="shared" si="13"/>
        <v>1Q42</v>
      </c>
      <c r="BA421">
        <f ca="1">IF(COUNTBLANK(C421)=0,COUNTA(INDIRECT(CONCATENATE("Area!",LEFT(ADDRESS(1,MATCH(C421,Area!$1:$1,0),4),1),"2:",LEFT(ADDRESS(1,MATCH(C421,Area!$1:$1,0),4),1),"99"))),0)</f>
        <v>0</v>
      </c>
      <c r="BB421">
        <f ca="1">IF(COUNTBLANK(D421)=0,COUNTA(INDIRECT(CONCATENATE("Setup!",LEFT(ADDRESS(1,MATCH(CONCATENATE(C421,":",D421),Setup!$1:$1,0),4),1),"2:",LEFT(ADDRESS(1,MATCH(CONCATENATE(C421,":",D421),Setup!$1:$1,0),4),1),"99"))),0)</f>
        <v>0</v>
      </c>
      <c r="BC421">
        <f ca="1">IF(COUNTBLANK(E421)=0,COUNTA(INDIRECT(CONCATENATE("Comp!",SUBSTITUTE(ADDRESS(1,MATCH(CONCATENATE(C421,":",D421,":",E421),Comp!$1:$1,0),4),"1",""),"2:",SUBSTITUTE(ADDRESS(1,MATCH(CONCATENATE(C421,":",D421,":",E421),Comp!$1:$1,0),4),"1",""),"99"))),0)</f>
        <v>0</v>
      </c>
    </row>
    <row r="422" spans="1:55">
      <c r="A422" s="20" t="s">
        <v>73</v>
      </c>
      <c r="B422" s="21"/>
      <c r="C422" s="20"/>
      <c r="D422" s="22"/>
      <c r="E422" s="22"/>
      <c r="F422" s="21"/>
      <c r="G422" s="23"/>
      <c r="H422" s="24"/>
      <c r="I422" s="22"/>
      <c r="J422" s="22"/>
      <c r="K422" s="22"/>
      <c r="L422" s="21"/>
      <c r="M422" s="20"/>
      <c r="N422" s="20"/>
      <c r="O422" s="23"/>
      <c r="P422" s="21"/>
      <c r="Q422" s="20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1"/>
      <c r="AU422" s="25" t="str">
        <f t="shared" si="12"/>
        <v>1Q42</v>
      </c>
      <c r="AV422" t="str">
        <f t="shared" si="13"/>
        <v>1Q42</v>
      </c>
      <c r="BA422">
        <f ca="1">IF(COUNTBLANK(C422)=0,COUNTA(INDIRECT(CONCATENATE("Area!",LEFT(ADDRESS(1,MATCH(C422,Area!$1:$1,0),4),1),"2:",LEFT(ADDRESS(1,MATCH(C422,Area!$1:$1,0),4),1),"99"))),0)</f>
        <v>0</v>
      </c>
      <c r="BB422">
        <f ca="1">IF(COUNTBLANK(D422)=0,COUNTA(INDIRECT(CONCATENATE("Setup!",LEFT(ADDRESS(1,MATCH(CONCATENATE(C422,":",D422),Setup!$1:$1,0),4),1),"2:",LEFT(ADDRESS(1,MATCH(CONCATENATE(C422,":",D422),Setup!$1:$1,0),4),1),"99"))),0)</f>
        <v>0</v>
      </c>
      <c r="BC422">
        <f ca="1">IF(COUNTBLANK(E422)=0,COUNTA(INDIRECT(CONCATENATE("Comp!",SUBSTITUTE(ADDRESS(1,MATCH(CONCATENATE(C422,":",D422,":",E422),Comp!$1:$1,0),4),"1",""),"2:",SUBSTITUTE(ADDRESS(1,MATCH(CONCATENATE(C422,":",D422,":",E422),Comp!$1:$1,0),4),"1",""),"99"))),0)</f>
        <v>0</v>
      </c>
    </row>
    <row r="423" spans="1:55">
      <c r="A423" s="20" t="s">
        <v>73</v>
      </c>
      <c r="B423" s="21"/>
      <c r="C423" s="20"/>
      <c r="D423" s="22"/>
      <c r="E423" s="22"/>
      <c r="F423" s="21"/>
      <c r="G423" s="23"/>
      <c r="H423" s="24"/>
      <c r="I423" s="22"/>
      <c r="J423" s="22"/>
      <c r="K423" s="22"/>
      <c r="L423" s="21"/>
      <c r="M423" s="20"/>
      <c r="N423" s="20"/>
      <c r="O423" s="23"/>
      <c r="P423" s="21"/>
      <c r="Q423" s="20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1"/>
      <c r="AU423" s="25" t="str">
        <f t="shared" si="12"/>
        <v>1Q42</v>
      </c>
      <c r="AV423" t="str">
        <f t="shared" si="13"/>
        <v>1Q42</v>
      </c>
      <c r="BA423">
        <f ca="1">IF(COUNTBLANK(C423)=0,COUNTA(INDIRECT(CONCATENATE("Area!",LEFT(ADDRESS(1,MATCH(C423,Area!$1:$1,0),4),1),"2:",LEFT(ADDRESS(1,MATCH(C423,Area!$1:$1,0),4),1),"99"))),0)</f>
        <v>0</v>
      </c>
      <c r="BB423">
        <f ca="1">IF(COUNTBLANK(D423)=0,COUNTA(INDIRECT(CONCATENATE("Setup!",LEFT(ADDRESS(1,MATCH(CONCATENATE(C423,":",D423),Setup!$1:$1,0),4),1),"2:",LEFT(ADDRESS(1,MATCH(CONCATENATE(C423,":",D423),Setup!$1:$1,0),4),1),"99"))),0)</f>
        <v>0</v>
      </c>
      <c r="BC423">
        <f ca="1">IF(COUNTBLANK(E423)=0,COUNTA(INDIRECT(CONCATENATE("Comp!",SUBSTITUTE(ADDRESS(1,MATCH(CONCATENATE(C423,":",D423,":",E423),Comp!$1:$1,0),4),"1",""),"2:",SUBSTITUTE(ADDRESS(1,MATCH(CONCATENATE(C423,":",D423,":",E423),Comp!$1:$1,0),4),"1",""),"99"))),0)</f>
        <v>0</v>
      </c>
    </row>
    <row r="424" spans="1:55">
      <c r="A424" s="20" t="s">
        <v>73</v>
      </c>
      <c r="B424" s="21"/>
      <c r="C424" s="20"/>
      <c r="D424" s="22"/>
      <c r="E424" s="22"/>
      <c r="F424" s="21"/>
      <c r="G424" s="23"/>
      <c r="H424" s="24"/>
      <c r="I424" s="22"/>
      <c r="J424" s="22"/>
      <c r="K424" s="22"/>
      <c r="L424" s="21"/>
      <c r="M424" s="20"/>
      <c r="N424" s="20"/>
      <c r="O424" s="23"/>
      <c r="P424" s="21"/>
      <c r="Q424" s="20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1"/>
      <c r="AU424" s="25" t="str">
        <f t="shared" si="12"/>
        <v>1Q42</v>
      </c>
      <c r="AV424" t="str">
        <f t="shared" si="13"/>
        <v>1Q42</v>
      </c>
      <c r="BA424">
        <f ca="1">IF(COUNTBLANK(C424)=0,COUNTA(INDIRECT(CONCATENATE("Area!",LEFT(ADDRESS(1,MATCH(C424,Area!$1:$1,0),4),1),"2:",LEFT(ADDRESS(1,MATCH(C424,Area!$1:$1,0),4),1),"99"))),0)</f>
        <v>0</v>
      </c>
      <c r="BB424">
        <f ca="1">IF(COUNTBLANK(D424)=0,COUNTA(INDIRECT(CONCATENATE("Setup!",LEFT(ADDRESS(1,MATCH(CONCATENATE(C424,":",D424),Setup!$1:$1,0),4),1),"2:",LEFT(ADDRESS(1,MATCH(CONCATENATE(C424,":",D424),Setup!$1:$1,0),4),1),"99"))),0)</f>
        <v>0</v>
      </c>
      <c r="BC424">
        <f ca="1">IF(COUNTBLANK(E424)=0,COUNTA(INDIRECT(CONCATENATE("Comp!",SUBSTITUTE(ADDRESS(1,MATCH(CONCATENATE(C424,":",D424,":",E424),Comp!$1:$1,0),4),"1",""),"2:",SUBSTITUTE(ADDRESS(1,MATCH(CONCATENATE(C424,":",D424,":",E424),Comp!$1:$1,0),4),"1",""),"99"))),0)</f>
        <v>0</v>
      </c>
    </row>
    <row r="425" spans="1:55">
      <c r="A425" s="20" t="s">
        <v>73</v>
      </c>
      <c r="B425" s="21"/>
      <c r="C425" s="20"/>
      <c r="D425" s="22"/>
      <c r="E425" s="22"/>
      <c r="F425" s="21"/>
      <c r="G425" s="23"/>
      <c r="H425" s="24"/>
      <c r="I425" s="22"/>
      <c r="J425" s="22"/>
      <c r="K425" s="22"/>
      <c r="L425" s="21"/>
      <c r="M425" s="20"/>
      <c r="N425" s="20"/>
      <c r="O425" s="23"/>
      <c r="P425" s="21"/>
      <c r="Q425" s="20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1"/>
      <c r="AU425" s="25" t="str">
        <f t="shared" si="12"/>
        <v>1Q42</v>
      </c>
      <c r="AV425" t="str">
        <f t="shared" si="13"/>
        <v>1Q42</v>
      </c>
      <c r="BA425">
        <f ca="1">IF(COUNTBLANK(C425)=0,COUNTA(INDIRECT(CONCATENATE("Area!",LEFT(ADDRESS(1,MATCH(C425,Area!$1:$1,0),4),1),"2:",LEFT(ADDRESS(1,MATCH(C425,Area!$1:$1,0),4),1),"99"))),0)</f>
        <v>0</v>
      </c>
      <c r="BB425">
        <f ca="1">IF(COUNTBLANK(D425)=0,COUNTA(INDIRECT(CONCATENATE("Setup!",LEFT(ADDRESS(1,MATCH(CONCATENATE(C425,":",D425),Setup!$1:$1,0),4),1),"2:",LEFT(ADDRESS(1,MATCH(CONCATENATE(C425,":",D425),Setup!$1:$1,0),4),1),"99"))),0)</f>
        <v>0</v>
      </c>
      <c r="BC425">
        <f ca="1">IF(COUNTBLANK(E425)=0,COUNTA(INDIRECT(CONCATENATE("Comp!",SUBSTITUTE(ADDRESS(1,MATCH(CONCATENATE(C425,":",D425,":",E425),Comp!$1:$1,0),4),"1",""),"2:",SUBSTITUTE(ADDRESS(1,MATCH(CONCATENATE(C425,":",D425,":",E425),Comp!$1:$1,0),4),"1",""),"99"))),0)</f>
        <v>0</v>
      </c>
    </row>
    <row r="426" spans="1:55">
      <c r="A426" s="20" t="s">
        <v>73</v>
      </c>
      <c r="B426" s="21"/>
      <c r="C426" s="20"/>
      <c r="D426" s="22"/>
      <c r="E426" s="22"/>
      <c r="F426" s="21"/>
      <c r="G426" s="23"/>
      <c r="H426" s="24"/>
      <c r="I426" s="22"/>
      <c r="J426" s="22"/>
      <c r="K426" s="22"/>
      <c r="L426" s="21"/>
      <c r="M426" s="20"/>
      <c r="N426" s="20"/>
      <c r="O426" s="23"/>
      <c r="P426" s="21"/>
      <c r="Q426" s="20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1"/>
      <c r="AU426" s="25" t="str">
        <f t="shared" si="12"/>
        <v>1Q42</v>
      </c>
      <c r="AV426" t="str">
        <f t="shared" si="13"/>
        <v>1Q42</v>
      </c>
      <c r="BA426">
        <f ca="1">IF(COUNTBLANK(C426)=0,COUNTA(INDIRECT(CONCATENATE("Area!",LEFT(ADDRESS(1,MATCH(C426,Area!$1:$1,0),4),1),"2:",LEFT(ADDRESS(1,MATCH(C426,Area!$1:$1,0),4),1),"99"))),0)</f>
        <v>0</v>
      </c>
      <c r="BB426">
        <f ca="1">IF(COUNTBLANK(D426)=0,COUNTA(INDIRECT(CONCATENATE("Setup!",LEFT(ADDRESS(1,MATCH(CONCATENATE(C426,":",D426),Setup!$1:$1,0),4),1),"2:",LEFT(ADDRESS(1,MATCH(CONCATENATE(C426,":",D426),Setup!$1:$1,0),4),1),"99"))),0)</f>
        <v>0</v>
      </c>
      <c r="BC426">
        <f ca="1">IF(COUNTBLANK(E426)=0,COUNTA(INDIRECT(CONCATENATE("Comp!",SUBSTITUTE(ADDRESS(1,MATCH(CONCATENATE(C426,":",D426,":",E426),Comp!$1:$1,0),4),"1",""),"2:",SUBSTITUTE(ADDRESS(1,MATCH(CONCATENATE(C426,":",D426,":",E426),Comp!$1:$1,0),4),"1",""),"99"))),0)</f>
        <v>0</v>
      </c>
    </row>
    <row r="427" spans="1:55">
      <c r="A427" s="20" t="s">
        <v>73</v>
      </c>
      <c r="B427" s="21"/>
      <c r="C427" s="20"/>
      <c r="D427" s="22"/>
      <c r="E427" s="22"/>
      <c r="F427" s="21"/>
      <c r="G427" s="23"/>
      <c r="H427" s="24"/>
      <c r="I427" s="22"/>
      <c r="J427" s="22"/>
      <c r="K427" s="22"/>
      <c r="L427" s="21"/>
      <c r="M427" s="20"/>
      <c r="N427" s="20"/>
      <c r="O427" s="23"/>
      <c r="P427" s="21"/>
      <c r="Q427" s="20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1"/>
      <c r="AU427" s="25" t="str">
        <f t="shared" si="12"/>
        <v>1Q42</v>
      </c>
      <c r="AV427" t="str">
        <f t="shared" si="13"/>
        <v>1Q42</v>
      </c>
      <c r="BA427">
        <f ca="1">IF(COUNTBLANK(C427)=0,COUNTA(INDIRECT(CONCATENATE("Area!",LEFT(ADDRESS(1,MATCH(C427,Area!$1:$1,0),4),1),"2:",LEFT(ADDRESS(1,MATCH(C427,Area!$1:$1,0),4),1),"99"))),0)</f>
        <v>0</v>
      </c>
      <c r="BB427">
        <f ca="1">IF(COUNTBLANK(D427)=0,COUNTA(INDIRECT(CONCATENATE("Setup!",LEFT(ADDRESS(1,MATCH(CONCATENATE(C427,":",D427),Setup!$1:$1,0),4),1),"2:",LEFT(ADDRESS(1,MATCH(CONCATENATE(C427,":",D427),Setup!$1:$1,0),4),1),"99"))),0)</f>
        <v>0</v>
      </c>
      <c r="BC427">
        <f ca="1">IF(COUNTBLANK(E427)=0,COUNTA(INDIRECT(CONCATENATE("Comp!",SUBSTITUTE(ADDRESS(1,MATCH(CONCATENATE(C427,":",D427,":",E427),Comp!$1:$1,0),4),"1",""),"2:",SUBSTITUTE(ADDRESS(1,MATCH(CONCATENATE(C427,":",D427,":",E427),Comp!$1:$1,0),4),"1",""),"99"))),0)</f>
        <v>0</v>
      </c>
    </row>
    <row r="428" spans="1:55">
      <c r="A428" s="20" t="s">
        <v>73</v>
      </c>
      <c r="B428" s="21"/>
      <c r="C428" s="20"/>
      <c r="D428" s="22"/>
      <c r="E428" s="22"/>
      <c r="F428" s="21"/>
      <c r="G428" s="23"/>
      <c r="H428" s="24"/>
      <c r="I428" s="22"/>
      <c r="J428" s="22"/>
      <c r="K428" s="22"/>
      <c r="L428" s="21"/>
      <c r="M428" s="20"/>
      <c r="N428" s="20"/>
      <c r="O428" s="23"/>
      <c r="P428" s="21"/>
      <c r="Q428" s="20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1"/>
      <c r="AU428" s="25" t="str">
        <f t="shared" si="12"/>
        <v>1Q42</v>
      </c>
      <c r="AV428" t="str">
        <f t="shared" si="13"/>
        <v>1Q42</v>
      </c>
      <c r="BA428">
        <f ca="1">IF(COUNTBLANK(C428)=0,COUNTA(INDIRECT(CONCATENATE("Area!",LEFT(ADDRESS(1,MATCH(C428,Area!$1:$1,0),4),1),"2:",LEFT(ADDRESS(1,MATCH(C428,Area!$1:$1,0),4),1),"99"))),0)</f>
        <v>0</v>
      </c>
      <c r="BB428">
        <f ca="1">IF(COUNTBLANK(D428)=0,COUNTA(INDIRECT(CONCATENATE("Setup!",LEFT(ADDRESS(1,MATCH(CONCATENATE(C428,":",D428),Setup!$1:$1,0),4),1),"2:",LEFT(ADDRESS(1,MATCH(CONCATENATE(C428,":",D428),Setup!$1:$1,0),4),1),"99"))),0)</f>
        <v>0</v>
      </c>
      <c r="BC428">
        <f ca="1">IF(COUNTBLANK(E428)=0,COUNTA(INDIRECT(CONCATENATE("Comp!",SUBSTITUTE(ADDRESS(1,MATCH(CONCATENATE(C428,":",D428,":",E428),Comp!$1:$1,0),4),"1",""),"2:",SUBSTITUTE(ADDRESS(1,MATCH(CONCATENATE(C428,":",D428,":",E428),Comp!$1:$1,0),4),"1",""),"99"))),0)</f>
        <v>0</v>
      </c>
    </row>
    <row r="429" spans="1:55">
      <c r="A429" s="20" t="s">
        <v>73</v>
      </c>
      <c r="B429" s="21"/>
      <c r="C429" s="20"/>
      <c r="D429" s="22"/>
      <c r="E429" s="22"/>
      <c r="F429" s="21"/>
      <c r="G429" s="23"/>
      <c r="H429" s="24"/>
      <c r="I429" s="22"/>
      <c r="J429" s="22"/>
      <c r="K429" s="22"/>
      <c r="L429" s="21"/>
      <c r="M429" s="20"/>
      <c r="N429" s="20"/>
      <c r="O429" s="23"/>
      <c r="P429" s="21"/>
      <c r="Q429" s="20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1"/>
      <c r="AU429" s="25" t="str">
        <f t="shared" si="12"/>
        <v>1Q42</v>
      </c>
      <c r="AV429" t="str">
        <f t="shared" si="13"/>
        <v>1Q42</v>
      </c>
      <c r="BA429">
        <f ca="1">IF(COUNTBLANK(C429)=0,COUNTA(INDIRECT(CONCATENATE("Area!",LEFT(ADDRESS(1,MATCH(C429,Area!$1:$1,0),4),1),"2:",LEFT(ADDRESS(1,MATCH(C429,Area!$1:$1,0),4),1),"99"))),0)</f>
        <v>0</v>
      </c>
      <c r="BB429">
        <f ca="1">IF(COUNTBLANK(D429)=0,COUNTA(INDIRECT(CONCATENATE("Setup!",LEFT(ADDRESS(1,MATCH(CONCATENATE(C429,":",D429),Setup!$1:$1,0),4),1),"2:",LEFT(ADDRESS(1,MATCH(CONCATENATE(C429,":",D429),Setup!$1:$1,0),4),1),"99"))),0)</f>
        <v>0</v>
      </c>
      <c r="BC429">
        <f ca="1">IF(COUNTBLANK(E429)=0,COUNTA(INDIRECT(CONCATENATE("Comp!",SUBSTITUTE(ADDRESS(1,MATCH(CONCATENATE(C429,":",D429,":",E429),Comp!$1:$1,0),4),"1",""),"2:",SUBSTITUTE(ADDRESS(1,MATCH(CONCATENATE(C429,":",D429,":",E429),Comp!$1:$1,0),4),"1",""),"99"))),0)</f>
        <v>0</v>
      </c>
    </row>
    <row r="430" spans="1:55">
      <c r="A430" s="20" t="s">
        <v>73</v>
      </c>
      <c r="B430" s="21"/>
      <c r="C430" s="20"/>
      <c r="D430" s="22"/>
      <c r="E430" s="22"/>
      <c r="F430" s="21"/>
      <c r="G430" s="23"/>
      <c r="H430" s="24"/>
      <c r="I430" s="22"/>
      <c r="J430" s="22"/>
      <c r="K430" s="22"/>
      <c r="L430" s="21"/>
      <c r="M430" s="20"/>
      <c r="N430" s="20"/>
      <c r="O430" s="23"/>
      <c r="P430" s="21"/>
      <c r="Q430" s="20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1"/>
      <c r="AU430" s="25" t="str">
        <f t="shared" si="12"/>
        <v>1Q42</v>
      </c>
      <c r="AV430" t="str">
        <f t="shared" si="13"/>
        <v>1Q42</v>
      </c>
      <c r="BA430">
        <f ca="1">IF(COUNTBLANK(C430)=0,COUNTA(INDIRECT(CONCATENATE("Area!",LEFT(ADDRESS(1,MATCH(C430,Area!$1:$1,0),4),1),"2:",LEFT(ADDRESS(1,MATCH(C430,Area!$1:$1,0),4),1),"99"))),0)</f>
        <v>0</v>
      </c>
      <c r="BB430">
        <f ca="1">IF(COUNTBLANK(D430)=0,COUNTA(INDIRECT(CONCATENATE("Setup!",LEFT(ADDRESS(1,MATCH(CONCATENATE(C430,":",D430),Setup!$1:$1,0),4),1),"2:",LEFT(ADDRESS(1,MATCH(CONCATENATE(C430,":",D430),Setup!$1:$1,0),4),1),"99"))),0)</f>
        <v>0</v>
      </c>
      <c r="BC430">
        <f ca="1">IF(COUNTBLANK(E430)=0,COUNTA(INDIRECT(CONCATENATE("Comp!",SUBSTITUTE(ADDRESS(1,MATCH(CONCATENATE(C430,":",D430,":",E430),Comp!$1:$1,0),4),"1",""),"2:",SUBSTITUTE(ADDRESS(1,MATCH(CONCATENATE(C430,":",D430,":",E430),Comp!$1:$1,0),4),"1",""),"99"))),0)</f>
        <v>0</v>
      </c>
    </row>
    <row r="431" spans="1:55">
      <c r="A431" s="20" t="s">
        <v>73</v>
      </c>
      <c r="B431" s="21"/>
      <c r="C431" s="20"/>
      <c r="D431" s="22"/>
      <c r="E431" s="22"/>
      <c r="F431" s="21"/>
      <c r="G431" s="23"/>
      <c r="H431" s="24"/>
      <c r="I431" s="22"/>
      <c r="J431" s="22"/>
      <c r="K431" s="22"/>
      <c r="L431" s="21"/>
      <c r="M431" s="20"/>
      <c r="N431" s="20"/>
      <c r="O431" s="23"/>
      <c r="P431" s="21"/>
      <c r="Q431" s="20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1"/>
      <c r="AU431" s="25" t="str">
        <f t="shared" si="12"/>
        <v>1Q42</v>
      </c>
      <c r="AV431" t="str">
        <f t="shared" si="13"/>
        <v>1Q42</v>
      </c>
      <c r="BA431">
        <f ca="1">IF(COUNTBLANK(C431)=0,COUNTA(INDIRECT(CONCATENATE("Area!",LEFT(ADDRESS(1,MATCH(C431,Area!$1:$1,0),4),1),"2:",LEFT(ADDRESS(1,MATCH(C431,Area!$1:$1,0),4),1),"99"))),0)</f>
        <v>0</v>
      </c>
      <c r="BB431">
        <f ca="1">IF(COUNTBLANK(D431)=0,COUNTA(INDIRECT(CONCATENATE("Setup!",LEFT(ADDRESS(1,MATCH(CONCATENATE(C431,":",D431),Setup!$1:$1,0),4),1),"2:",LEFT(ADDRESS(1,MATCH(CONCATENATE(C431,":",D431),Setup!$1:$1,0),4),1),"99"))),0)</f>
        <v>0</v>
      </c>
      <c r="BC431">
        <f ca="1">IF(COUNTBLANK(E431)=0,COUNTA(INDIRECT(CONCATENATE("Comp!",SUBSTITUTE(ADDRESS(1,MATCH(CONCATENATE(C431,":",D431,":",E431),Comp!$1:$1,0),4),"1",""),"2:",SUBSTITUTE(ADDRESS(1,MATCH(CONCATENATE(C431,":",D431,":",E431),Comp!$1:$1,0),4),"1",""),"99"))),0)</f>
        <v>0</v>
      </c>
    </row>
    <row r="432" spans="1:55">
      <c r="A432" s="20" t="s">
        <v>73</v>
      </c>
      <c r="B432" s="21"/>
      <c r="C432" s="20"/>
      <c r="D432" s="22"/>
      <c r="E432" s="22"/>
      <c r="F432" s="21"/>
      <c r="G432" s="23"/>
      <c r="H432" s="24"/>
      <c r="I432" s="22"/>
      <c r="J432" s="22"/>
      <c r="K432" s="22"/>
      <c r="L432" s="21"/>
      <c r="M432" s="20"/>
      <c r="N432" s="20"/>
      <c r="O432" s="23"/>
      <c r="P432" s="21"/>
      <c r="Q432" s="20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1"/>
      <c r="AU432" s="25" t="str">
        <f t="shared" si="12"/>
        <v>1Q42</v>
      </c>
      <c r="AV432" t="str">
        <f t="shared" si="13"/>
        <v>1Q42</v>
      </c>
      <c r="BA432">
        <f ca="1">IF(COUNTBLANK(C432)=0,COUNTA(INDIRECT(CONCATENATE("Area!",LEFT(ADDRESS(1,MATCH(C432,Area!$1:$1,0),4),1),"2:",LEFT(ADDRESS(1,MATCH(C432,Area!$1:$1,0),4),1),"99"))),0)</f>
        <v>0</v>
      </c>
      <c r="BB432">
        <f ca="1">IF(COUNTBLANK(D432)=0,COUNTA(INDIRECT(CONCATENATE("Setup!",LEFT(ADDRESS(1,MATCH(CONCATENATE(C432,":",D432),Setup!$1:$1,0),4),1),"2:",LEFT(ADDRESS(1,MATCH(CONCATENATE(C432,":",D432),Setup!$1:$1,0),4),1),"99"))),0)</f>
        <v>0</v>
      </c>
      <c r="BC432">
        <f ca="1">IF(COUNTBLANK(E432)=0,COUNTA(INDIRECT(CONCATENATE("Comp!",SUBSTITUTE(ADDRESS(1,MATCH(CONCATENATE(C432,":",D432,":",E432),Comp!$1:$1,0),4),"1",""),"2:",SUBSTITUTE(ADDRESS(1,MATCH(CONCATENATE(C432,":",D432,":",E432),Comp!$1:$1,0),4),"1",""),"99"))),0)</f>
        <v>0</v>
      </c>
    </row>
    <row r="433" spans="1:55">
      <c r="A433" s="20" t="s">
        <v>73</v>
      </c>
      <c r="B433" s="21"/>
      <c r="C433" s="20"/>
      <c r="D433" s="22"/>
      <c r="E433" s="22"/>
      <c r="F433" s="21"/>
      <c r="G433" s="23"/>
      <c r="H433" s="24"/>
      <c r="I433" s="22"/>
      <c r="J433" s="22"/>
      <c r="K433" s="22"/>
      <c r="L433" s="21"/>
      <c r="M433" s="20"/>
      <c r="N433" s="20"/>
      <c r="O433" s="23"/>
      <c r="P433" s="21"/>
      <c r="Q433" s="20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1"/>
      <c r="AU433" s="25" t="str">
        <f t="shared" si="12"/>
        <v>1Q42</v>
      </c>
      <c r="AV433" t="str">
        <f t="shared" si="13"/>
        <v>1Q42</v>
      </c>
      <c r="BA433">
        <f ca="1">IF(COUNTBLANK(C433)=0,COUNTA(INDIRECT(CONCATENATE("Area!",LEFT(ADDRESS(1,MATCH(C433,Area!$1:$1,0),4),1),"2:",LEFT(ADDRESS(1,MATCH(C433,Area!$1:$1,0),4),1),"99"))),0)</f>
        <v>0</v>
      </c>
      <c r="BB433">
        <f ca="1">IF(COUNTBLANK(D433)=0,COUNTA(INDIRECT(CONCATENATE("Setup!",LEFT(ADDRESS(1,MATCH(CONCATENATE(C433,":",D433),Setup!$1:$1,0),4),1),"2:",LEFT(ADDRESS(1,MATCH(CONCATENATE(C433,":",D433),Setup!$1:$1,0),4),1),"99"))),0)</f>
        <v>0</v>
      </c>
      <c r="BC433">
        <f ca="1">IF(COUNTBLANK(E433)=0,COUNTA(INDIRECT(CONCATENATE("Comp!",SUBSTITUTE(ADDRESS(1,MATCH(CONCATENATE(C433,":",D433,":",E433),Comp!$1:$1,0),4),"1",""),"2:",SUBSTITUTE(ADDRESS(1,MATCH(CONCATENATE(C433,":",D433,":",E433),Comp!$1:$1,0),4),"1",""),"99"))),0)</f>
        <v>0</v>
      </c>
    </row>
    <row r="434" spans="1:55">
      <c r="A434" s="20" t="s">
        <v>73</v>
      </c>
      <c r="B434" s="21"/>
      <c r="C434" s="20"/>
      <c r="D434" s="22"/>
      <c r="E434" s="22"/>
      <c r="F434" s="21"/>
      <c r="G434" s="23"/>
      <c r="H434" s="24"/>
      <c r="I434" s="22"/>
      <c r="J434" s="22"/>
      <c r="K434" s="22"/>
      <c r="L434" s="21"/>
      <c r="M434" s="20"/>
      <c r="N434" s="20"/>
      <c r="O434" s="23"/>
      <c r="P434" s="21"/>
      <c r="Q434" s="20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1"/>
      <c r="AU434" s="25" t="str">
        <f t="shared" si="12"/>
        <v>1Q42</v>
      </c>
      <c r="AV434" t="str">
        <f t="shared" si="13"/>
        <v>1Q42</v>
      </c>
      <c r="BA434">
        <f ca="1">IF(COUNTBLANK(C434)=0,COUNTA(INDIRECT(CONCATENATE("Area!",LEFT(ADDRESS(1,MATCH(C434,Area!$1:$1,0),4),1),"2:",LEFT(ADDRESS(1,MATCH(C434,Area!$1:$1,0),4),1),"99"))),0)</f>
        <v>0</v>
      </c>
      <c r="BB434">
        <f ca="1">IF(COUNTBLANK(D434)=0,COUNTA(INDIRECT(CONCATENATE("Setup!",LEFT(ADDRESS(1,MATCH(CONCATENATE(C434,":",D434),Setup!$1:$1,0),4),1),"2:",LEFT(ADDRESS(1,MATCH(CONCATENATE(C434,":",D434),Setup!$1:$1,0),4),1),"99"))),0)</f>
        <v>0</v>
      </c>
      <c r="BC434">
        <f ca="1">IF(COUNTBLANK(E434)=0,COUNTA(INDIRECT(CONCATENATE("Comp!",SUBSTITUTE(ADDRESS(1,MATCH(CONCATENATE(C434,":",D434,":",E434),Comp!$1:$1,0),4),"1",""),"2:",SUBSTITUTE(ADDRESS(1,MATCH(CONCATENATE(C434,":",D434,":",E434),Comp!$1:$1,0),4),"1",""),"99"))),0)</f>
        <v>0</v>
      </c>
    </row>
    <row r="435" spans="1:55">
      <c r="A435" s="20" t="s">
        <v>73</v>
      </c>
      <c r="B435" s="21"/>
      <c r="C435" s="20"/>
      <c r="D435" s="22"/>
      <c r="E435" s="22"/>
      <c r="F435" s="21"/>
      <c r="G435" s="23"/>
      <c r="H435" s="24"/>
      <c r="I435" s="22"/>
      <c r="J435" s="22"/>
      <c r="K435" s="22"/>
      <c r="L435" s="21"/>
      <c r="M435" s="20"/>
      <c r="N435" s="20"/>
      <c r="O435" s="23"/>
      <c r="P435" s="21"/>
      <c r="Q435" s="20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1"/>
      <c r="AU435" s="25" t="str">
        <f t="shared" si="12"/>
        <v>1Q42</v>
      </c>
      <c r="AV435" t="str">
        <f t="shared" si="13"/>
        <v>1Q42</v>
      </c>
      <c r="BA435">
        <f ca="1">IF(COUNTBLANK(C435)=0,COUNTA(INDIRECT(CONCATENATE("Area!",LEFT(ADDRESS(1,MATCH(C435,Area!$1:$1,0),4),1),"2:",LEFT(ADDRESS(1,MATCH(C435,Area!$1:$1,0),4),1),"99"))),0)</f>
        <v>0</v>
      </c>
      <c r="BB435">
        <f ca="1">IF(COUNTBLANK(D435)=0,COUNTA(INDIRECT(CONCATENATE("Setup!",LEFT(ADDRESS(1,MATCH(CONCATENATE(C435,":",D435),Setup!$1:$1,0),4),1),"2:",LEFT(ADDRESS(1,MATCH(CONCATENATE(C435,":",D435),Setup!$1:$1,0),4),1),"99"))),0)</f>
        <v>0</v>
      </c>
      <c r="BC435">
        <f ca="1">IF(COUNTBLANK(E435)=0,COUNTA(INDIRECT(CONCATENATE("Comp!",SUBSTITUTE(ADDRESS(1,MATCH(CONCATENATE(C435,":",D435,":",E435),Comp!$1:$1,0),4),"1",""),"2:",SUBSTITUTE(ADDRESS(1,MATCH(CONCATENATE(C435,":",D435,":",E435),Comp!$1:$1,0),4),"1",""),"99"))),0)</f>
        <v>0</v>
      </c>
    </row>
    <row r="436" spans="1:55">
      <c r="A436" s="20" t="s">
        <v>73</v>
      </c>
      <c r="B436" s="21"/>
      <c r="C436" s="20"/>
      <c r="D436" s="22"/>
      <c r="E436" s="22"/>
      <c r="F436" s="21"/>
      <c r="G436" s="23"/>
      <c r="H436" s="24"/>
      <c r="I436" s="22"/>
      <c r="J436" s="22"/>
      <c r="K436" s="22"/>
      <c r="L436" s="21"/>
      <c r="M436" s="20"/>
      <c r="N436" s="20"/>
      <c r="O436" s="23"/>
      <c r="P436" s="21"/>
      <c r="Q436" s="20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1"/>
      <c r="AU436" s="25" t="str">
        <f t="shared" si="12"/>
        <v>1Q42</v>
      </c>
      <c r="AV436" t="str">
        <f t="shared" si="13"/>
        <v>1Q42</v>
      </c>
      <c r="BA436">
        <f ca="1">IF(COUNTBLANK(C436)=0,COUNTA(INDIRECT(CONCATENATE("Area!",LEFT(ADDRESS(1,MATCH(C436,Area!$1:$1,0),4),1),"2:",LEFT(ADDRESS(1,MATCH(C436,Area!$1:$1,0),4),1),"99"))),0)</f>
        <v>0</v>
      </c>
      <c r="BB436">
        <f ca="1">IF(COUNTBLANK(D436)=0,COUNTA(INDIRECT(CONCATENATE("Setup!",LEFT(ADDRESS(1,MATCH(CONCATENATE(C436,":",D436),Setup!$1:$1,0),4),1),"2:",LEFT(ADDRESS(1,MATCH(CONCATENATE(C436,":",D436),Setup!$1:$1,0),4),1),"99"))),0)</f>
        <v>0</v>
      </c>
      <c r="BC436">
        <f ca="1">IF(COUNTBLANK(E436)=0,COUNTA(INDIRECT(CONCATENATE("Comp!",SUBSTITUTE(ADDRESS(1,MATCH(CONCATENATE(C436,":",D436,":",E436),Comp!$1:$1,0),4),"1",""),"2:",SUBSTITUTE(ADDRESS(1,MATCH(CONCATENATE(C436,":",D436,":",E436),Comp!$1:$1,0),4),"1",""),"99"))),0)</f>
        <v>0</v>
      </c>
    </row>
    <row r="437" spans="1:55">
      <c r="A437" s="20" t="s">
        <v>73</v>
      </c>
      <c r="B437" s="21"/>
      <c r="C437" s="20"/>
      <c r="D437" s="22"/>
      <c r="E437" s="22"/>
      <c r="F437" s="21"/>
      <c r="G437" s="23"/>
      <c r="H437" s="24"/>
      <c r="I437" s="22"/>
      <c r="J437" s="22"/>
      <c r="K437" s="22"/>
      <c r="L437" s="21"/>
      <c r="M437" s="20"/>
      <c r="N437" s="20"/>
      <c r="O437" s="23"/>
      <c r="P437" s="21"/>
      <c r="Q437" s="20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1"/>
      <c r="AU437" s="25" t="str">
        <f t="shared" si="12"/>
        <v>1Q42</v>
      </c>
      <c r="AV437" t="str">
        <f t="shared" si="13"/>
        <v>1Q42</v>
      </c>
      <c r="BA437">
        <f ca="1">IF(COUNTBLANK(C437)=0,COUNTA(INDIRECT(CONCATENATE("Area!",LEFT(ADDRESS(1,MATCH(C437,Area!$1:$1,0),4),1),"2:",LEFT(ADDRESS(1,MATCH(C437,Area!$1:$1,0),4),1),"99"))),0)</f>
        <v>0</v>
      </c>
      <c r="BB437">
        <f ca="1">IF(COUNTBLANK(D437)=0,COUNTA(INDIRECT(CONCATENATE("Setup!",LEFT(ADDRESS(1,MATCH(CONCATENATE(C437,":",D437),Setup!$1:$1,0),4),1),"2:",LEFT(ADDRESS(1,MATCH(CONCATENATE(C437,":",D437),Setup!$1:$1,0),4),1),"99"))),0)</f>
        <v>0</v>
      </c>
      <c r="BC437">
        <f ca="1">IF(COUNTBLANK(E437)=0,COUNTA(INDIRECT(CONCATENATE("Comp!",SUBSTITUTE(ADDRESS(1,MATCH(CONCATENATE(C437,":",D437,":",E437),Comp!$1:$1,0),4),"1",""),"2:",SUBSTITUTE(ADDRESS(1,MATCH(CONCATENATE(C437,":",D437,":",E437),Comp!$1:$1,0),4),"1",""),"99"))),0)</f>
        <v>0</v>
      </c>
    </row>
    <row r="438" spans="1:55">
      <c r="A438" s="20" t="s">
        <v>73</v>
      </c>
      <c r="B438" s="21"/>
      <c r="C438" s="20"/>
      <c r="D438" s="22"/>
      <c r="E438" s="22"/>
      <c r="F438" s="21"/>
      <c r="G438" s="23"/>
      <c r="H438" s="24"/>
      <c r="I438" s="22"/>
      <c r="J438" s="22"/>
      <c r="K438" s="22"/>
      <c r="L438" s="21"/>
      <c r="M438" s="20"/>
      <c r="N438" s="20"/>
      <c r="O438" s="23"/>
      <c r="P438" s="21"/>
      <c r="Q438" s="20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1"/>
      <c r="AU438" s="25" t="str">
        <f t="shared" si="12"/>
        <v>1Q42</v>
      </c>
      <c r="AV438" t="str">
        <f t="shared" si="13"/>
        <v>1Q42</v>
      </c>
      <c r="BA438">
        <f ca="1">IF(COUNTBLANK(C438)=0,COUNTA(INDIRECT(CONCATENATE("Area!",LEFT(ADDRESS(1,MATCH(C438,Area!$1:$1,0),4),1),"2:",LEFT(ADDRESS(1,MATCH(C438,Area!$1:$1,0),4),1),"99"))),0)</f>
        <v>0</v>
      </c>
      <c r="BB438">
        <f ca="1">IF(COUNTBLANK(D438)=0,COUNTA(INDIRECT(CONCATENATE("Setup!",LEFT(ADDRESS(1,MATCH(CONCATENATE(C438,":",D438),Setup!$1:$1,0),4),1),"2:",LEFT(ADDRESS(1,MATCH(CONCATENATE(C438,":",D438),Setup!$1:$1,0),4),1),"99"))),0)</f>
        <v>0</v>
      </c>
      <c r="BC438">
        <f ca="1">IF(COUNTBLANK(E438)=0,COUNTA(INDIRECT(CONCATENATE("Comp!",SUBSTITUTE(ADDRESS(1,MATCH(CONCATENATE(C438,":",D438,":",E438),Comp!$1:$1,0),4),"1",""),"2:",SUBSTITUTE(ADDRESS(1,MATCH(CONCATENATE(C438,":",D438,":",E438),Comp!$1:$1,0),4),"1",""),"99"))),0)</f>
        <v>0</v>
      </c>
    </row>
    <row r="439" spans="1:55">
      <c r="A439" s="20" t="s">
        <v>73</v>
      </c>
      <c r="B439" s="21"/>
      <c r="C439" s="20"/>
      <c r="D439" s="22"/>
      <c r="E439" s="22"/>
      <c r="F439" s="21"/>
      <c r="G439" s="23"/>
      <c r="H439" s="24"/>
      <c r="I439" s="22"/>
      <c r="J439" s="22"/>
      <c r="K439" s="22"/>
      <c r="L439" s="21"/>
      <c r="M439" s="20"/>
      <c r="N439" s="20"/>
      <c r="O439" s="23"/>
      <c r="P439" s="21"/>
      <c r="Q439" s="20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1"/>
      <c r="AU439" s="25" t="str">
        <f t="shared" si="12"/>
        <v>1Q42</v>
      </c>
      <c r="AV439" t="str">
        <f t="shared" si="13"/>
        <v>1Q42</v>
      </c>
      <c r="BA439">
        <f ca="1">IF(COUNTBLANK(C439)=0,COUNTA(INDIRECT(CONCATENATE("Area!",LEFT(ADDRESS(1,MATCH(C439,Area!$1:$1,0),4),1),"2:",LEFT(ADDRESS(1,MATCH(C439,Area!$1:$1,0),4),1),"99"))),0)</f>
        <v>0</v>
      </c>
      <c r="BB439">
        <f ca="1">IF(COUNTBLANK(D439)=0,COUNTA(INDIRECT(CONCATENATE("Setup!",LEFT(ADDRESS(1,MATCH(CONCATENATE(C439,":",D439),Setup!$1:$1,0),4),1),"2:",LEFT(ADDRESS(1,MATCH(CONCATENATE(C439,":",D439),Setup!$1:$1,0),4),1),"99"))),0)</f>
        <v>0</v>
      </c>
      <c r="BC439">
        <f ca="1">IF(COUNTBLANK(E439)=0,COUNTA(INDIRECT(CONCATENATE("Comp!",SUBSTITUTE(ADDRESS(1,MATCH(CONCATENATE(C439,":",D439,":",E439),Comp!$1:$1,0),4),"1",""),"2:",SUBSTITUTE(ADDRESS(1,MATCH(CONCATENATE(C439,":",D439,":",E439),Comp!$1:$1,0),4),"1",""),"99"))),0)</f>
        <v>0</v>
      </c>
    </row>
    <row r="440" spans="1:55">
      <c r="A440" s="20" t="s">
        <v>73</v>
      </c>
      <c r="B440" s="21"/>
      <c r="C440" s="20"/>
      <c r="D440" s="22"/>
      <c r="E440" s="22"/>
      <c r="F440" s="21"/>
      <c r="G440" s="23"/>
      <c r="H440" s="24"/>
      <c r="I440" s="22"/>
      <c r="J440" s="22"/>
      <c r="K440" s="22"/>
      <c r="L440" s="21"/>
      <c r="M440" s="20"/>
      <c r="N440" s="20"/>
      <c r="O440" s="23"/>
      <c r="P440" s="21"/>
      <c r="Q440" s="20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1"/>
      <c r="AU440" s="25" t="str">
        <f t="shared" si="12"/>
        <v>1Q42</v>
      </c>
      <c r="AV440" t="str">
        <f t="shared" si="13"/>
        <v>1Q42</v>
      </c>
      <c r="BA440">
        <f ca="1">IF(COUNTBLANK(C440)=0,COUNTA(INDIRECT(CONCATENATE("Area!",LEFT(ADDRESS(1,MATCH(C440,Area!$1:$1,0),4),1),"2:",LEFT(ADDRESS(1,MATCH(C440,Area!$1:$1,0),4),1),"99"))),0)</f>
        <v>0</v>
      </c>
      <c r="BB440">
        <f ca="1">IF(COUNTBLANK(D440)=0,COUNTA(INDIRECT(CONCATENATE("Setup!",LEFT(ADDRESS(1,MATCH(CONCATENATE(C440,":",D440),Setup!$1:$1,0),4),1),"2:",LEFT(ADDRESS(1,MATCH(CONCATENATE(C440,":",D440),Setup!$1:$1,0),4),1),"99"))),0)</f>
        <v>0</v>
      </c>
      <c r="BC440">
        <f ca="1">IF(COUNTBLANK(E440)=0,COUNTA(INDIRECT(CONCATENATE("Comp!",SUBSTITUTE(ADDRESS(1,MATCH(CONCATENATE(C440,":",D440,":",E440),Comp!$1:$1,0),4),"1",""),"2:",SUBSTITUTE(ADDRESS(1,MATCH(CONCATENATE(C440,":",D440,":",E440),Comp!$1:$1,0),4),"1",""),"99"))),0)</f>
        <v>0</v>
      </c>
    </row>
    <row r="441" spans="1:55">
      <c r="A441" s="20" t="s">
        <v>73</v>
      </c>
      <c r="B441" s="21"/>
      <c r="C441" s="20"/>
      <c r="D441" s="22"/>
      <c r="E441" s="22"/>
      <c r="F441" s="21"/>
      <c r="G441" s="23"/>
      <c r="H441" s="24"/>
      <c r="I441" s="22"/>
      <c r="J441" s="22"/>
      <c r="K441" s="22"/>
      <c r="L441" s="21"/>
      <c r="M441" s="20"/>
      <c r="N441" s="20"/>
      <c r="O441" s="23"/>
      <c r="P441" s="21"/>
      <c r="Q441" s="20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1"/>
      <c r="AU441" s="25" t="str">
        <f t="shared" si="12"/>
        <v>1Q42</v>
      </c>
      <c r="AV441" t="str">
        <f t="shared" si="13"/>
        <v>1Q42</v>
      </c>
      <c r="BA441">
        <f ca="1">IF(COUNTBLANK(C441)=0,COUNTA(INDIRECT(CONCATENATE("Area!",LEFT(ADDRESS(1,MATCH(C441,Area!$1:$1,0),4),1),"2:",LEFT(ADDRESS(1,MATCH(C441,Area!$1:$1,0),4),1),"99"))),0)</f>
        <v>0</v>
      </c>
      <c r="BB441">
        <f ca="1">IF(COUNTBLANK(D441)=0,COUNTA(INDIRECT(CONCATENATE("Setup!",LEFT(ADDRESS(1,MATCH(CONCATENATE(C441,":",D441),Setup!$1:$1,0),4),1),"2:",LEFT(ADDRESS(1,MATCH(CONCATENATE(C441,":",D441),Setup!$1:$1,0),4),1),"99"))),0)</f>
        <v>0</v>
      </c>
      <c r="BC441">
        <f ca="1">IF(COUNTBLANK(E441)=0,COUNTA(INDIRECT(CONCATENATE("Comp!",SUBSTITUTE(ADDRESS(1,MATCH(CONCATENATE(C441,":",D441,":",E441),Comp!$1:$1,0),4),"1",""),"2:",SUBSTITUTE(ADDRESS(1,MATCH(CONCATENATE(C441,":",D441,":",E441),Comp!$1:$1,0),4),"1",""),"99"))),0)</f>
        <v>0</v>
      </c>
    </row>
    <row r="442" spans="1:55">
      <c r="A442" s="20" t="s">
        <v>73</v>
      </c>
      <c r="B442" s="21"/>
      <c r="C442" s="20"/>
      <c r="D442" s="22"/>
      <c r="E442" s="22"/>
      <c r="F442" s="21"/>
      <c r="G442" s="23"/>
      <c r="H442" s="24"/>
      <c r="I442" s="22"/>
      <c r="J442" s="22"/>
      <c r="K442" s="22"/>
      <c r="L442" s="21"/>
      <c r="M442" s="20"/>
      <c r="N442" s="20"/>
      <c r="O442" s="23"/>
      <c r="P442" s="21"/>
      <c r="Q442" s="20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1"/>
      <c r="AU442" s="25" t="str">
        <f t="shared" si="12"/>
        <v>1Q42</v>
      </c>
      <c r="AV442" t="str">
        <f t="shared" si="13"/>
        <v>1Q42</v>
      </c>
      <c r="BA442">
        <f ca="1">IF(COUNTBLANK(C442)=0,COUNTA(INDIRECT(CONCATENATE("Area!",LEFT(ADDRESS(1,MATCH(C442,Area!$1:$1,0),4),1),"2:",LEFT(ADDRESS(1,MATCH(C442,Area!$1:$1,0),4),1),"99"))),0)</f>
        <v>0</v>
      </c>
      <c r="BB442">
        <f ca="1">IF(COUNTBLANK(D442)=0,COUNTA(INDIRECT(CONCATENATE("Setup!",LEFT(ADDRESS(1,MATCH(CONCATENATE(C442,":",D442),Setup!$1:$1,0),4),1),"2:",LEFT(ADDRESS(1,MATCH(CONCATENATE(C442,":",D442),Setup!$1:$1,0),4),1),"99"))),0)</f>
        <v>0</v>
      </c>
      <c r="BC442">
        <f ca="1">IF(COUNTBLANK(E442)=0,COUNTA(INDIRECT(CONCATENATE("Comp!",SUBSTITUTE(ADDRESS(1,MATCH(CONCATENATE(C442,":",D442,":",E442),Comp!$1:$1,0),4),"1",""),"2:",SUBSTITUTE(ADDRESS(1,MATCH(CONCATENATE(C442,":",D442,":",E442),Comp!$1:$1,0),4),"1",""),"99"))),0)</f>
        <v>0</v>
      </c>
    </row>
    <row r="443" spans="1:55">
      <c r="A443" s="20" t="s">
        <v>73</v>
      </c>
      <c r="B443" s="21"/>
      <c r="C443" s="20"/>
      <c r="D443" s="22"/>
      <c r="E443" s="22"/>
      <c r="F443" s="21"/>
      <c r="G443" s="23"/>
      <c r="H443" s="24"/>
      <c r="I443" s="22"/>
      <c r="J443" s="22"/>
      <c r="K443" s="22"/>
      <c r="L443" s="21"/>
      <c r="M443" s="20"/>
      <c r="N443" s="20"/>
      <c r="O443" s="23"/>
      <c r="P443" s="21"/>
      <c r="Q443" s="20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1"/>
      <c r="AU443" s="25" t="str">
        <f t="shared" si="12"/>
        <v>1Q42</v>
      </c>
      <c r="AV443" t="str">
        <f t="shared" si="13"/>
        <v>1Q42</v>
      </c>
      <c r="BA443">
        <f ca="1">IF(COUNTBLANK(C443)=0,COUNTA(INDIRECT(CONCATENATE("Area!",LEFT(ADDRESS(1,MATCH(C443,Area!$1:$1,0),4),1),"2:",LEFT(ADDRESS(1,MATCH(C443,Area!$1:$1,0),4),1),"99"))),0)</f>
        <v>0</v>
      </c>
      <c r="BB443">
        <f ca="1">IF(COUNTBLANK(D443)=0,COUNTA(INDIRECT(CONCATENATE("Setup!",LEFT(ADDRESS(1,MATCH(CONCATENATE(C443,":",D443),Setup!$1:$1,0),4),1),"2:",LEFT(ADDRESS(1,MATCH(CONCATENATE(C443,":",D443),Setup!$1:$1,0),4),1),"99"))),0)</f>
        <v>0</v>
      </c>
      <c r="BC443">
        <f ca="1">IF(COUNTBLANK(E443)=0,COUNTA(INDIRECT(CONCATENATE("Comp!",SUBSTITUTE(ADDRESS(1,MATCH(CONCATENATE(C443,":",D443,":",E443),Comp!$1:$1,0),4),"1",""),"2:",SUBSTITUTE(ADDRESS(1,MATCH(CONCATENATE(C443,":",D443,":",E443),Comp!$1:$1,0),4),"1",""),"99"))),0)</f>
        <v>0</v>
      </c>
    </row>
    <row r="444" spans="1:55">
      <c r="A444" s="20" t="s">
        <v>73</v>
      </c>
      <c r="B444" s="21"/>
      <c r="C444" s="20"/>
      <c r="D444" s="22"/>
      <c r="E444" s="22"/>
      <c r="F444" s="21"/>
      <c r="G444" s="23"/>
      <c r="H444" s="24"/>
      <c r="I444" s="22"/>
      <c r="J444" s="22"/>
      <c r="K444" s="22"/>
      <c r="L444" s="21"/>
      <c r="M444" s="20"/>
      <c r="N444" s="20"/>
      <c r="O444" s="23"/>
      <c r="P444" s="21"/>
      <c r="Q444" s="20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1"/>
      <c r="AU444" s="25" t="str">
        <f t="shared" si="12"/>
        <v>1Q42</v>
      </c>
      <c r="AV444" t="str">
        <f t="shared" si="13"/>
        <v>1Q42</v>
      </c>
      <c r="BA444">
        <f ca="1">IF(COUNTBLANK(C444)=0,COUNTA(INDIRECT(CONCATENATE("Area!",LEFT(ADDRESS(1,MATCH(C444,Area!$1:$1,0),4),1),"2:",LEFT(ADDRESS(1,MATCH(C444,Area!$1:$1,0),4),1),"99"))),0)</f>
        <v>0</v>
      </c>
      <c r="BB444">
        <f ca="1">IF(COUNTBLANK(D444)=0,COUNTA(INDIRECT(CONCATENATE("Setup!",LEFT(ADDRESS(1,MATCH(CONCATENATE(C444,":",D444),Setup!$1:$1,0),4),1),"2:",LEFT(ADDRESS(1,MATCH(CONCATENATE(C444,":",D444),Setup!$1:$1,0),4),1),"99"))),0)</f>
        <v>0</v>
      </c>
      <c r="BC444">
        <f ca="1">IF(COUNTBLANK(E444)=0,COUNTA(INDIRECT(CONCATENATE("Comp!",SUBSTITUTE(ADDRESS(1,MATCH(CONCATENATE(C444,":",D444,":",E444),Comp!$1:$1,0),4),"1",""),"2:",SUBSTITUTE(ADDRESS(1,MATCH(CONCATENATE(C444,":",D444,":",E444),Comp!$1:$1,0),4),"1",""),"99"))),0)</f>
        <v>0</v>
      </c>
    </row>
    <row r="445" spans="1:55">
      <c r="A445" s="20" t="s">
        <v>73</v>
      </c>
      <c r="B445" s="21"/>
      <c r="C445" s="20"/>
      <c r="D445" s="22"/>
      <c r="E445" s="22"/>
      <c r="F445" s="21"/>
      <c r="G445" s="23"/>
      <c r="H445" s="24"/>
      <c r="I445" s="22"/>
      <c r="J445" s="22"/>
      <c r="K445" s="22"/>
      <c r="L445" s="21"/>
      <c r="M445" s="20"/>
      <c r="N445" s="20"/>
      <c r="O445" s="23"/>
      <c r="P445" s="21"/>
      <c r="Q445" s="20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1"/>
      <c r="AU445" s="25" t="str">
        <f t="shared" si="12"/>
        <v>1Q42</v>
      </c>
      <c r="AV445" t="str">
        <f t="shared" si="13"/>
        <v>1Q42</v>
      </c>
      <c r="BA445">
        <f ca="1">IF(COUNTBLANK(C445)=0,COUNTA(INDIRECT(CONCATENATE("Area!",LEFT(ADDRESS(1,MATCH(C445,Area!$1:$1,0),4),1),"2:",LEFT(ADDRESS(1,MATCH(C445,Area!$1:$1,0),4),1),"99"))),0)</f>
        <v>0</v>
      </c>
      <c r="BB445">
        <f ca="1">IF(COUNTBLANK(D445)=0,COUNTA(INDIRECT(CONCATENATE("Setup!",LEFT(ADDRESS(1,MATCH(CONCATENATE(C445,":",D445),Setup!$1:$1,0),4),1),"2:",LEFT(ADDRESS(1,MATCH(CONCATENATE(C445,":",D445),Setup!$1:$1,0),4),1),"99"))),0)</f>
        <v>0</v>
      </c>
      <c r="BC445">
        <f ca="1">IF(COUNTBLANK(E445)=0,COUNTA(INDIRECT(CONCATENATE("Comp!",SUBSTITUTE(ADDRESS(1,MATCH(CONCATENATE(C445,":",D445,":",E445),Comp!$1:$1,0),4),"1",""),"2:",SUBSTITUTE(ADDRESS(1,MATCH(CONCATENATE(C445,":",D445,":",E445),Comp!$1:$1,0),4),"1",""),"99"))),0)</f>
        <v>0</v>
      </c>
    </row>
    <row r="446" spans="1:55">
      <c r="A446" s="20" t="s">
        <v>73</v>
      </c>
      <c r="B446" s="21"/>
      <c r="C446" s="20"/>
      <c r="D446" s="22"/>
      <c r="E446" s="22"/>
      <c r="F446" s="21"/>
      <c r="G446" s="23"/>
      <c r="H446" s="24"/>
      <c r="I446" s="22"/>
      <c r="J446" s="22"/>
      <c r="K446" s="22"/>
      <c r="L446" s="21"/>
      <c r="M446" s="20"/>
      <c r="N446" s="20"/>
      <c r="O446" s="23"/>
      <c r="P446" s="21"/>
      <c r="Q446" s="20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1"/>
      <c r="AU446" s="25" t="str">
        <f t="shared" si="12"/>
        <v>1Q42</v>
      </c>
      <c r="AV446" t="str">
        <f t="shared" si="13"/>
        <v>1Q42</v>
      </c>
      <c r="BA446">
        <f ca="1">IF(COUNTBLANK(C446)=0,COUNTA(INDIRECT(CONCATENATE("Area!",LEFT(ADDRESS(1,MATCH(C446,Area!$1:$1,0),4),1),"2:",LEFT(ADDRESS(1,MATCH(C446,Area!$1:$1,0),4),1),"99"))),0)</f>
        <v>0</v>
      </c>
      <c r="BB446">
        <f ca="1">IF(COUNTBLANK(D446)=0,COUNTA(INDIRECT(CONCATENATE("Setup!",LEFT(ADDRESS(1,MATCH(CONCATENATE(C446,":",D446),Setup!$1:$1,0),4),1),"2:",LEFT(ADDRESS(1,MATCH(CONCATENATE(C446,":",D446),Setup!$1:$1,0),4),1),"99"))),0)</f>
        <v>0</v>
      </c>
      <c r="BC446">
        <f ca="1">IF(COUNTBLANK(E446)=0,COUNTA(INDIRECT(CONCATENATE("Comp!",SUBSTITUTE(ADDRESS(1,MATCH(CONCATENATE(C446,":",D446,":",E446),Comp!$1:$1,0),4),"1",""),"2:",SUBSTITUTE(ADDRESS(1,MATCH(CONCATENATE(C446,":",D446,":",E446),Comp!$1:$1,0),4),"1",""),"99"))),0)</f>
        <v>0</v>
      </c>
    </row>
    <row r="447" spans="1:55">
      <c r="A447" s="20" t="s">
        <v>73</v>
      </c>
      <c r="B447" s="21"/>
      <c r="C447" s="20"/>
      <c r="D447" s="22"/>
      <c r="E447" s="22"/>
      <c r="F447" s="21"/>
      <c r="G447" s="23"/>
      <c r="H447" s="24"/>
      <c r="I447" s="22"/>
      <c r="J447" s="22"/>
      <c r="K447" s="22"/>
      <c r="L447" s="21"/>
      <c r="M447" s="20"/>
      <c r="N447" s="20"/>
      <c r="O447" s="23"/>
      <c r="P447" s="21"/>
      <c r="Q447" s="20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1"/>
      <c r="AU447" s="25" t="str">
        <f t="shared" si="12"/>
        <v>1Q42</v>
      </c>
      <c r="AV447" t="str">
        <f t="shared" si="13"/>
        <v>1Q42</v>
      </c>
      <c r="BA447">
        <f ca="1">IF(COUNTBLANK(C447)=0,COUNTA(INDIRECT(CONCATENATE("Area!",LEFT(ADDRESS(1,MATCH(C447,Area!$1:$1,0),4),1),"2:",LEFT(ADDRESS(1,MATCH(C447,Area!$1:$1,0),4),1),"99"))),0)</f>
        <v>0</v>
      </c>
      <c r="BB447">
        <f ca="1">IF(COUNTBLANK(D447)=0,COUNTA(INDIRECT(CONCATENATE("Setup!",LEFT(ADDRESS(1,MATCH(CONCATENATE(C447,":",D447),Setup!$1:$1,0),4),1),"2:",LEFT(ADDRESS(1,MATCH(CONCATENATE(C447,":",D447),Setup!$1:$1,0),4),1),"99"))),0)</f>
        <v>0</v>
      </c>
      <c r="BC447">
        <f ca="1">IF(COUNTBLANK(E447)=0,COUNTA(INDIRECT(CONCATENATE("Comp!",SUBSTITUTE(ADDRESS(1,MATCH(CONCATENATE(C447,":",D447,":",E447),Comp!$1:$1,0),4),"1",""),"2:",SUBSTITUTE(ADDRESS(1,MATCH(CONCATENATE(C447,":",D447,":",E447),Comp!$1:$1,0),4),"1",""),"99"))),0)</f>
        <v>0</v>
      </c>
    </row>
    <row r="448" spans="1:55">
      <c r="A448" s="20" t="s">
        <v>73</v>
      </c>
      <c r="B448" s="21"/>
      <c r="C448" s="20"/>
      <c r="D448" s="22"/>
      <c r="E448" s="22"/>
      <c r="F448" s="21"/>
      <c r="G448" s="23"/>
      <c r="H448" s="24"/>
      <c r="I448" s="22"/>
      <c r="J448" s="22"/>
      <c r="K448" s="22"/>
      <c r="L448" s="21"/>
      <c r="M448" s="20"/>
      <c r="N448" s="20"/>
      <c r="O448" s="23"/>
      <c r="P448" s="21"/>
      <c r="Q448" s="20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1"/>
      <c r="AU448" s="25" t="str">
        <f t="shared" si="12"/>
        <v>1Q42</v>
      </c>
      <c r="AV448" t="str">
        <f t="shared" si="13"/>
        <v>1Q42</v>
      </c>
      <c r="BA448">
        <f ca="1">IF(COUNTBLANK(C448)=0,COUNTA(INDIRECT(CONCATENATE("Area!",LEFT(ADDRESS(1,MATCH(C448,Area!$1:$1,0),4),1),"2:",LEFT(ADDRESS(1,MATCH(C448,Area!$1:$1,0),4),1),"99"))),0)</f>
        <v>0</v>
      </c>
      <c r="BB448">
        <f ca="1">IF(COUNTBLANK(D448)=0,COUNTA(INDIRECT(CONCATENATE("Setup!",LEFT(ADDRESS(1,MATCH(CONCATENATE(C448,":",D448),Setup!$1:$1,0),4),1),"2:",LEFT(ADDRESS(1,MATCH(CONCATENATE(C448,":",D448),Setup!$1:$1,0),4),1),"99"))),0)</f>
        <v>0</v>
      </c>
      <c r="BC448">
        <f ca="1">IF(COUNTBLANK(E448)=0,COUNTA(INDIRECT(CONCATENATE("Comp!",SUBSTITUTE(ADDRESS(1,MATCH(CONCATENATE(C448,":",D448,":",E448),Comp!$1:$1,0),4),"1",""),"2:",SUBSTITUTE(ADDRESS(1,MATCH(CONCATENATE(C448,":",D448,":",E448),Comp!$1:$1,0),4),"1",""),"99"))),0)</f>
        <v>0</v>
      </c>
    </row>
    <row r="449" spans="1:55">
      <c r="A449" s="20" t="s">
        <v>73</v>
      </c>
      <c r="B449" s="21"/>
      <c r="C449" s="20"/>
      <c r="D449" s="22"/>
      <c r="E449" s="22"/>
      <c r="F449" s="21"/>
      <c r="G449" s="23"/>
      <c r="H449" s="24"/>
      <c r="I449" s="22"/>
      <c r="J449" s="22"/>
      <c r="K449" s="22"/>
      <c r="L449" s="21"/>
      <c r="M449" s="20"/>
      <c r="N449" s="20"/>
      <c r="O449" s="23"/>
      <c r="P449" s="21"/>
      <c r="Q449" s="20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1"/>
      <c r="AU449" s="25" t="str">
        <f t="shared" si="12"/>
        <v>1Q42</v>
      </c>
      <c r="AV449" t="str">
        <f t="shared" si="13"/>
        <v>1Q42</v>
      </c>
      <c r="BA449">
        <f ca="1">IF(COUNTBLANK(C449)=0,COUNTA(INDIRECT(CONCATENATE("Area!",LEFT(ADDRESS(1,MATCH(C449,Area!$1:$1,0),4),1),"2:",LEFT(ADDRESS(1,MATCH(C449,Area!$1:$1,0),4),1),"99"))),0)</f>
        <v>0</v>
      </c>
      <c r="BB449">
        <f ca="1">IF(COUNTBLANK(D449)=0,COUNTA(INDIRECT(CONCATENATE("Setup!",LEFT(ADDRESS(1,MATCH(CONCATENATE(C449,":",D449),Setup!$1:$1,0),4),1),"2:",LEFT(ADDRESS(1,MATCH(CONCATENATE(C449,":",D449),Setup!$1:$1,0),4),1),"99"))),0)</f>
        <v>0</v>
      </c>
      <c r="BC449">
        <f ca="1">IF(COUNTBLANK(E449)=0,COUNTA(INDIRECT(CONCATENATE("Comp!",SUBSTITUTE(ADDRESS(1,MATCH(CONCATENATE(C449,":",D449,":",E449),Comp!$1:$1,0),4),"1",""),"2:",SUBSTITUTE(ADDRESS(1,MATCH(CONCATENATE(C449,":",D449,":",E449),Comp!$1:$1,0),4),"1",""),"99"))),0)</f>
        <v>0</v>
      </c>
    </row>
    <row r="450" spans="1:55">
      <c r="A450" s="20" t="s">
        <v>73</v>
      </c>
      <c r="B450" s="21"/>
      <c r="C450" s="20"/>
      <c r="D450" s="22"/>
      <c r="E450" s="22"/>
      <c r="F450" s="21"/>
      <c r="G450" s="23"/>
      <c r="H450" s="24"/>
      <c r="I450" s="22"/>
      <c r="J450" s="22"/>
      <c r="K450" s="22"/>
      <c r="L450" s="21"/>
      <c r="M450" s="20"/>
      <c r="N450" s="20"/>
      <c r="O450" s="23"/>
      <c r="P450" s="21"/>
      <c r="Q450" s="20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1"/>
      <c r="AU450" s="25" t="str">
        <f t="shared" si="12"/>
        <v>1Q42</v>
      </c>
      <c r="AV450" t="str">
        <f t="shared" si="13"/>
        <v>1Q42</v>
      </c>
      <c r="BA450">
        <f ca="1">IF(COUNTBLANK(C450)=0,COUNTA(INDIRECT(CONCATENATE("Area!",LEFT(ADDRESS(1,MATCH(C450,Area!$1:$1,0),4),1),"2:",LEFT(ADDRESS(1,MATCH(C450,Area!$1:$1,0),4),1),"99"))),0)</f>
        <v>0</v>
      </c>
      <c r="BB450">
        <f ca="1">IF(COUNTBLANK(D450)=0,COUNTA(INDIRECT(CONCATENATE("Setup!",LEFT(ADDRESS(1,MATCH(CONCATENATE(C450,":",D450),Setup!$1:$1,0),4),1),"2:",LEFT(ADDRESS(1,MATCH(CONCATENATE(C450,":",D450),Setup!$1:$1,0),4),1),"99"))),0)</f>
        <v>0</v>
      </c>
      <c r="BC450">
        <f ca="1">IF(COUNTBLANK(E450)=0,COUNTA(INDIRECT(CONCATENATE("Comp!",SUBSTITUTE(ADDRESS(1,MATCH(CONCATENATE(C450,":",D450,":",E450),Comp!$1:$1,0),4),"1",""),"2:",SUBSTITUTE(ADDRESS(1,MATCH(CONCATENATE(C450,":",D450,":",E450),Comp!$1:$1,0),4),"1",""),"99"))),0)</f>
        <v>0</v>
      </c>
    </row>
    <row r="451" spans="1:55">
      <c r="A451" s="20" t="s">
        <v>73</v>
      </c>
      <c r="B451" s="21"/>
      <c r="C451" s="20"/>
      <c r="D451" s="22"/>
      <c r="E451" s="22"/>
      <c r="F451" s="21"/>
      <c r="G451" s="23"/>
      <c r="H451" s="24"/>
      <c r="I451" s="22"/>
      <c r="J451" s="22"/>
      <c r="K451" s="22"/>
      <c r="L451" s="21"/>
      <c r="M451" s="20"/>
      <c r="N451" s="20"/>
      <c r="O451" s="23"/>
      <c r="P451" s="21"/>
      <c r="Q451" s="20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1"/>
      <c r="AU451" s="25" t="str">
        <f t="shared" si="12"/>
        <v>1Q42</v>
      </c>
      <c r="AV451" t="str">
        <f t="shared" si="13"/>
        <v>1Q42</v>
      </c>
      <c r="BA451">
        <f ca="1">IF(COUNTBLANK(C451)=0,COUNTA(INDIRECT(CONCATENATE("Area!",LEFT(ADDRESS(1,MATCH(C451,Area!$1:$1,0),4),1),"2:",LEFT(ADDRESS(1,MATCH(C451,Area!$1:$1,0),4),1),"99"))),0)</f>
        <v>0</v>
      </c>
      <c r="BB451">
        <f ca="1">IF(COUNTBLANK(D451)=0,COUNTA(INDIRECT(CONCATENATE("Setup!",LEFT(ADDRESS(1,MATCH(CONCATENATE(C451,":",D451),Setup!$1:$1,0),4),1),"2:",LEFT(ADDRESS(1,MATCH(CONCATENATE(C451,":",D451),Setup!$1:$1,0),4),1),"99"))),0)</f>
        <v>0</v>
      </c>
      <c r="BC451">
        <f ca="1">IF(COUNTBLANK(E451)=0,COUNTA(INDIRECT(CONCATENATE("Comp!",SUBSTITUTE(ADDRESS(1,MATCH(CONCATENATE(C451,":",D451,":",E451),Comp!$1:$1,0),4),"1",""),"2:",SUBSTITUTE(ADDRESS(1,MATCH(CONCATENATE(C451,":",D451,":",E451),Comp!$1:$1,0),4),"1",""),"99"))),0)</f>
        <v>0</v>
      </c>
    </row>
    <row r="452" spans="1:55">
      <c r="A452" s="20" t="s">
        <v>73</v>
      </c>
      <c r="B452" s="21"/>
      <c r="C452" s="20"/>
      <c r="D452" s="22"/>
      <c r="E452" s="22"/>
      <c r="F452" s="21"/>
      <c r="G452" s="23"/>
      <c r="H452" s="24"/>
      <c r="I452" s="22"/>
      <c r="J452" s="22"/>
      <c r="K452" s="22"/>
      <c r="L452" s="21"/>
      <c r="M452" s="20"/>
      <c r="N452" s="20"/>
      <c r="O452" s="23"/>
      <c r="P452" s="21"/>
      <c r="Q452" s="20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1"/>
      <c r="AU452" s="25" t="str">
        <f t="shared" si="12"/>
        <v>1Q42</v>
      </c>
      <c r="AV452" t="str">
        <f t="shared" si="13"/>
        <v>1Q42</v>
      </c>
      <c r="BA452">
        <f ca="1">IF(COUNTBLANK(C452)=0,COUNTA(INDIRECT(CONCATENATE("Area!",LEFT(ADDRESS(1,MATCH(C452,Area!$1:$1,0),4),1),"2:",LEFT(ADDRESS(1,MATCH(C452,Area!$1:$1,0),4),1),"99"))),0)</f>
        <v>0</v>
      </c>
      <c r="BB452">
        <f ca="1">IF(COUNTBLANK(D452)=0,COUNTA(INDIRECT(CONCATENATE("Setup!",LEFT(ADDRESS(1,MATCH(CONCATENATE(C452,":",D452),Setup!$1:$1,0),4),1),"2:",LEFT(ADDRESS(1,MATCH(CONCATENATE(C452,":",D452),Setup!$1:$1,0),4),1),"99"))),0)</f>
        <v>0</v>
      </c>
      <c r="BC452">
        <f ca="1">IF(COUNTBLANK(E452)=0,COUNTA(INDIRECT(CONCATENATE("Comp!",SUBSTITUTE(ADDRESS(1,MATCH(CONCATENATE(C452,":",D452,":",E452),Comp!$1:$1,0),4),"1",""),"2:",SUBSTITUTE(ADDRESS(1,MATCH(CONCATENATE(C452,":",D452,":",E452),Comp!$1:$1,0),4),"1",""),"99"))),0)</f>
        <v>0</v>
      </c>
    </row>
    <row r="453" spans="1:55">
      <c r="A453" s="20" t="s">
        <v>73</v>
      </c>
      <c r="B453" s="21"/>
      <c r="C453" s="20"/>
      <c r="D453" s="22"/>
      <c r="E453" s="22"/>
      <c r="F453" s="21"/>
      <c r="G453" s="23"/>
      <c r="H453" s="24"/>
      <c r="I453" s="22"/>
      <c r="J453" s="22"/>
      <c r="K453" s="22"/>
      <c r="L453" s="21"/>
      <c r="M453" s="20"/>
      <c r="N453" s="20"/>
      <c r="O453" s="23"/>
      <c r="P453" s="21"/>
      <c r="Q453" s="20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1"/>
      <c r="AU453" s="25" t="str">
        <f t="shared" si="12"/>
        <v>1Q42</v>
      </c>
      <c r="AV453" t="str">
        <f t="shared" si="13"/>
        <v>1Q42</v>
      </c>
      <c r="BA453">
        <f ca="1">IF(COUNTBLANK(C453)=0,COUNTA(INDIRECT(CONCATENATE("Area!",LEFT(ADDRESS(1,MATCH(C453,Area!$1:$1,0),4),1),"2:",LEFT(ADDRESS(1,MATCH(C453,Area!$1:$1,0),4),1),"99"))),0)</f>
        <v>0</v>
      </c>
      <c r="BB453">
        <f ca="1">IF(COUNTBLANK(D453)=0,COUNTA(INDIRECT(CONCATENATE("Setup!",LEFT(ADDRESS(1,MATCH(CONCATENATE(C453,":",D453),Setup!$1:$1,0),4),1),"2:",LEFT(ADDRESS(1,MATCH(CONCATENATE(C453,":",D453),Setup!$1:$1,0),4),1),"99"))),0)</f>
        <v>0</v>
      </c>
      <c r="BC453">
        <f ca="1">IF(COUNTBLANK(E453)=0,COUNTA(INDIRECT(CONCATENATE("Comp!",SUBSTITUTE(ADDRESS(1,MATCH(CONCATENATE(C453,":",D453,":",E453),Comp!$1:$1,0),4),"1",""),"2:",SUBSTITUTE(ADDRESS(1,MATCH(CONCATENATE(C453,":",D453,":",E453),Comp!$1:$1,0),4),"1",""),"99"))),0)</f>
        <v>0</v>
      </c>
    </row>
    <row r="454" spans="1:55">
      <c r="A454" s="20" t="s">
        <v>73</v>
      </c>
      <c r="B454" s="21"/>
      <c r="C454" s="20"/>
      <c r="D454" s="22"/>
      <c r="E454" s="22"/>
      <c r="F454" s="21"/>
      <c r="G454" s="23"/>
      <c r="H454" s="24"/>
      <c r="I454" s="22"/>
      <c r="J454" s="22"/>
      <c r="K454" s="22"/>
      <c r="L454" s="21"/>
      <c r="M454" s="20"/>
      <c r="N454" s="20"/>
      <c r="O454" s="23"/>
      <c r="P454" s="21"/>
      <c r="Q454" s="20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1"/>
      <c r="AU454" s="25" t="str">
        <f t="shared" si="12"/>
        <v>1Q42</v>
      </c>
      <c r="AV454" t="str">
        <f t="shared" si="13"/>
        <v>1Q42</v>
      </c>
      <c r="BA454">
        <f ca="1">IF(COUNTBLANK(C454)=0,COUNTA(INDIRECT(CONCATENATE("Area!",LEFT(ADDRESS(1,MATCH(C454,Area!$1:$1,0),4),1),"2:",LEFT(ADDRESS(1,MATCH(C454,Area!$1:$1,0),4),1),"99"))),0)</f>
        <v>0</v>
      </c>
      <c r="BB454">
        <f ca="1">IF(COUNTBLANK(D454)=0,COUNTA(INDIRECT(CONCATENATE("Setup!",LEFT(ADDRESS(1,MATCH(CONCATENATE(C454,":",D454),Setup!$1:$1,0),4),1),"2:",LEFT(ADDRESS(1,MATCH(CONCATENATE(C454,":",D454),Setup!$1:$1,0),4),1),"99"))),0)</f>
        <v>0</v>
      </c>
      <c r="BC454">
        <f ca="1">IF(COUNTBLANK(E454)=0,COUNTA(INDIRECT(CONCATENATE("Comp!",SUBSTITUTE(ADDRESS(1,MATCH(CONCATENATE(C454,":",D454,":",E454),Comp!$1:$1,0),4),"1",""),"2:",SUBSTITUTE(ADDRESS(1,MATCH(CONCATENATE(C454,":",D454,":",E454),Comp!$1:$1,0),4),"1",""),"99"))),0)</f>
        <v>0</v>
      </c>
    </row>
    <row r="455" spans="1:55">
      <c r="A455" s="20" t="s">
        <v>73</v>
      </c>
      <c r="B455" s="21"/>
      <c r="C455" s="20"/>
      <c r="D455" s="22"/>
      <c r="E455" s="22"/>
      <c r="F455" s="21"/>
      <c r="G455" s="23"/>
      <c r="H455" s="24"/>
      <c r="I455" s="22"/>
      <c r="J455" s="22"/>
      <c r="K455" s="22"/>
      <c r="L455" s="21"/>
      <c r="M455" s="20"/>
      <c r="N455" s="20"/>
      <c r="O455" s="23"/>
      <c r="P455" s="21"/>
      <c r="Q455" s="20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1"/>
      <c r="AU455" s="25" t="str">
        <f t="shared" si="12"/>
        <v>1Q42</v>
      </c>
      <c r="AV455" t="str">
        <f t="shared" si="13"/>
        <v>1Q42</v>
      </c>
      <c r="BA455">
        <f ca="1">IF(COUNTBLANK(C455)=0,COUNTA(INDIRECT(CONCATENATE("Area!",LEFT(ADDRESS(1,MATCH(C455,Area!$1:$1,0),4),1),"2:",LEFT(ADDRESS(1,MATCH(C455,Area!$1:$1,0),4),1),"99"))),0)</f>
        <v>0</v>
      </c>
      <c r="BB455">
        <f ca="1">IF(COUNTBLANK(D455)=0,COUNTA(INDIRECT(CONCATENATE("Setup!",LEFT(ADDRESS(1,MATCH(CONCATENATE(C455,":",D455),Setup!$1:$1,0),4),1),"2:",LEFT(ADDRESS(1,MATCH(CONCATENATE(C455,":",D455),Setup!$1:$1,0),4),1),"99"))),0)</f>
        <v>0</v>
      </c>
      <c r="BC455">
        <f ca="1">IF(COUNTBLANK(E455)=0,COUNTA(INDIRECT(CONCATENATE("Comp!",SUBSTITUTE(ADDRESS(1,MATCH(CONCATENATE(C455,":",D455,":",E455),Comp!$1:$1,0),4),"1",""),"2:",SUBSTITUTE(ADDRESS(1,MATCH(CONCATENATE(C455,":",D455,":",E455),Comp!$1:$1,0),4),"1",""),"99"))),0)</f>
        <v>0</v>
      </c>
    </row>
    <row r="456" spans="1:55">
      <c r="A456" s="20" t="s">
        <v>73</v>
      </c>
      <c r="B456" s="21"/>
      <c r="C456" s="20"/>
      <c r="D456" s="22"/>
      <c r="E456" s="22"/>
      <c r="F456" s="21"/>
      <c r="G456" s="23"/>
      <c r="H456" s="24"/>
      <c r="I456" s="22"/>
      <c r="J456" s="22"/>
      <c r="K456" s="22"/>
      <c r="L456" s="21"/>
      <c r="M456" s="20"/>
      <c r="N456" s="20"/>
      <c r="O456" s="23"/>
      <c r="P456" s="21"/>
      <c r="Q456" s="20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1"/>
      <c r="AU456" s="25" t="str">
        <f t="shared" si="12"/>
        <v>1Q42</v>
      </c>
      <c r="AV456" t="str">
        <f t="shared" si="13"/>
        <v>1Q42</v>
      </c>
      <c r="BA456">
        <f ca="1">IF(COUNTBLANK(C456)=0,COUNTA(INDIRECT(CONCATENATE("Area!",LEFT(ADDRESS(1,MATCH(C456,Area!$1:$1,0),4),1),"2:",LEFT(ADDRESS(1,MATCH(C456,Area!$1:$1,0),4),1),"99"))),0)</f>
        <v>0</v>
      </c>
      <c r="BB456">
        <f ca="1">IF(COUNTBLANK(D456)=0,COUNTA(INDIRECT(CONCATENATE("Setup!",LEFT(ADDRESS(1,MATCH(CONCATENATE(C456,":",D456),Setup!$1:$1,0),4),1),"2:",LEFT(ADDRESS(1,MATCH(CONCATENATE(C456,":",D456),Setup!$1:$1,0),4),1),"99"))),0)</f>
        <v>0</v>
      </c>
      <c r="BC456">
        <f ca="1">IF(COUNTBLANK(E456)=0,COUNTA(INDIRECT(CONCATENATE("Comp!",SUBSTITUTE(ADDRESS(1,MATCH(CONCATENATE(C456,":",D456,":",E456),Comp!$1:$1,0),4),"1",""),"2:",SUBSTITUTE(ADDRESS(1,MATCH(CONCATENATE(C456,":",D456,":",E456),Comp!$1:$1,0),4),"1",""),"99"))),0)</f>
        <v>0</v>
      </c>
    </row>
    <row r="457" spans="1:55">
      <c r="A457" s="20" t="s">
        <v>73</v>
      </c>
      <c r="B457" s="21"/>
      <c r="C457" s="20"/>
      <c r="D457" s="22"/>
      <c r="E457" s="22"/>
      <c r="F457" s="21"/>
      <c r="G457" s="23"/>
      <c r="H457" s="24"/>
      <c r="I457" s="22"/>
      <c r="J457" s="22"/>
      <c r="K457" s="22"/>
      <c r="L457" s="21"/>
      <c r="M457" s="20"/>
      <c r="N457" s="20"/>
      <c r="O457" s="23"/>
      <c r="P457" s="21"/>
      <c r="Q457" s="20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1"/>
      <c r="AU457" s="25" t="str">
        <f t="shared" ref="AU457:AU520" si="14">CONCATENATE(A457,B457)</f>
        <v>1Q42</v>
      </c>
      <c r="AV457" t="str">
        <f t="shared" ref="AV457:AV520" si="15">CONCATENATE(A457,B457)</f>
        <v>1Q42</v>
      </c>
      <c r="BA457">
        <f ca="1">IF(COUNTBLANK(C457)=0,COUNTA(INDIRECT(CONCATENATE("Area!",LEFT(ADDRESS(1,MATCH(C457,Area!$1:$1,0),4),1),"2:",LEFT(ADDRESS(1,MATCH(C457,Area!$1:$1,0),4),1),"99"))),0)</f>
        <v>0</v>
      </c>
      <c r="BB457">
        <f ca="1">IF(COUNTBLANK(D457)=0,COUNTA(INDIRECT(CONCATENATE("Setup!",LEFT(ADDRESS(1,MATCH(CONCATENATE(C457,":",D457),Setup!$1:$1,0),4),1),"2:",LEFT(ADDRESS(1,MATCH(CONCATENATE(C457,":",D457),Setup!$1:$1,0),4),1),"99"))),0)</f>
        <v>0</v>
      </c>
      <c r="BC457">
        <f ca="1">IF(COUNTBLANK(E457)=0,COUNTA(INDIRECT(CONCATENATE("Comp!",SUBSTITUTE(ADDRESS(1,MATCH(CONCATENATE(C457,":",D457,":",E457),Comp!$1:$1,0),4),"1",""),"2:",SUBSTITUTE(ADDRESS(1,MATCH(CONCATENATE(C457,":",D457,":",E457),Comp!$1:$1,0),4),"1",""),"99"))),0)</f>
        <v>0</v>
      </c>
    </row>
    <row r="458" spans="1:55">
      <c r="A458" s="20" t="s">
        <v>73</v>
      </c>
      <c r="B458" s="21"/>
      <c r="C458" s="20"/>
      <c r="D458" s="22"/>
      <c r="E458" s="22"/>
      <c r="F458" s="21"/>
      <c r="G458" s="23"/>
      <c r="H458" s="24"/>
      <c r="I458" s="22"/>
      <c r="J458" s="22"/>
      <c r="K458" s="22"/>
      <c r="L458" s="21"/>
      <c r="M458" s="20"/>
      <c r="N458" s="20"/>
      <c r="O458" s="23"/>
      <c r="P458" s="21"/>
      <c r="Q458" s="20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1"/>
      <c r="AU458" s="25" t="str">
        <f t="shared" si="14"/>
        <v>1Q42</v>
      </c>
      <c r="AV458" t="str">
        <f t="shared" si="15"/>
        <v>1Q42</v>
      </c>
      <c r="BA458">
        <f ca="1">IF(COUNTBLANK(C458)=0,COUNTA(INDIRECT(CONCATENATE("Area!",LEFT(ADDRESS(1,MATCH(C458,Area!$1:$1,0),4),1),"2:",LEFT(ADDRESS(1,MATCH(C458,Area!$1:$1,0),4),1),"99"))),0)</f>
        <v>0</v>
      </c>
      <c r="BB458">
        <f ca="1">IF(COUNTBLANK(D458)=0,COUNTA(INDIRECT(CONCATENATE("Setup!",LEFT(ADDRESS(1,MATCH(CONCATENATE(C458,":",D458),Setup!$1:$1,0),4),1),"2:",LEFT(ADDRESS(1,MATCH(CONCATENATE(C458,":",D458),Setup!$1:$1,0),4),1),"99"))),0)</f>
        <v>0</v>
      </c>
      <c r="BC458">
        <f ca="1">IF(COUNTBLANK(E458)=0,COUNTA(INDIRECT(CONCATENATE("Comp!",SUBSTITUTE(ADDRESS(1,MATCH(CONCATENATE(C458,":",D458,":",E458),Comp!$1:$1,0),4),"1",""),"2:",SUBSTITUTE(ADDRESS(1,MATCH(CONCATENATE(C458,":",D458,":",E458),Comp!$1:$1,0),4),"1",""),"99"))),0)</f>
        <v>0</v>
      </c>
    </row>
    <row r="459" spans="1:55">
      <c r="A459" s="20" t="s">
        <v>73</v>
      </c>
      <c r="B459" s="21"/>
      <c r="C459" s="20"/>
      <c r="D459" s="22"/>
      <c r="E459" s="22"/>
      <c r="F459" s="21"/>
      <c r="G459" s="23"/>
      <c r="H459" s="24"/>
      <c r="I459" s="22"/>
      <c r="J459" s="22"/>
      <c r="K459" s="22"/>
      <c r="L459" s="21"/>
      <c r="M459" s="20"/>
      <c r="N459" s="20"/>
      <c r="O459" s="23"/>
      <c r="P459" s="21"/>
      <c r="Q459" s="20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1"/>
      <c r="AU459" s="25" t="str">
        <f t="shared" si="14"/>
        <v>1Q42</v>
      </c>
      <c r="AV459" t="str">
        <f t="shared" si="15"/>
        <v>1Q42</v>
      </c>
      <c r="BA459">
        <f ca="1">IF(COUNTBLANK(C459)=0,COUNTA(INDIRECT(CONCATENATE("Area!",LEFT(ADDRESS(1,MATCH(C459,Area!$1:$1,0),4),1),"2:",LEFT(ADDRESS(1,MATCH(C459,Area!$1:$1,0),4),1),"99"))),0)</f>
        <v>0</v>
      </c>
      <c r="BB459">
        <f ca="1">IF(COUNTBLANK(D459)=0,COUNTA(INDIRECT(CONCATENATE("Setup!",LEFT(ADDRESS(1,MATCH(CONCATENATE(C459,":",D459),Setup!$1:$1,0),4),1),"2:",LEFT(ADDRESS(1,MATCH(CONCATENATE(C459,":",D459),Setup!$1:$1,0),4),1),"99"))),0)</f>
        <v>0</v>
      </c>
      <c r="BC459">
        <f ca="1">IF(COUNTBLANK(E459)=0,COUNTA(INDIRECT(CONCATENATE("Comp!",SUBSTITUTE(ADDRESS(1,MATCH(CONCATENATE(C459,":",D459,":",E459),Comp!$1:$1,0),4),"1",""),"2:",SUBSTITUTE(ADDRESS(1,MATCH(CONCATENATE(C459,":",D459,":",E459),Comp!$1:$1,0),4),"1",""),"99"))),0)</f>
        <v>0</v>
      </c>
    </row>
    <row r="460" spans="1:55">
      <c r="A460" s="20" t="s">
        <v>73</v>
      </c>
      <c r="B460" s="21"/>
      <c r="C460" s="20"/>
      <c r="D460" s="22"/>
      <c r="E460" s="22"/>
      <c r="F460" s="21"/>
      <c r="G460" s="23"/>
      <c r="H460" s="24"/>
      <c r="I460" s="22"/>
      <c r="J460" s="22"/>
      <c r="K460" s="22"/>
      <c r="L460" s="21"/>
      <c r="M460" s="20"/>
      <c r="N460" s="20"/>
      <c r="O460" s="23"/>
      <c r="P460" s="21"/>
      <c r="Q460" s="20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1"/>
      <c r="AU460" s="25" t="str">
        <f t="shared" si="14"/>
        <v>1Q42</v>
      </c>
      <c r="AV460" t="str">
        <f t="shared" si="15"/>
        <v>1Q42</v>
      </c>
      <c r="BA460">
        <f ca="1">IF(COUNTBLANK(C460)=0,COUNTA(INDIRECT(CONCATENATE("Area!",LEFT(ADDRESS(1,MATCH(C460,Area!$1:$1,0),4),1),"2:",LEFT(ADDRESS(1,MATCH(C460,Area!$1:$1,0),4),1),"99"))),0)</f>
        <v>0</v>
      </c>
      <c r="BB460">
        <f ca="1">IF(COUNTBLANK(D460)=0,COUNTA(INDIRECT(CONCATENATE("Setup!",LEFT(ADDRESS(1,MATCH(CONCATENATE(C460,":",D460),Setup!$1:$1,0),4),1),"2:",LEFT(ADDRESS(1,MATCH(CONCATENATE(C460,":",D460),Setup!$1:$1,0),4),1),"99"))),0)</f>
        <v>0</v>
      </c>
      <c r="BC460">
        <f ca="1">IF(COUNTBLANK(E460)=0,COUNTA(INDIRECT(CONCATENATE("Comp!",SUBSTITUTE(ADDRESS(1,MATCH(CONCATENATE(C460,":",D460,":",E460),Comp!$1:$1,0),4),"1",""),"2:",SUBSTITUTE(ADDRESS(1,MATCH(CONCATENATE(C460,":",D460,":",E460),Comp!$1:$1,0),4),"1",""),"99"))),0)</f>
        <v>0</v>
      </c>
    </row>
    <row r="461" spans="1:55">
      <c r="A461" s="20" t="s">
        <v>73</v>
      </c>
      <c r="B461" s="21"/>
      <c r="C461" s="20"/>
      <c r="D461" s="22"/>
      <c r="E461" s="22"/>
      <c r="F461" s="21"/>
      <c r="G461" s="23"/>
      <c r="H461" s="24"/>
      <c r="I461" s="22"/>
      <c r="J461" s="22"/>
      <c r="K461" s="22"/>
      <c r="L461" s="21"/>
      <c r="M461" s="20"/>
      <c r="N461" s="20"/>
      <c r="O461" s="23"/>
      <c r="P461" s="21"/>
      <c r="Q461" s="20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1"/>
      <c r="AU461" s="25" t="str">
        <f t="shared" si="14"/>
        <v>1Q42</v>
      </c>
      <c r="AV461" t="str">
        <f t="shared" si="15"/>
        <v>1Q42</v>
      </c>
      <c r="BA461">
        <f ca="1">IF(COUNTBLANK(C461)=0,COUNTA(INDIRECT(CONCATENATE("Area!",LEFT(ADDRESS(1,MATCH(C461,Area!$1:$1,0),4),1),"2:",LEFT(ADDRESS(1,MATCH(C461,Area!$1:$1,0),4),1),"99"))),0)</f>
        <v>0</v>
      </c>
      <c r="BB461">
        <f ca="1">IF(COUNTBLANK(D461)=0,COUNTA(INDIRECT(CONCATENATE("Setup!",LEFT(ADDRESS(1,MATCH(CONCATENATE(C461,":",D461),Setup!$1:$1,0),4),1),"2:",LEFT(ADDRESS(1,MATCH(CONCATENATE(C461,":",D461),Setup!$1:$1,0),4),1),"99"))),0)</f>
        <v>0</v>
      </c>
      <c r="BC461">
        <f ca="1">IF(COUNTBLANK(E461)=0,COUNTA(INDIRECT(CONCATENATE("Comp!",SUBSTITUTE(ADDRESS(1,MATCH(CONCATENATE(C461,":",D461,":",E461),Comp!$1:$1,0),4),"1",""),"2:",SUBSTITUTE(ADDRESS(1,MATCH(CONCATENATE(C461,":",D461,":",E461),Comp!$1:$1,0),4),"1",""),"99"))),0)</f>
        <v>0</v>
      </c>
    </row>
    <row r="462" spans="1:55">
      <c r="A462" s="20" t="s">
        <v>73</v>
      </c>
      <c r="B462" s="21"/>
      <c r="C462" s="20"/>
      <c r="D462" s="22"/>
      <c r="E462" s="22"/>
      <c r="F462" s="21"/>
      <c r="G462" s="23"/>
      <c r="H462" s="24"/>
      <c r="I462" s="22"/>
      <c r="J462" s="22"/>
      <c r="K462" s="22"/>
      <c r="L462" s="21"/>
      <c r="M462" s="20"/>
      <c r="N462" s="20"/>
      <c r="O462" s="23"/>
      <c r="P462" s="21"/>
      <c r="Q462" s="20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1"/>
      <c r="AU462" s="25" t="str">
        <f t="shared" si="14"/>
        <v>1Q42</v>
      </c>
      <c r="AV462" t="str">
        <f t="shared" si="15"/>
        <v>1Q42</v>
      </c>
      <c r="BA462">
        <f ca="1">IF(COUNTBLANK(C462)=0,COUNTA(INDIRECT(CONCATENATE("Area!",LEFT(ADDRESS(1,MATCH(C462,Area!$1:$1,0),4),1),"2:",LEFT(ADDRESS(1,MATCH(C462,Area!$1:$1,0),4),1),"99"))),0)</f>
        <v>0</v>
      </c>
      <c r="BB462">
        <f ca="1">IF(COUNTBLANK(D462)=0,COUNTA(INDIRECT(CONCATENATE("Setup!",LEFT(ADDRESS(1,MATCH(CONCATENATE(C462,":",D462),Setup!$1:$1,0),4),1),"2:",LEFT(ADDRESS(1,MATCH(CONCATENATE(C462,":",D462),Setup!$1:$1,0),4),1),"99"))),0)</f>
        <v>0</v>
      </c>
      <c r="BC462">
        <f ca="1">IF(COUNTBLANK(E462)=0,COUNTA(INDIRECT(CONCATENATE("Comp!",SUBSTITUTE(ADDRESS(1,MATCH(CONCATENATE(C462,":",D462,":",E462),Comp!$1:$1,0),4),"1",""),"2:",SUBSTITUTE(ADDRESS(1,MATCH(CONCATENATE(C462,":",D462,":",E462),Comp!$1:$1,0),4),"1",""),"99"))),0)</f>
        <v>0</v>
      </c>
    </row>
    <row r="463" spans="1:55">
      <c r="A463" s="20" t="s">
        <v>73</v>
      </c>
      <c r="B463" s="21"/>
      <c r="C463" s="20"/>
      <c r="D463" s="22"/>
      <c r="E463" s="22"/>
      <c r="F463" s="21"/>
      <c r="G463" s="23"/>
      <c r="H463" s="24"/>
      <c r="I463" s="22"/>
      <c r="J463" s="22"/>
      <c r="K463" s="22"/>
      <c r="L463" s="21"/>
      <c r="M463" s="20"/>
      <c r="N463" s="20"/>
      <c r="O463" s="23"/>
      <c r="P463" s="21"/>
      <c r="Q463" s="20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1"/>
      <c r="AU463" s="25" t="str">
        <f t="shared" si="14"/>
        <v>1Q42</v>
      </c>
      <c r="AV463" t="str">
        <f t="shared" si="15"/>
        <v>1Q42</v>
      </c>
      <c r="BA463">
        <f ca="1">IF(COUNTBLANK(C463)=0,COUNTA(INDIRECT(CONCATENATE("Area!",LEFT(ADDRESS(1,MATCH(C463,Area!$1:$1,0),4),1),"2:",LEFT(ADDRESS(1,MATCH(C463,Area!$1:$1,0),4),1),"99"))),0)</f>
        <v>0</v>
      </c>
      <c r="BB463">
        <f ca="1">IF(COUNTBLANK(D463)=0,COUNTA(INDIRECT(CONCATENATE("Setup!",LEFT(ADDRESS(1,MATCH(CONCATENATE(C463,":",D463),Setup!$1:$1,0),4),1),"2:",LEFT(ADDRESS(1,MATCH(CONCATENATE(C463,":",D463),Setup!$1:$1,0),4),1),"99"))),0)</f>
        <v>0</v>
      </c>
      <c r="BC463">
        <f ca="1">IF(COUNTBLANK(E463)=0,COUNTA(INDIRECT(CONCATENATE("Comp!",SUBSTITUTE(ADDRESS(1,MATCH(CONCATENATE(C463,":",D463,":",E463),Comp!$1:$1,0),4),"1",""),"2:",SUBSTITUTE(ADDRESS(1,MATCH(CONCATENATE(C463,":",D463,":",E463),Comp!$1:$1,0),4),"1",""),"99"))),0)</f>
        <v>0</v>
      </c>
    </row>
    <row r="464" spans="1:55">
      <c r="A464" s="20" t="s">
        <v>73</v>
      </c>
      <c r="B464" s="21"/>
      <c r="C464" s="20"/>
      <c r="D464" s="22"/>
      <c r="E464" s="22"/>
      <c r="F464" s="21"/>
      <c r="G464" s="23"/>
      <c r="H464" s="24"/>
      <c r="I464" s="22"/>
      <c r="J464" s="22"/>
      <c r="K464" s="22"/>
      <c r="L464" s="21"/>
      <c r="M464" s="20"/>
      <c r="N464" s="20"/>
      <c r="O464" s="23"/>
      <c r="P464" s="21"/>
      <c r="Q464" s="20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1"/>
      <c r="AU464" s="25" t="str">
        <f t="shared" si="14"/>
        <v>1Q42</v>
      </c>
      <c r="AV464" t="str">
        <f t="shared" si="15"/>
        <v>1Q42</v>
      </c>
      <c r="BA464">
        <f ca="1">IF(COUNTBLANK(C464)=0,COUNTA(INDIRECT(CONCATENATE("Area!",LEFT(ADDRESS(1,MATCH(C464,Area!$1:$1,0),4),1),"2:",LEFT(ADDRESS(1,MATCH(C464,Area!$1:$1,0),4),1),"99"))),0)</f>
        <v>0</v>
      </c>
      <c r="BB464">
        <f ca="1">IF(COUNTBLANK(D464)=0,COUNTA(INDIRECT(CONCATENATE("Setup!",LEFT(ADDRESS(1,MATCH(CONCATENATE(C464,":",D464),Setup!$1:$1,0),4),1),"2:",LEFT(ADDRESS(1,MATCH(CONCATENATE(C464,":",D464),Setup!$1:$1,0),4),1),"99"))),0)</f>
        <v>0</v>
      </c>
      <c r="BC464">
        <f ca="1">IF(COUNTBLANK(E464)=0,COUNTA(INDIRECT(CONCATENATE("Comp!",SUBSTITUTE(ADDRESS(1,MATCH(CONCATENATE(C464,":",D464,":",E464),Comp!$1:$1,0),4),"1",""),"2:",SUBSTITUTE(ADDRESS(1,MATCH(CONCATENATE(C464,":",D464,":",E464),Comp!$1:$1,0),4),"1",""),"99"))),0)</f>
        <v>0</v>
      </c>
    </row>
    <row r="465" spans="1:55">
      <c r="A465" s="20" t="s">
        <v>73</v>
      </c>
      <c r="B465" s="21"/>
      <c r="C465" s="20"/>
      <c r="D465" s="22"/>
      <c r="E465" s="22"/>
      <c r="F465" s="21"/>
      <c r="G465" s="23"/>
      <c r="H465" s="24"/>
      <c r="I465" s="22"/>
      <c r="J465" s="22"/>
      <c r="K465" s="22"/>
      <c r="L465" s="21"/>
      <c r="M465" s="20"/>
      <c r="N465" s="20"/>
      <c r="O465" s="23"/>
      <c r="P465" s="21"/>
      <c r="Q465" s="20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1"/>
      <c r="AU465" s="25" t="str">
        <f t="shared" si="14"/>
        <v>1Q42</v>
      </c>
      <c r="AV465" t="str">
        <f t="shared" si="15"/>
        <v>1Q42</v>
      </c>
      <c r="BA465">
        <f ca="1">IF(COUNTBLANK(C465)=0,COUNTA(INDIRECT(CONCATENATE("Area!",LEFT(ADDRESS(1,MATCH(C465,Area!$1:$1,0),4),1),"2:",LEFT(ADDRESS(1,MATCH(C465,Area!$1:$1,0),4),1),"99"))),0)</f>
        <v>0</v>
      </c>
      <c r="BB465">
        <f ca="1">IF(COUNTBLANK(D465)=0,COUNTA(INDIRECT(CONCATENATE("Setup!",LEFT(ADDRESS(1,MATCH(CONCATENATE(C465,":",D465),Setup!$1:$1,0),4),1),"2:",LEFT(ADDRESS(1,MATCH(CONCATENATE(C465,":",D465),Setup!$1:$1,0),4),1),"99"))),0)</f>
        <v>0</v>
      </c>
      <c r="BC465">
        <f ca="1">IF(COUNTBLANK(E465)=0,COUNTA(INDIRECT(CONCATENATE("Comp!",SUBSTITUTE(ADDRESS(1,MATCH(CONCATENATE(C465,":",D465,":",E465),Comp!$1:$1,0),4),"1",""),"2:",SUBSTITUTE(ADDRESS(1,MATCH(CONCATENATE(C465,":",D465,":",E465),Comp!$1:$1,0),4),"1",""),"99"))),0)</f>
        <v>0</v>
      </c>
    </row>
    <row r="466" spans="1:55">
      <c r="A466" s="20" t="s">
        <v>73</v>
      </c>
      <c r="B466" s="21"/>
      <c r="C466" s="20"/>
      <c r="D466" s="22"/>
      <c r="E466" s="22"/>
      <c r="F466" s="21"/>
      <c r="G466" s="23"/>
      <c r="H466" s="24"/>
      <c r="I466" s="22"/>
      <c r="J466" s="22"/>
      <c r="K466" s="22"/>
      <c r="L466" s="21"/>
      <c r="M466" s="20"/>
      <c r="N466" s="20"/>
      <c r="O466" s="23"/>
      <c r="P466" s="21"/>
      <c r="Q466" s="20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1"/>
      <c r="AU466" s="25" t="str">
        <f t="shared" si="14"/>
        <v>1Q42</v>
      </c>
      <c r="AV466" t="str">
        <f t="shared" si="15"/>
        <v>1Q42</v>
      </c>
      <c r="BA466">
        <f ca="1">IF(COUNTBLANK(C466)=0,COUNTA(INDIRECT(CONCATENATE("Area!",LEFT(ADDRESS(1,MATCH(C466,Area!$1:$1,0),4),1),"2:",LEFT(ADDRESS(1,MATCH(C466,Area!$1:$1,0),4),1),"99"))),0)</f>
        <v>0</v>
      </c>
      <c r="BB466">
        <f ca="1">IF(COUNTBLANK(D466)=0,COUNTA(INDIRECT(CONCATENATE("Setup!",LEFT(ADDRESS(1,MATCH(CONCATENATE(C466,":",D466),Setup!$1:$1,0),4),1),"2:",LEFT(ADDRESS(1,MATCH(CONCATENATE(C466,":",D466),Setup!$1:$1,0),4),1),"99"))),0)</f>
        <v>0</v>
      </c>
      <c r="BC466">
        <f ca="1">IF(COUNTBLANK(E466)=0,COUNTA(INDIRECT(CONCATENATE("Comp!",SUBSTITUTE(ADDRESS(1,MATCH(CONCATENATE(C466,":",D466,":",E466),Comp!$1:$1,0),4),"1",""),"2:",SUBSTITUTE(ADDRESS(1,MATCH(CONCATENATE(C466,":",D466,":",E466),Comp!$1:$1,0),4),"1",""),"99"))),0)</f>
        <v>0</v>
      </c>
    </row>
    <row r="467" spans="1:55">
      <c r="A467" s="20" t="s">
        <v>73</v>
      </c>
      <c r="B467" s="21"/>
      <c r="C467" s="20"/>
      <c r="D467" s="22"/>
      <c r="E467" s="22"/>
      <c r="F467" s="21"/>
      <c r="G467" s="23"/>
      <c r="H467" s="24"/>
      <c r="I467" s="22"/>
      <c r="J467" s="22"/>
      <c r="K467" s="22"/>
      <c r="L467" s="21"/>
      <c r="M467" s="20"/>
      <c r="N467" s="20"/>
      <c r="O467" s="23"/>
      <c r="P467" s="21"/>
      <c r="Q467" s="20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1"/>
      <c r="AU467" s="25" t="str">
        <f t="shared" si="14"/>
        <v>1Q42</v>
      </c>
      <c r="AV467" t="str">
        <f t="shared" si="15"/>
        <v>1Q42</v>
      </c>
      <c r="BA467">
        <f ca="1">IF(COUNTBLANK(C467)=0,COUNTA(INDIRECT(CONCATENATE("Area!",LEFT(ADDRESS(1,MATCH(C467,Area!$1:$1,0),4),1),"2:",LEFT(ADDRESS(1,MATCH(C467,Area!$1:$1,0),4),1),"99"))),0)</f>
        <v>0</v>
      </c>
      <c r="BB467">
        <f ca="1">IF(COUNTBLANK(D467)=0,COUNTA(INDIRECT(CONCATENATE("Setup!",LEFT(ADDRESS(1,MATCH(CONCATENATE(C467,":",D467),Setup!$1:$1,0),4),1),"2:",LEFT(ADDRESS(1,MATCH(CONCATENATE(C467,":",D467),Setup!$1:$1,0),4),1),"99"))),0)</f>
        <v>0</v>
      </c>
      <c r="BC467">
        <f ca="1">IF(COUNTBLANK(E467)=0,COUNTA(INDIRECT(CONCATENATE("Comp!",SUBSTITUTE(ADDRESS(1,MATCH(CONCATENATE(C467,":",D467,":",E467),Comp!$1:$1,0),4),"1",""),"2:",SUBSTITUTE(ADDRESS(1,MATCH(CONCATENATE(C467,":",D467,":",E467),Comp!$1:$1,0),4),"1",""),"99"))),0)</f>
        <v>0</v>
      </c>
    </row>
    <row r="468" spans="1:55">
      <c r="A468" s="20" t="s">
        <v>73</v>
      </c>
      <c r="B468" s="21"/>
      <c r="C468" s="20"/>
      <c r="D468" s="22"/>
      <c r="E468" s="22"/>
      <c r="F468" s="21"/>
      <c r="G468" s="23"/>
      <c r="H468" s="24"/>
      <c r="I468" s="22"/>
      <c r="J468" s="22"/>
      <c r="K468" s="22"/>
      <c r="L468" s="21"/>
      <c r="M468" s="20"/>
      <c r="N468" s="20"/>
      <c r="O468" s="23"/>
      <c r="P468" s="21"/>
      <c r="Q468" s="20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1"/>
      <c r="AU468" s="25" t="str">
        <f t="shared" si="14"/>
        <v>1Q42</v>
      </c>
      <c r="AV468" t="str">
        <f t="shared" si="15"/>
        <v>1Q42</v>
      </c>
      <c r="BA468">
        <f ca="1">IF(COUNTBLANK(C468)=0,COUNTA(INDIRECT(CONCATENATE("Area!",LEFT(ADDRESS(1,MATCH(C468,Area!$1:$1,0),4),1),"2:",LEFT(ADDRESS(1,MATCH(C468,Area!$1:$1,0),4),1),"99"))),0)</f>
        <v>0</v>
      </c>
      <c r="BB468">
        <f ca="1">IF(COUNTBLANK(D468)=0,COUNTA(INDIRECT(CONCATENATE("Setup!",LEFT(ADDRESS(1,MATCH(CONCATENATE(C468,":",D468),Setup!$1:$1,0),4),1),"2:",LEFT(ADDRESS(1,MATCH(CONCATENATE(C468,":",D468),Setup!$1:$1,0),4),1),"99"))),0)</f>
        <v>0</v>
      </c>
      <c r="BC468">
        <f ca="1">IF(COUNTBLANK(E468)=0,COUNTA(INDIRECT(CONCATENATE("Comp!",SUBSTITUTE(ADDRESS(1,MATCH(CONCATENATE(C468,":",D468,":",E468),Comp!$1:$1,0),4),"1",""),"2:",SUBSTITUTE(ADDRESS(1,MATCH(CONCATENATE(C468,":",D468,":",E468),Comp!$1:$1,0),4),"1",""),"99"))),0)</f>
        <v>0</v>
      </c>
    </row>
    <row r="469" spans="1:55">
      <c r="A469" s="20" t="s">
        <v>73</v>
      </c>
      <c r="B469" s="21"/>
      <c r="C469" s="20"/>
      <c r="D469" s="22"/>
      <c r="E469" s="22"/>
      <c r="F469" s="21"/>
      <c r="G469" s="23"/>
      <c r="H469" s="24"/>
      <c r="I469" s="22"/>
      <c r="J469" s="22"/>
      <c r="K469" s="22"/>
      <c r="L469" s="21"/>
      <c r="M469" s="20"/>
      <c r="N469" s="20"/>
      <c r="O469" s="23"/>
      <c r="P469" s="21"/>
      <c r="Q469" s="20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1"/>
      <c r="AU469" s="25" t="str">
        <f t="shared" si="14"/>
        <v>1Q42</v>
      </c>
      <c r="AV469" t="str">
        <f t="shared" si="15"/>
        <v>1Q42</v>
      </c>
      <c r="BA469">
        <f ca="1">IF(COUNTBLANK(C469)=0,COUNTA(INDIRECT(CONCATENATE("Area!",LEFT(ADDRESS(1,MATCH(C469,Area!$1:$1,0),4),1),"2:",LEFT(ADDRESS(1,MATCH(C469,Area!$1:$1,0),4),1),"99"))),0)</f>
        <v>0</v>
      </c>
      <c r="BB469">
        <f ca="1">IF(COUNTBLANK(D469)=0,COUNTA(INDIRECT(CONCATENATE("Setup!",LEFT(ADDRESS(1,MATCH(CONCATENATE(C469,":",D469),Setup!$1:$1,0),4),1),"2:",LEFT(ADDRESS(1,MATCH(CONCATENATE(C469,":",D469),Setup!$1:$1,0),4),1),"99"))),0)</f>
        <v>0</v>
      </c>
      <c r="BC469">
        <f ca="1">IF(COUNTBLANK(E469)=0,COUNTA(INDIRECT(CONCATENATE("Comp!",SUBSTITUTE(ADDRESS(1,MATCH(CONCATENATE(C469,":",D469,":",E469),Comp!$1:$1,0),4),"1",""),"2:",SUBSTITUTE(ADDRESS(1,MATCH(CONCATENATE(C469,":",D469,":",E469),Comp!$1:$1,0),4),"1",""),"99"))),0)</f>
        <v>0</v>
      </c>
    </row>
    <row r="470" spans="1:55">
      <c r="A470" s="20" t="s">
        <v>73</v>
      </c>
      <c r="B470" s="21"/>
      <c r="C470" s="20"/>
      <c r="D470" s="22"/>
      <c r="E470" s="22"/>
      <c r="F470" s="21"/>
      <c r="G470" s="23"/>
      <c r="H470" s="24"/>
      <c r="I470" s="22"/>
      <c r="J470" s="22"/>
      <c r="K470" s="22"/>
      <c r="L470" s="21"/>
      <c r="M470" s="20"/>
      <c r="N470" s="20"/>
      <c r="O470" s="23"/>
      <c r="P470" s="21"/>
      <c r="Q470" s="20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1"/>
      <c r="AU470" s="25" t="str">
        <f t="shared" si="14"/>
        <v>1Q42</v>
      </c>
      <c r="AV470" t="str">
        <f t="shared" si="15"/>
        <v>1Q42</v>
      </c>
      <c r="BA470">
        <f ca="1">IF(COUNTBLANK(C470)=0,COUNTA(INDIRECT(CONCATENATE("Area!",LEFT(ADDRESS(1,MATCH(C470,Area!$1:$1,0),4),1),"2:",LEFT(ADDRESS(1,MATCH(C470,Area!$1:$1,0),4),1),"99"))),0)</f>
        <v>0</v>
      </c>
      <c r="BB470">
        <f ca="1">IF(COUNTBLANK(D470)=0,COUNTA(INDIRECT(CONCATENATE("Setup!",LEFT(ADDRESS(1,MATCH(CONCATENATE(C470,":",D470),Setup!$1:$1,0),4),1),"2:",LEFT(ADDRESS(1,MATCH(CONCATENATE(C470,":",D470),Setup!$1:$1,0),4),1),"99"))),0)</f>
        <v>0</v>
      </c>
      <c r="BC470">
        <f ca="1">IF(COUNTBLANK(E470)=0,COUNTA(INDIRECT(CONCATENATE("Comp!",SUBSTITUTE(ADDRESS(1,MATCH(CONCATENATE(C470,":",D470,":",E470),Comp!$1:$1,0),4),"1",""),"2:",SUBSTITUTE(ADDRESS(1,MATCH(CONCATENATE(C470,":",D470,":",E470),Comp!$1:$1,0),4),"1",""),"99"))),0)</f>
        <v>0</v>
      </c>
    </row>
    <row r="471" spans="1:55">
      <c r="A471" s="20" t="s">
        <v>73</v>
      </c>
      <c r="B471" s="21"/>
      <c r="C471" s="20"/>
      <c r="D471" s="22"/>
      <c r="E471" s="22"/>
      <c r="F471" s="21"/>
      <c r="G471" s="23"/>
      <c r="H471" s="24"/>
      <c r="I471" s="22"/>
      <c r="J471" s="22"/>
      <c r="K471" s="22"/>
      <c r="L471" s="21"/>
      <c r="M471" s="20"/>
      <c r="N471" s="20"/>
      <c r="O471" s="23"/>
      <c r="P471" s="21"/>
      <c r="Q471" s="20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1"/>
      <c r="AU471" s="25" t="str">
        <f t="shared" si="14"/>
        <v>1Q42</v>
      </c>
      <c r="AV471" t="str">
        <f t="shared" si="15"/>
        <v>1Q42</v>
      </c>
      <c r="BA471">
        <f ca="1">IF(COUNTBLANK(C471)=0,COUNTA(INDIRECT(CONCATENATE("Area!",LEFT(ADDRESS(1,MATCH(C471,Area!$1:$1,0),4),1),"2:",LEFT(ADDRESS(1,MATCH(C471,Area!$1:$1,0),4),1),"99"))),0)</f>
        <v>0</v>
      </c>
      <c r="BB471">
        <f ca="1">IF(COUNTBLANK(D471)=0,COUNTA(INDIRECT(CONCATENATE("Setup!",LEFT(ADDRESS(1,MATCH(CONCATENATE(C471,":",D471),Setup!$1:$1,0),4),1),"2:",LEFT(ADDRESS(1,MATCH(CONCATENATE(C471,":",D471),Setup!$1:$1,0),4),1),"99"))),0)</f>
        <v>0</v>
      </c>
      <c r="BC471">
        <f ca="1">IF(COUNTBLANK(E471)=0,COUNTA(INDIRECT(CONCATENATE("Comp!",SUBSTITUTE(ADDRESS(1,MATCH(CONCATENATE(C471,":",D471,":",E471),Comp!$1:$1,0),4),"1",""),"2:",SUBSTITUTE(ADDRESS(1,MATCH(CONCATENATE(C471,":",D471,":",E471),Comp!$1:$1,0),4),"1",""),"99"))),0)</f>
        <v>0</v>
      </c>
    </row>
    <row r="472" spans="1:55">
      <c r="A472" s="20" t="s">
        <v>73</v>
      </c>
      <c r="B472" s="21"/>
      <c r="C472" s="20"/>
      <c r="D472" s="22"/>
      <c r="E472" s="22"/>
      <c r="F472" s="21"/>
      <c r="G472" s="23"/>
      <c r="H472" s="24"/>
      <c r="I472" s="22"/>
      <c r="J472" s="22"/>
      <c r="K472" s="22"/>
      <c r="L472" s="21"/>
      <c r="M472" s="20"/>
      <c r="N472" s="20"/>
      <c r="O472" s="23"/>
      <c r="P472" s="21"/>
      <c r="Q472" s="20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1"/>
      <c r="AU472" s="25" t="str">
        <f t="shared" si="14"/>
        <v>1Q42</v>
      </c>
      <c r="AV472" t="str">
        <f t="shared" si="15"/>
        <v>1Q42</v>
      </c>
      <c r="BA472">
        <f ca="1">IF(COUNTBLANK(C472)=0,COUNTA(INDIRECT(CONCATENATE("Area!",LEFT(ADDRESS(1,MATCH(C472,Area!$1:$1,0),4),1),"2:",LEFT(ADDRESS(1,MATCH(C472,Area!$1:$1,0),4),1),"99"))),0)</f>
        <v>0</v>
      </c>
      <c r="BB472">
        <f ca="1">IF(COUNTBLANK(D472)=0,COUNTA(INDIRECT(CONCATENATE("Setup!",LEFT(ADDRESS(1,MATCH(CONCATENATE(C472,":",D472),Setup!$1:$1,0),4),1),"2:",LEFT(ADDRESS(1,MATCH(CONCATENATE(C472,":",D472),Setup!$1:$1,0),4),1),"99"))),0)</f>
        <v>0</v>
      </c>
      <c r="BC472">
        <f ca="1">IF(COUNTBLANK(E472)=0,COUNTA(INDIRECT(CONCATENATE("Comp!",SUBSTITUTE(ADDRESS(1,MATCH(CONCATENATE(C472,":",D472,":",E472),Comp!$1:$1,0),4),"1",""),"2:",SUBSTITUTE(ADDRESS(1,MATCH(CONCATENATE(C472,":",D472,":",E472),Comp!$1:$1,0),4),"1",""),"99"))),0)</f>
        <v>0</v>
      </c>
    </row>
    <row r="473" spans="1:55">
      <c r="A473" s="20" t="s">
        <v>73</v>
      </c>
      <c r="B473" s="21"/>
      <c r="C473" s="20"/>
      <c r="D473" s="22"/>
      <c r="E473" s="22"/>
      <c r="F473" s="21"/>
      <c r="G473" s="23"/>
      <c r="H473" s="24"/>
      <c r="I473" s="22"/>
      <c r="J473" s="22"/>
      <c r="K473" s="22"/>
      <c r="L473" s="21"/>
      <c r="M473" s="20"/>
      <c r="N473" s="20"/>
      <c r="O473" s="23"/>
      <c r="P473" s="21"/>
      <c r="Q473" s="20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1"/>
      <c r="AU473" s="25" t="str">
        <f t="shared" si="14"/>
        <v>1Q42</v>
      </c>
      <c r="AV473" t="str">
        <f t="shared" si="15"/>
        <v>1Q42</v>
      </c>
      <c r="BA473">
        <f ca="1">IF(COUNTBLANK(C473)=0,COUNTA(INDIRECT(CONCATENATE("Area!",LEFT(ADDRESS(1,MATCH(C473,Area!$1:$1,0),4),1),"2:",LEFT(ADDRESS(1,MATCH(C473,Area!$1:$1,0),4),1),"99"))),0)</f>
        <v>0</v>
      </c>
      <c r="BB473">
        <f ca="1">IF(COUNTBLANK(D473)=0,COUNTA(INDIRECT(CONCATENATE("Setup!",LEFT(ADDRESS(1,MATCH(CONCATENATE(C473,":",D473),Setup!$1:$1,0),4),1),"2:",LEFT(ADDRESS(1,MATCH(CONCATENATE(C473,":",D473),Setup!$1:$1,0),4),1),"99"))),0)</f>
        <v>0</v>
      </c>
      <c r="BC473">
        <f ca="1">IF(COUNTBLANK(E473)=0,COUNTA(INDIRECT(CONCATENATE("Comp!",SUBSTITUTE(ADDRESS(1,MATCH(CONCATENATE(C473,":",D473,":",E473),Comp!$1:$1,0),4),"1",""),"2:",SUBSTITUTE(ADDRESS(1,MATCH(CONCATENATE(C473,":",D473,":",E473),Comp!$1:$1,0),4),"1",""),"99"))),0)</f>
        <v>0</v>
      </c>
    </row>
    <row r="474" spans="1:55">
      <c r="A474" s="20" t="s">
        <v>73</v>
      </c>
      <c r="B474" s="21"/>
      <c r="C474" s="20"/>
      <c r="D474" s="22"/>
      <c r="E474" s="22"/>
      <c r="F474" s="21"/>
      <c r="G474" s="23"/>
      <c r="H474" s="24"/>
      <c r="I474" s="22"/>
      <c r="J474" s="22"/>
      <c r="K474" s="22"/>
      <c r="L474" s="21"/>
      <c r="M474" s="20"/>
      <c r="N474" s="20"/>
      <c r="O474" s="23"/>
      <c r="P474" s="21"/>
      <c r="Q474" s="20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1"/>
      <c r="AU474" s="25" t="str">
        <f t="shared" si="14"/>
        <v>1Q42</v>
      </c>
      <c r="AV474" t="str">
        <f t="shared" si="15"/>
        <v>1Q42</v>
      </c>
      <c r="BA474">
        <f ca="1">IF(COUNTBLANK(C474)=0,COUNTA(INDIRECT(CONCATENATE("Area!",LEFT(ADDRESS(1,MATCH(C474,Area!$1:$1,0),4),1),"2:",LEFT(ADDRESS(1,MATCH(C474,Area!$1:$1,0),4),1),"99"))),0)</f>
        <v>0</v>
      </c>
      <c r="BB474">
        <f ca="1">IF(COUNTBLANK(D474)=0,COUNTA(INDIRECT(CONCATENATE("Setup!",LEFT(ADDRESS(1,MATCH(CONCATENATE(C474,":",D474),Setup!$1:$1,0),4),1),"2:",LEFT(ADDRESS(1,MATCH(CONCATENATE(C474,":",D474),Setup!$1:$1,0),4),1),"99"))),0)</f>
        <v>0</v>
      </c>
      <c r="BC474">
        <f ca="1">IF(COUNTBLANK(E474)=0,COUNTA(INDIRECT(CONCATENATE("Comp!",SUBSTITUTE(ADDRESS(1,MATCH(CONCATENATE(C474,":",D474,":",E474),Comp!$1:$1,0),4),"1",""),"2:",SUBSTITUTE(ADDRESS(1,MATCH(CONCATENATE(C474,":",D474,":",E474),Comp!$1:$1,0),4),"1",""),"99"))),0)</f>
        <v>0</v>
      </c>
    </row>
    <row r="475" spans="1:55">
      <c r="A475" s="20" t="s">
        <v>73</v>
      </c>
      <c r="B475" s="21"/>
      <c r="C475" s="20"/>
      <c r="D475" s="22"/>
      <c r="E475" s="22"/>
      <c r="F475" s="21"/>
      <c r="G475" s="23"/>
      <c r="H475" s="24"/>
      <c r="I475" s="22"/>
      <c r="J475" s="22"/>
      <c r="K475" s="22"/>
      <c r="L475" s="21"/>
      <c r="M475" s="20"/>
      <c r="N475" s="20"/>
      <c r="O475" s="23"/>
      <c r="P475" s="21"/>
      <c r="Q475" s="20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1"/>
      <c r="AU475" s="25" t="str">
        <f t="shared" si="14"/>
        <v>1Q42</v>
      </c>
      <c r="AV475" t="str">
        <f t="shared" si="15"/>
        <v>1Q42</v>
      </c>
      <c r="BA475">
        <f ca="1">IF(COUNTBLANK(C475)=0,COUNTA(INDIRECT(CONCATENATE("Area!",LEFT(ADDRESS(1,MATCH(C475,Area!$1:$1,0),4),1),"2:",LEFT(ADDRESS(1,MATCH(C475,Area!$1:$1,0),4),1),"99"))),0)</f>
        <v>0</v>
      </c>
      <c r="BB475">
        <f ca="1">IF(COUNTBLANK(D475)=0,COUNTA(INDIRECT(CONCATENATE("Setup!",LEFT(ADDRESS(1,MATCH(CONCATENATE(C475,":",D475),Setup!$1:$1,0),4),1),"2:",LEFT(ADDRESS(1,MATCH(CONCATENATE(C475,":",D475),Setup!$1:$1,0),4),1),"99"))),0)</f>
        <v>0</v>
      </c>
      <c r="BC475">
        <f ca="1">IF(COUNTBLANK(E475)=0,COUNTA(INDIRECT(CONCATENATE("Comp!",SUBSTITUTE(ADDRESS(1,MATCH(CONCATENATE(C475,":",D475,":",E475),Comp!$1:$1,0),4),"1",""),"2:",SUBSTITUTE(ADDRESS(1,MATCH(CONCATENATE(C475,":",D475,":",E475),Comp!$1:$1,0),4),"1",""),"99"))),0)</f>
        <v>0</v>
      </c>
    </row>
    <row r="476" spans="1:55">
      <c r="A476" s="20" t="s">
        <v>73</v>
      </c>
      <c r="B476" s="21"/>
      <c r="C476" s="20"/>
      <c r="D476" s="22"/>
      <c r="E476" s="22"/>
      <c r="F476" s="21"/>
      <c r="G476" s="23"/>
      <c r="H476" s="24"/>
      <c r="I476" s="22"/>
      <c r="J476" s="22"/>
      <c r="K476" s="22"/>
      <c r="L476" s="21"/>
      <c r="M476" s="20"/>
      <c r="N476" s="20"/>
      <c r="O476" s="23"/>
      <c r="P476" s="21"/>
      <c r="Q476" s="20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1"/>
      <c r="AU476" s="25" t="str">
        <f t="shared" si="14"/>
        <v>1Q42</v>
      </c>
      <c r="AV476" t="str">
        <f t="shared" si="15"/>
        <v>1Q42</v>
      </c>
      <c r="BA476">
        <f ca="1">IF(COUNTBLANK(C476)=0,COUNTA(INDIRECT(CONCATENATE("Area!",LEFT(ADDRESS(1,MATCH(C476,Area!$1:$1,0),4),1),"2:",LEFT(ADDRESS(1,MATCH(C476,Area!$1:$1,0),4),1),"99"))),0)</f>
        <v>0</v>
      </c>
      <c r="BB476">
        <f ca="1">IF(COUNTBLANK(D476)=0,COUNTA(INDIRECT(CONCATENATE("Setup!",LEFT(ADDRESS(1,MATCH(CONCATENATE(C476,":",D476),Setup!$1:$1,0),4),1),"2:",LEFT(ADDRESS(1,MATCH(CONCATENATE(C476,":",D476),Setup!$1:$1,0),4),1),"99"))),0)</f>
        <v>0</v>
      </c>
      <c r="BC476">
        <f ca="1">IF(COUNTBLANK(E476)=0,COUNTA(INDIRECT(CONCATENATE("Comp!",SUBSTITUTE(ADDRESS(1,MATCH(CONCATENATE(C476,":",D476,":",E476),Comp!$1:$1,0),4),"1",""),"2:",SUBSTITUTE(ADDRESS(1,MATCH(CONCATENATE(C476,":",D476,":",E476),Comp!$1:$1,0),4),"1",""),"99"))),0)</f>
        <v>0</v>
      </c>
    </row>
    <row r="477" spans="1:55">
      <c r="A477" s="20" t="s">
        <v>73</v>
      </c>
      <c r="B477" s="21"/>
      <c r="C477" s="20"/>
      <c r="D477" s="22"/>
      <c r="E477" s="22"/>
      <c r="F477" s="21"/>
      <c r="G477" s="23"/>
      <c r="H477" s="24"/>
      <c r="I477" s="22"/>
      <c r="J477" s="22"/>
      <c r="K477" s="22"/>
      <c r="L477" s="21"/>
      <c r="M477" s="20"/>
      <c r="N477" s="20"/>
      <c r="O477" s="23"/>
      <c r="P477" s="21"/>
      <c r="Q477" s="20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1"/>
      <c r="AU477" s="25" t="str">
        <f t="shared" si="14"/>
        <v>1Q42</v>
      </c>
      <c r="AV477" t="str">
        <f t="shared" si="15"/>
        <v>1Q42</v>
      </c>
      <c r="BA477">
        <f ca="1">IF(COUNTBLANK(C477)=0,COUNTA(INDIRECT(CONCATENATE("Area!",LEFT(ADDRESS(1,MATCH(C477,Area!$1:$1,0),4),1),"2:",LEFT(ADDRESS(1,MATCH(C477,Area!$1:$1,0),4),1),"99"))),0)</f>
        <v>0</v>
      </c>
      <c r="BB477">
        <f ca="1">IF(COUNTBLANK(D477)=0,COUNTA(INDIRECT(CONCATENATE("Setup!",LEFT(ADDRESS(1,MATCH(CONCATENATE(C477,":",D477),Setup!$1:$1,0),4),1),"2:",LEFT(ADDRESS(1,MATCH(CONCATENATE(C477,":",D477),Setup!$1:$1,0),4),1),"99"))),0)</f>
        <v>0</v>
      </c>
      <c r="BC477">
        <f ca="1">IF(COUNTBLANK(E477)=0,COUNTA(INDIRECT(CONCATENATE("Comp!",SUBSTITUTE(ADDRESS(1,MATCH(CONCATENATE(C477,":",D477,":",E477),Comp!$1:$1,0),4),"1",""),"2:",SUBSTITUTE(ADDRESS(1,MATCH(CONCATENATE(C477,":",D477,":",E477),Comp!$1:$1,0),4),"1",""),"99"))),0)</f>
        <v>0</v>
      </c>
    </row>
    <row r="478" spans="1:55">
      <c r="A478" s="20" t="s">
        <v>73</v>
      </c>
      <c r="B478" s="21"/>
      <c r="C478" s="20"/>
      <c r="D478" s="22"/>
      <c r="E478" s="22"/>
      <c r="F478" s="21"/>
      <c r="G478" s="23"/>
      <c r="H478" s="24"/>
      <c r="I478" s="22"/>
      <c r="J478" s="22"/>
      <c r="K478" s="22"/>
      <c r="L478" s="21"/>
      <c r="M478" s="20"/>
      <c r="N478" s="20"/>
      <c r="O478" s="23"/>
      <c r="P478" s="21"/>
      <c r="Q478" s="20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1"/>
      <c r="AU478" s="25" t="str">
        <f t="shared" si="14"/>
        <v>1Q42</v>
      </c>
      <c r="AV478" t="str">
        <f t="shared" si="15"/>
        <v>1Q42</v>
      </c>
      <c r="BA478">
        <f ca="1">IF(COUNTBLANK(C478)=0,COUNTA(INDIRECT(CONCATENATE("Area!",LEFT(ADDRESS(1,MATCH(C478,Area!$1:$1,0),4),1),"2:",LEFT(ADDRESS(1,MATCH(C478,Area!$1:$1,0),4),1),"99"))),0)</f>
        <v>0</v>
      </c>
      <c r="BB478">
        <f ca="1">IF(COUNTBLANK(D478)=0,COUNTA(INDIRECT(CONCATENATE("Setup!",LEFT(ADDRESS(1,MATCH(CONCATENATE(C478,":",D478),Setup!$1:$1,0),4),1),"2:",LEFT(ADDRESS(1,MATCH(CONCATENATE(C478,":",D478),Setup!$1:$1,0),4),1),"99"))),0)</f>
        <v>0</v>
      </c>
      <c r="BC478">
        <f ca="1">IF(COUNTBLANK(E478)=0,COUNTA(INDIRECT(CONCATENATE("Comp!",SUBSTITUTE(ADDRESS(1,MATCH(CONCATENATE(C478,":",D478,":",E478),Comp!$1:$1,0),4),"1",""),"2:",SUBSTITUTE(ADDRESS(1,MATCH(CONCATENATE(C478,":",D478,":",E478),Comp!$1:$1,0),4),"1",""),"99"))),0)</f>
        <v>0</v>
      </c>
    </row>
    <row r="479" spans="1:55">
      <c r="A479" s="20" t="s">
        <v>73</v>
      </c>
      <c r="B479" s="21"/>
      <c r="C479" s="20"/>
      <c r="D479" s="22"/>
      <c r="E479" s="22"/>
      <c r="F479" s="21"/>
      <c r="G479" s="23"/>
      <c r="H479" s="24"/>
      <c r="I479" s="22"/>
      <c r="J479" s="22"/>
      <c r="K479" s="22"/>
      <c r="L479" s="21"/>
      <c r="M479" s="20"/>
      <c r="N479" s="20"/>
      <c r="O479" s="23"/>
      <c r="P479" s="21"/>
      <c r="Q479" s="20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1"/>
      <c r="AU479" s="25" t="str">
        <f t="shared" si="14"/>
        <v>1Q42</v>
      </c>
      <c r="AV479" t="str">
        <f t="shared" si="15"/>
        <v>1Q42</v>
      </c>
      <c r="BA479">
        <f ca="1">IF(COUNTBLANK(C479)=0,COUNTA(INDIRECT(CONCATENATE("Area!",LEFT(ADDRESS(1,MATCH(C479,Area!$1:$1,0),4),1),"2:",LEFT(ADDRESS(1,MATCH(C479,Area!$1:$1,0),4),1),"99"))),0)</f>
        <v>0</v>
      </c>
      <c r="BB479">
        <f ca="1">IF(COUNTBLANK(D479)=0,COUNTA(INDIRECT(CONCATENATE("Setup!",LEFT(ADDRESS(1,MATCH(CONCATENATE(C479,":",D479),Setup!$1:$1,0),4),1),"2:",LEFT(ADDRESS(1,MATCH(CONCATENATE(C479,":",D479),Setup!$1:$1,0),4),1),"99"))),0)</f>
        <v>0</v>
      </c>
      <c r="BC479">
        <f ca="1">IF(COUNTBLANK(E479)=0,COUNTA(INDIRECT(CONCATENATE("Comp!",SUBSTITUTE(ADDRESS(1,MATCH(CONCATENATE(C479,":",D479,":",E479),Comp!$1:$1,0),4),"1",""),"2:",SUBSTITUTE(ADDRESS(1,MATCH(CONCATENATE(C479,":",D479,":",E479),Comp!$1:$1,0),4),"1",""),"99"))),0)</f>
        <v>0</v>
      </c>
    </row>
    <row r="480" spans="1:55">
      <c r="A480" s="20" t="s">
        <v>73</v>
      </c>
      <c r="B480" s="21"/>
      <c r="C480" s="20"/>
      <c r="D480" s="22"/>
      <c r="E480" s="22"/>
      <c r="F480" s="21"/>
      <c r="G480" s="23"/>
      <c r="H480" s="24"/>
      <c r="I480" s="22"/>
      <c r="J480" s="22"/>
      <c r="K480" s="22"/>
      <c r="L480" s="21"/>
      <c r="M480" s="20"/>
      <c r="N480" s="20"/>
      <c r="O480" s="23"/>
      <c r="P480" s="21"/>
      <c r="Q480" s="20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1"/>
      <c r="AU480" s="25" t="str">
        <f t="shared" si="14"/>
        <v>1Q42</v>
      </c>
      <c r="AV480" t="str">
        <f t="shared" si="15"/>
        <v>1Q42</v>
      </c>
      <c r="BA480">
        <f ca="1">IF(COUNTBLANK(C480)=0,COUNTA(INDIRECT(CONCATENATE("Area!",LEFT(ADDRESS(1,MATCH(C480,Area!$1:$1,0),4),1),"2:",LEFT(ADDRESS(1,MATCH(C480,Area!$1:$1,0),4),1),"99"))),0)</f>
        <v>0</v>
      </c>
      <c r="BB480">
        <f ca="1">IF(COUNTBLANK(D480)=0,COUNTA(INDIRECT(CONCATENATE("Setup!",LEFT(ADDRESS(1,MATCH(CONCATENATE(C480,":",D480),Setup!$1:$1,0),4),1),"2:",LEFT(ADDRESS(1,MATCH(CONCATENATE(C480,":",D480),Setup!$1:$1,0),4),1),"99"))),0)</f>
        <v>0</v>
      </c>
      <c r="BC480">
        <f ca="1">IF(COUNTBLANK(E480)=0,COUNTA(INDIRECT(CONCATENATE("Comp!",SUBSTITUTE(ADDRESS(1,MATCH(CONCATENATE(C480,":",D480,":",E480),Comp!$1:$1,0),4),"1",""),"2:",SUBSTITUTE(ADDRESS(1,MATCH(CONCATENATE(C480,":",D480,":",E480),Comp!$1:$1,0),4),"1",""),"99"))),0)</f>
        <v>0</v>
      </c>
    </row>
    <row r="481" spans="1:55">
      <c r="A481" s="20" t="s">
        <v>73</v>
      </c>
      <c r="B481" s="21"/>
      <c r="C481" s="20"/>
      <c r="D481" s="22"/>
      <c r="E481" s="22"/>
      <c r="F481" s="21"/>
      <c r="G481" s="23"/>
      <c r="H481" s="24"/>
      <c r="I481" s="22"/>
      <c r="J481" s="22"/>
      <c r="K481" s="22"/>
      <c r="L481" s="21"/>
      <c r="M481" s="20"/>
      <c r="N481" s="20"/>
      <c r="O481" s="23"/>
      <c r="P481" s="21"/>
      <c r="Q481" s="20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1"/>
      <c r="AU481" s="25" t="str">
        <f t="shared" si="14"/>
        <v>1Q42</v>
      </c>
      <c r="AV481" t="str">
        <f t="shared" si="15"/>
        <v>1Q42</v>
      </c>
      <c r="BA481">
        <f ca="1">IF(COUNTBLANK(C481)=0,COUNTA(INDIRECT(CONCATENATE("Area!",LEFT(ADDRESS(1,MATCH(C481,Area!$1:$1,0),4),1),"2:",LEFT(ADDRESS(1,MATCH(C481,Area!$1:$1,0),4),1),"99"))),0)</f>
        <v>0</v>
      </c>
      <c r="BB481">
        <f ca="1">IF(COUNTBLANK(D481)=0,COUNTA(INDIRECT(CONCATENATE("Setup!",LEFT(ADDRESS(1,MATCH(CONCATENATE(C481,":",D481),Setup!$1:$1,0),4),1),"2:",LEFT(ADDRESS(1,MATCH(CONCATENATE(C481,":",D481),Setup!$1:$1,0),4),1),"99"))),0)</f>
        <v>0</v>
      </c>
      <c r="BC481">
        <f ca="1">IF(COUNTBLANK(E481)=0,COUNTA(INDIRECT(CONCATENATE("Comp!",SUBSTITUTE(ADDRESS(1,MATCH(CONCATENATE(C481,":",D481,":",E481),Comp!$1:$1,0),4),"1",""),"2:",SUBSTITUTE(ADDRESS(1,MATCH(CONCATENATE(C481,":",D481,":",E481),Comp!$1:$1,0),4),"1",""),"99"))),0)</f>
        <v>0</v>
      </c>
    </row>
    <row r="482" spans="1:55">
      <c r="A482" s="20" t="s">
        <v>73</v>
      </c>
      <c r="B482" s="21"/>
      <c r="C482" s="20"/>
      <c r="D482" s="22"/>
      <c r="E482" s="22"/>
      <c r="F482" s="21"/>
      <c r="G482" s="23"/>
      <c r="H482" s="24"/>
      <c r="I482" s="22"/>
      <c r="J482" s="22"/>
      <c r="K482" s="22"/>
      <c r="L482" s="21"/>
      <c r="M482" s="20"/>
      <c r="N482" s="20"/>
      <c r="O482" s="23"/>
      <c r="P482" s="21"/>
      <c r="Q482" s="20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1"/>
      <c r="AU482" s="25" t="str">
        <f t="shared" si="14"/>
        <v>1Q42</v>
      </c>
      <c r="AV482" t="str">
        <f t="shared" si="15"/>
        <v>1Q42</v>
      </c>
      <c r="BA482">
        <f ca="1">IF(COUNTBLANK(C482)=0,COUNTA(INDIRECT(CONCATENATE("Area!",LEFT(ADDRESS(1,MATCH(C482,Area!$1:$1,0),4),1),"2:",LEFT(ADDRESS(1,MATCH(C482,Area!$1:$1,0),4),1),"99"))),0)</f>
        <v>0</v>
      </c>
      <c r="BB482">
        <f ca="1">IF(COUNTBLANK(D482)=0,COUNTA(INDIRECT(CONCATENATE("Setup!",LEFT(ADDRESS(1,MATCH(CONCATENATE(C482,":",D482),Setup!$1:$1,0),4),1),"2:",LEFT(ADDRESS(1,MATCH(CONCATENATE(C482,":",D482),Setup!$1:$1,0),4),1),"99"))),0)</f>
        <v>0</v>
      </c>
      <c r="BC482">
        <f ca="1">IF(COUNTBLANK(E482)=0,COUNTA(INDIRECT(CONCATENATE("Comp!",SUBSTITUTE(ADDRESS(1,MATCH(CONCATENATE(C482,":",D482,":",E482),Comp!$1:$1,0),4),"1",""),"2:",SUBSTITUTE(ADDRESS(1,MATCH(CONCATENATE(C482,":",D482,":",E482),Comp!$1:$1,0),4),"1",""),"99"))),0)</f>
        <v>0</v>
      </c>
    </row>
    <row r="483" spans="1:55">
      <c r="A483" s="20" t="s">
        <v>73</v>
      </c>
      <c r="B483" s="21"/>
      <c r="C483" s="20"/>
      <c r="D483" s="22"/>
      <c r="E483" s="22"/>
      <c r="F483" s="21"/>
      <c r="G483" s="23"/>
      <c r="H483" s="24"/>
      <c r="I483" s="22"/>
      <c r="J483" s="22"/>
      <c r="K483" s="22"/>
      <c r="L483" s="21"/>
      <c r="M483" s="20"/>
      <c r="N483" s="20"/>
      <c r="O483" s="23"/>
      <c r="P483" s="21"/>
      <c r="Q483" s="20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1"/>
      <c r="AU483" s="25" t="str">
        <f t="shared" si="14"/>
        <v>1Q42</v>
      </c>
      <c r="AV483" t="str">
        <f t="shared" si="15"/>
        <v>1Q42</v>
      </c>
      <c r="BA483">
        <f ca="1">IF(COUNTBLANK(C483)=0,COUNTA(INDIRECT(CONCATENATE("Area!",LEFT(ADDRESS(1,MATCH(C483,Area!$1:$1,0),4),1),"2:",LEFT(ADDRESS(1,MATCH(C483,Area!$1:$1,0),4),1),"99"))),0)</f>
        <v>0</v>
      </c>
      <c r="BB483">
        <f ca="1">IF(COUNTBLANK(D483)=0,COUNTA(INDIRECT(CONCATENATE("Setup!",LEFT(ADDRESS(1,MATCH(CONCATENATE(C483,":",D483),Setup!$1:$1,0),4),1),"2:",LEFT(ADDRESS(1,MATCH(CONCATENATE(C483,":",D483),Setup!$1:$1,0),4),1),"99"))),0)</f>
        <v>0</v>
      </c>
      <c r="BC483">
        <f ca="1">IF(COUNTBLANK(E483)=0,COUNTA(INDIRECT(CONCATENATE("Comp!",SUBSTITUTE(ADDRESS(1,MATCH(CONCATENATE(C483,":",D483,":",E483),Comp!$1:$1,0),4),"1",""),"2:",SUBSTITUTE(ADDRESS(1,MATCH(CONCATENATE(C483,":",D483,":",E483),Comp!$1:$1,0),4),"1",""),"99"))),0)</f>
        <v>0</v>
      </c>
    </row>
    <row r="484" spans="1:55">
      <c r="A484" s="20" t="s">
        <v>73</v>
      </c>
      <c r="B484" s="21"/>
      <c r="C484" s="20"/>
      <c r="D484" s="22"/>
      <c r="E484" s="22"/>
      <c r="F484" s="21"/>
      <c r="G484" s="23"/>
      <c r="H484" s="24"/>
      <c r="I484" s="22"/>
      <c r="J484" s="22"/>
      <c r="K484" s="22"/>
      <c r="L484" s="21"/>
      <c r="M484" s="20"/>
      <c r="N484" s="20"/>
      <c r="O484" s="23"/>
      <c r="P484" s="21"/>
      <c r="Q484" s="20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1"/>
      <c r="AU484" s="25" t="str">
        <f t="shared" si="14"/>
        <v>1Q42</v>
      </c>
      <c r="AV484" t="str">
        <f t="shared" si="15"/>
        <v>1Q42</v>
      </c>
      <c r="BA484">
        <f ca="1">IF(COUNTBLANK(C484)=0,COUNTA(INDIRECT(CONCATENATE("Area!",LEFT(ADDRESS(1,MATCH(C484,Area!$1:$1,0),4),1),"2:",LEFT(ADDRESS(1,MATCH(C484,Area!$1:$1,0),4),1),"99"))),0)</f>
        <v>0</v>
      </c>
      <c r="BB484">
        <f ca="1">IF(COUNTBLANK(D484)=0,COUNTA(INDIRECT(CONCATENATE("Setup!",LEFT(ADDRESS(1,MATCH(CONCATENATE(C484,":",D484),Setup!$1:$1,0),4),1),"2:",LEFT(ADDRESS(1,MATCH(CONCATENATE(C484,":",D484),Setup!$1:$1,0),4),1),"99"))),0)</f>
        <v>0</v>
      </c>
      <c r="BC484">
        <f ca="1">IF(COUNTBLANK(E484)=0,COUNTA(INDIRECT(CONCATENATE("Comp!",SUBSTITUTE(ADDRESS(1,MATCH(CONCATENATE(C484,":",D484,":",E484),Comp!$1:$1,0),4),"1",""),"2:",SUBSTITUTE(ADDRESS(1,MATCH(CONCATENATE(C484,":",D484,":",E484),Comp!$1:$1,0),4),"1",""),"99"))),0)</f>
        <v>0</v>
      </c>
    </row>
    <row r="485" spans="1:55">
      <c r="A485" s="20" t="s">
        <v>73</v>
      </c>
      <c r="B485" s="21"/>
      <c r="C485" s="20"/>
      <c r="D485" s="22"/>
      <c r="E485" s="22"/>
      <c r="F485" s="21"/>
      <c r="G485" s="23"/>
      <c r="H485" s="24"/>
      <c r="I485" s="22"/>
      <c r="J485" s="22"/>
      <c r="K485" s="22"/>
      <c r="L485" s="21"/>
      <c r="M485" s="20"/>
      <c r="N485" s="20"/>
      <c r="O485" s="23"/>
      <c r="P485" s="21"/>
      <c r="Q485" s="20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1"/>
      <c r="AU485" s="25" t="str">
        <f t="shared" si="14"/>
        <v>1Q42</v>
      </c>
      <c r="AV485" t="str">
        <f t="shared" si="15"/>
        <v>1Q42</v>
      </c>
      <c r="BA485">
        <f ca="1">IF(COUNTBLANK(C485)=0,COUNTA(INDIRECT(CONCATENATE("Area!",LEFT(ADDRESS(1,MATCH(C485,Area!$1:$1,0),4),1),"2:",LEFT(ADDRESS(1,MATCH(C485,Area!$1:$1,0),4),1),"99"))),0)</f>
        <v>0</v>
      </c>
      <c r="BB485">
        <f ca="1">IF(COUNTBLANK(D485)=0,COUNTA(INDIRECT(CONCATENATE("Setup!",LEFT(ADDRESS(1,MATCH(CONCATENATE(C485,":",D485),Setup!$1:$1,0),4),1),"2:",LEFT(ADDRESS(1,MATCH(CONCATENATE(C485,":",D485),Setup!$1:$1,0),4),1),"99"))),0)</f>
        <v>0</v>
      </c>
      <c r="BC485">
        <f ca="1">IF(COUNTBLANK(E485)=0,COUNTA(INDIRECT(CONCATENATE("Comp!",SUBSTITUTE(ADDRESS(1,MATCH(CONCATENATE(C485,":",D485,":",E485),Comp!$1:$1,0),4),"1",""),"2:",SUBSTITUTE(ADDRESS(1,MATCH(CONCATENATE(C485,":",D485,":",E485),Comp!$1:$1,0),4),"1",""),"99"))),0)</f>
        <v>0</v>
      </c>
    </row>
    <row r="486" spans="1:55">
      <c r="A486" s="20" t="s">
        <v>73</v>
      </c>
      <c r="B486" s="21"/>
      <c r="C486" s="20"/>
      <c r="D486" s="22"/>
      <c r="E486" s="22"/>
      <c r="F486" s="21"/>
      <c r="G486" s="23"/>
      <c r="H486" s="24"/>
      <c r="I486" s="22"/>
      <c r="J486" s="22"/>
      <c r="K486" s="22"/>
      <c r="L486" s="21"/>
      <c r="M486" s="20"/>
      <c r="N486" s="20"/>
      <c r="O486" s="23"/>
      <c r="P486" s="21"/>
      <c r="Q486" s="20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1"/>
      <c r="AU486" s="25" t="str">
        <f t="shared" si="14"/>
        <v>1Q42</v>
      </c>
      <c r="AV486" t="str">
        <f t="shared" si="15"/>
        <v>1Q42</v>
      </c>
      <c r="BA486">
        <f ca="1">IF(COUNTBLANK(C486)=0,COUNTA(INDIRECT(CONCATENATE("Area!",LEFT(ADDRESS(1,MATCH(C486,Area!$1:$1,0),4),1),"2:",LEFT(ADDRESS(1,MATCH(C486,Area!$1:$1,0),4),1),"99"))),0)</f>
        <v>0</v>
      </c>
      <c r="BB486">
        <f ca="1">IF(COUNTBLANK(D486)=0,COUNTA(INDIRECT(CONCATENATE("Setup!",LEFT(ADDRESS(1,MATCH(CONCATENATE(C486,":",D486),Setup!$1:$1,0),4),1),"2:",LEFT(ADDRESS(1,MATCH(CONCATENATE(C486,":",D486),Setup!$1:$1,0),4),1),"99"))),0)</f>
        <v>0</v>
      </c>
      <c r="BC486">
        <f ca="1">IF(COUNTBLANK(E486)=0,COUNTA(INDIRECT(CONCATENATE("Comp!",SUBSTITUTE(ADDRESS(1,MATCH(CONCATENATE(C486,":",D486,":",E486),Comp!$1:$1,0),4),"1",""),"2:",SUBSTITUTE(ADDRESS(1,MATCH(CONCATENATE(C486,":",D486,":",E486),Comp!$1:$1,0),4),"1",""),"99"))),0)</f>
        <v>0</v>
      </c>
    </row>
    <row r="487" spans="1:55">
      <c r="A487" s="20" t="s">
        <v>73</v>
      </c>
      <c r="B487" s="21"/>
      <c r="C487" s="20"/>
      <c r="D487" s="22"/>
      <c r="E487" s="22"/>
      <c r="F487" s="21"/>
      <c r="G487" s="23"/>
      <c r="H487" s="24"/>
      <c r="I487" s="22"/>
      <c r="J487" s="22"/>
      <c r="K487" s="22"/>
      <c r="L487" s="21"/>
      <c r="M487" s="20"/>
      <c r="N487" s="20"/>
      <c r="O487" s="23"/>
      <c r="P487" s="21"/>
      <c r="Q487" s="20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1"/>
      <c r="AU487" s="25" t="str">
        <f t="shared" si="14"/>
        <v>1Q42</v>
      </c>
      <c r="AV487" t="str">
        <f t="shared" si="15"/>
        <v>1Q42</v>
      </c>
      <c r="BA487">
        <f ca="1">IF(COUNTBLANK(C487)=0,COUNTA(INDIRECT(CONCATENATE("Area!",LEFT(ADDRESS(1,MATCH(C487,Area!$1:$1,0),4),1),"2:",LEFT(ADDRESS(1,MATCH(C487,Area!$1:$1,0),4),1),"99"))),0)</f>
        <v>0</v>
      </c>
      <c r="BB487">
        <f ca="1">IF(COUNTBLANK(D487)=0,COUNTA(INDIRECT(CONCATENATE("Setup!",LEFT(ADDRESS(1,MATCH(CONCATENATE(C487,":",D487),Setup!$1:$1,0),4),1),"2:",LEFT(ADDRESS(1,MATCH(CONCATENATE(C487,":",D487),Setup!$1:$1,0),4),1),"99"))),0)</f>
        <v>0</v>
      </c>
      <c r="BC487">
        <f ca="1">IF(COUNTBLANK(E487)=0,COUNTA(INDIRECT(CONCATENATE("Comp!",SUBSTITUTE(ADDRESS(1,MATCH(CONCATENATE(C487,":",D487,":",E487),Comp!$1:$1,0),4),"1",""),"2:",SUBSTITUTE(ADDRESS(1,MATCH(CONCATENATE(C487,":",D487,":",E487),Comp!$1:$1,0),4),"1",""),"99"))),0)</f>
        <v>0</v>
      </c>
    </row>
    <row r="488" spans="1:55">
      <c r="A488" s="20" t="s">
        <v>73</v>
      </c>
      <c r="B488" s="21"/>
      <c r="C488" s="20"/>
      <c r="D488" s="22"/>
      <c r="E488" s="22"/>
      <c r="F488" s="21"/>
      <c r="G488" s="23"/>
      <c r="H488" s="24"/>
      <c r="I488" s="22"/>
      <c r="J488" s="22"/>
      <c r="K488" s="22"/>
      <c r="L488" s="21"/>
      <c r="M488" s="20"/>
      <c r="N488" s="20"/>
      <c r="O488" s="23"/>
      <c r="P488" s="21"/>
      <c r="Q488" s="20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1"/>
      <c r="AU488" s="25" t="str">
        <f t="shared" si="14"/>
        <v>1Q42</v>
      </c>
      <c r="AV488" t="str">
        <f t="shared" si="15"/>
        <v>1Q42</v>
      </c>
      <c r="BA488">
        <f ca="1">IF(COUNTBLANK(C488)=0,COUNTA(INDIRECT(CONCATENATE("Area!",LEFT(ADDRESS(1,MATCH(C488,Area!$1:$1,0),4),1),"2:",LEFT(ADDRESS(1,MATCH(C488,Area!$1:$1,0),4),1),"99"))),0)</f>
        <v>0</v>
      </c>
      <c r="BB488">
        <f ca="1">IF(COUNTBLANK(D488)=0,COUNTA(INDIRECT(CONCATENATE("Setup!",LEFT(ADDRESS(1,MATCH(CONCATENATE(C488,":",D488),Setup!$1:$1,0),4),1),"2:",LEFT(ADDRESS(1,MATCH(CONCATENATE(C488,":",D488),Setup!$1:$1,0),4),1),"99"))),0)</f>
        <v>0</v>
      </c>
      <c r="BC488">
        <f ca="1">IF(COUNTBLANK(E488)=0,COUNTA(INDIRECT(CONCATENATE("Comp!",SUBSTITUTE(ADDRESS(1,MATCH(CONCATENATE(C488,":",D488,":",E488),Comp!$1:$1,0),4),"1",""),"2:",SUBSTITUTE(ADDRESS(1,MATCH(CONCATENATE(C488,":",D488,":",E488),Comp!$1:$1,0),4),"1",""),"99"))),0)</f>
        <v>0</v>
      </c>
    </row>
    <row r="489" spans="1:55">
      <c r="A489" s="20" t="s">
        <v>73</v>
      </c>
      <c r="B489" s="21"/>
      <c r="C489" s="20"/>
      <c r="D489" s="22"/>
      <c r="E489" s="22"/>
      <c r="F489" s="21"/>
      <c r="G489" s="23"/>
      <c r="H489" s="24"/>
      <c r="I489" s="22"/>
      <c r="J489" s="22"/>
      <c r="K489" s="22"/>
      <c r="L489" s="21"/>
      <c r="M489" s="20"/>
      <c r="N489" s="20"/>
      <c r="O489" s="23"/>
      <c r="P489" s="21"/>
      <c r="Q489" s="20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1"/>
      <c r="AU489" s="25" t="str">
        <f t="shared" si="14"/>
        <v>1Q42</v>
      </c>
      <c r="AV489" t="str">
        <f t="shared" si="15"/>
        <v>1Q42</v>
      </c>
      <c r="BA489">
        <f ca="1">IF(COUNTBLANK(C489)=0,COUNTA(INDIRECT(CONCATENATE("Area!",LEFT(ADDRESS(1,MATCH(C489,Area!$1:$1,0),4),1),"2:",LEFT(ADDRESS(1,MATCH(C489,Area!$1:$1,0),4),1),"99"))),0)</f>
        <v>0</v>
      </c>
      <c r="BB489">
        <f ca="1">IF(COUNTBLANK(D489)=0,COUNTA(INDIRECT(CONCATENATE("Setup!",LEFT(ADDRESS(1,MATCH(CONCATENATE(C489,":",D489),Setup!$1:$1,0),4),1),"2:",LEFT(ADDRESS(1,MATCH(CONCATENATE(C489,":",D489),Setup!$1:$1,0),4),1),"99"))),0)</f>
        <v>0</v>
      </c>
      <c r="BC489">
        <f ca="1">IF(COUNTBLANK(E489)=0,COUNTA(INDIRECT(CONCATENATE("Comp!",SUBSTITUTE(ADDRESS(1,MATCH(CONCATENATE(C489,":",D489,":",E489),Comp!$1:$1,0),4),"1",""),"2:",SUBSTITUTE(ADDRESS(1,MATCH(CONCATENATE(C489,":",D489,":",E489),Comp!$1:$1,0),4),"1",""),"99"))),0)</f>
        <v>0</v>
      </c>
    </row>
    <row r="490" spans="1:55">
      <c r="A490" s="20" t="s">
        <v>73</v>
      </c>
      <c r="B490" s="21"/>
      <c r="C490" s="20"/>
      <c r="D490" s="22"/>
      <c r="E490" s="22"/>
      <c r="F490" s="21"/>
      <c r="G490" s="23"/>
      <c r="H490" s="24"/>
      <c r="I490" s="22"/>
      <c r="J490" s="22"/>
      <c r="K490" s="22"/>
      <c r="L490" s="21"/>
      <c r="M490" s="20"/>
      <c r="N490" s="20"/>
      <c r="O490" s="23"/>
      <c r="P490" s="21"/>
      <c r="Q490" s="20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1"/>
      <c r="AU490" s="25" t="str">
        <f t="shared" si="14"/>
        <v>1Q42</v>
      </c>
      <c r="AV490" t="str">
        <f t="shared" si="15"/>
        <v>1Q42</v>
      </c>
      <c r="BA490">
        <f ca="1">IF(COUNTBLANK(C490)=0,COUNTA(INDIRECT(CONCATENATE("Area!",LEFT(ADDRESS(1,MATCH(C490,Area!$1:$1,0),4),1),"2:",LEFT(ADDRESS(1,MATCH(C490,Area!$1:$1,0),4),1),"99"))),0)</f>
        <v>0</v>
      </c>
      <c r="BB490">
        <f ca="1">IF(COUNTBLANK(D490)=0,COUNTA(INDIRECT(CONCATENATE("Setup!",LEFT(ADDRESS(1,MATCH(CONCATENATE(C490,":",D490),Setup!$1:$1,0),4),1),"2:",LEFT(ADDRESS(1,MATCH(CONCATENATE(C490,":",D490),Setup!$1:$1,0),4),1),"99"))),0)</f>
        <v>0</v>
      </c>
      <c r="BC490">
        <f ca="1">IF(COUNTBLANK(E490)=0,COUNTA(INDIRECT(CONCATENATE("Comp!",SUBSTITUTE(ADDRESS(1,MATCH(CONCATENATE(C490,":",D490,":",E490),Comp!$1:$1,0),4),"1",""),"2:",SUBSTITUTE(ADDRESS(1,MATCH(CONCATENATE(C490,":",D490,":",E490),Comp!$1:$1,0),4),"1",""),"99"))),0)</f>
        <v>0</v>
      </c>
    </row>
    <row r="491" spans="1:55">
      <c r="A491" s="20" t="s">
        <v>73</v>
      </c>
      <c r="B491" s="21"/>
      <c r="C491" s="20"/>
      <c r="D491" s="22"/>
      <c r="E491" s="22"/>
      <c r="F491" s="21"/>
      <c r="G491" s="23"/>
      <c r="H491" s="24"/>
      <c r="I491" s="22"/>
      <c r="J491" s="22"/>
      <c r="K491" s="22"/>
      <c r="L491" s="21"/>
      <c r="M491" s="20"/>
      <c r="N491" s="20"/>
      <c r="O491" s="23"/>
      <c r="P491" s="21"/>
      <c r="Q491" s="20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1"/>
      <c r="AU491" s="25" t="str">
        <f t="shared" si="14"/>
        <v>1Q42</v>
      </c>
      <c r="AV491" t="str">
        <f t="shared" si="15"/>
        <v>1Q42</v>
      </c>
      <c r="BA491">
        <f ca="1">IF(COUNTBLANK(C491)=0,COUNTA(INDIRECT(CONCATENATE("Area!",LEFT(ADDRESS(1,MATCH(C491,Area!$1:$1,0),4),1),"2:",LEFT(ADDRESS(1,MATCH(C491,Area!$1:$1,0),4),1),"99"))),0)</f>
        <v>0</v>
      </c>
      <c r="BB491">
        <f ca="1">IF(COUNTBLANK(D491)=0,COUNTA(INDIRECT(CONCATENATE("Setup!",LEFT(ADDRESS(1,MATCH(CONCATENATE(C491,":",D491),Setup!$1:$1,0),4),1),"2:",LEFT(ADDRESS(1,MATCH(CONCATENATE(C491,":",D491),Setup!$1:$1,0),4),1),"99"))),0)</f>
        <v>0</v>
      </c>
      <c r="BC491">
        <f ca="1">IF(COUNTBLANK(E491)=0,COUNTA(INDIRECT(CONCATENATE("Comp!",SUBSTITUTE(ADDRESS(1,MATCH(CONCATENATE(C491,":",D491,":",E491),Comp!$1:$1,0),4),"1",""),"2:",SUBSTITUTE(ADDRESS(1,MATCH(CONCATENATE(C491,":",D491,":",E491),Comp!$1:$1,0),4),"1",""),"99"))),0)</f>
        <v>0</v>
      </c>
    </row>
    <row r="492" spans="1:55">
      <c r="A492" s="20" t="s">
        <v>73</v>
      </c>
      <c r="B492" s="21"/>
      <c r="C492" s="20"/>
      <c r="D492" s="22"/>
      <c r="E492" s="22"/>
      <c r="F492" s="21"/>
      <c r="G492" s="23"/>
      <c r="H492" s="24"/>
      <c r="I492" s="22"/>
      <c r="J492" s="22"/>
      <c r="K492" s="22"/>
      <c r="L492" s="21"/>
      <c r="M492" s="20"/>
      <c r="N492" s="20"/>
      <c r="O492" s="23"/>
      <c r="P492" s="21"/>
      <c r="Q492" s="20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1"/>
      <c r="AU492" s="25" t="str">
        <f t="shared" si="14"/>
        <v>1Q42</v>
      </c>
      <c r="AV492" t="str">
        <f t="shared" si="15"/>
        <v>1Q42</v>
      </c>
      <c r="BA492">
        <f ca="1">IF(COUNTBLANK(C492)=0,COUNTA(INDIRECT(CONCATENATE("Area!",LEFT(ADDRESS(1,MATCH(C492,Area!$1:$1,0),4),1),"2:",LEFT(ADDRESS(1,MATCH(C492,Area!$1:$1,0),4),1),"99"))),0)</f>
        <v>0</v>
      </c>
      <c r="BB492">
        <f ca="1">IF(COUNTBLANK(D492)=0,COUNTA(INDIRECT(CONCATENATE("Setup!",LEFT(ADDRESS(1,MATCH(CONCATENATE(C492,":",D492),Setup!$1:$1,0),4),1),"2:",LEFT(ADDRESS(1,MATCH(CONCATENATE(C492,":",D492),Setup!$1:$1,0),4),1),"99"))),0)</f>
        <v>0</v>
      </c>
      <c r="BC492">
        <f ca="1">IF(COUNTBLANK(E492)=0,COUNTA(INDIRECT(CONCATENATE("Comp!",SUBSTITUTE(ADDRESS(1,MATCH(CONCATENATE(C492,":",D492,":",E492),Comp!$1:$1,0),4),"1",""),"2:",SUBSTITUTE(ADDRESS(1,MATCH(CONCATENATE(C492,":",D492,":",E492),Comp!$1:$1,0),4),"1",""),"99"))),0)</f>
        <v>0</v>
      </c>
    </row>
    <row r="493" spans="1:55">
      <c r="A493" s="20" t="s">
        <v>73</v>
      </c>
      <c r="B493" s="21"/>
      <c r="C493" s="20"/>
      <c r="D493" s="22"/>
      <c r="E493" s="22"/>
      <c r="F493" s="21"/>
      <c r="G493" s="23"/>
      <c r="H493" s="24"/>
      <c r="I493" s="22"/>
      <c r="J493" s="22"/>
      <c r="K493" s="22"/>
      <c r="L493" s="21"/>
      <c r="M493" s="20"/>
      <c r="N493" s="20"/>
      <c r="O493" s="23"/>
      <c r="P493" s="21"/>
      <c r="Q493" s="20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1"/>
      <c r="AU493" s="25" t="str">
        <f t="shared" si="14"/>
        <v>1Q42</v>
      </c>
      <c r="AV493" t="str">
        <f t="shared" si="15"/>
        <v>1Q42</v>
      </c>
      <c r="BA493">
        <f ca="1">IF(COUNTBLANK(C493)=0,COUNTA(INDIRECT(CONCATENATE("Area!",LEFT(ADDRESS(1,MATCH(C493,Area!$1:$1,0),4),1),"2:",LEFT(ADDRESS(1,MATCH(C493,Area!$1:$1,0),4),1),"99"))),0)</f>
        <v>0</v>
      </c>
      <c r="BB493">
        <f ca="1">IF(COUNTBLANK(D493)=0,COUNTA(INDIRECT(CONCATENATE("Setup!",LEFT(ADDRESS(1,MATCH(CONCATENATE(C493,":",D493),Setup!$1:$1,0),4),1),"2:",LEFT(ADDRESS(1,MATCH(CONCATENATE(C493,":",D493),Setup!$1:$1,0),4),1),"99"))),0)</f>
        <v>0</v>
      </c>
      <c r="BC493">
        <f ca="1">IF(COUNTBLANK(E493)=0,COUNTA(INDIRECT(CONCATENATE("Comp!",SUBSTITUTE(ADDRESS(1,MATCH(CONCATENATE(C493,":",D493,":",E493),Comp!$1:$1,0),4),"1",""),"2:",SUBSTITUTE(ADDRESS(1,MATCH(CONCATENATE(C493,":",D493,":",E493),Comp!$1:$1,0),4),"1",""),"99"))),0)</f>
        <v>0</v>
      </c>
    </row>
    <row r="494" spans="1:55">
      <c r="A494" s="20" t="s">
        <v>73</v>
      </c>
      <c r="B494" s="21"/>
      <c r="C494" s="20"/>
      <c r="D494" s="22"/>
      <c r="E494" s="22"/>
      <c r="F494" s="21"/>
      <c r="G494" s="23"/>
      <c r="H494" s="24"/>
      <c r="I494" s="22"/>
      <c r="J494" s="22"/>
      <c r="K494" s="22"/>
      <c r="L494" s="21"/>
      <c r="M494" s="20"/>
      <c r="N494" s="20"/>
      <c r="O494" s="23"/>
      <c r="P494" s="21"/>
      <c r="Q494" s="20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1"/>
      <c r="AU494" s="25" t="str">
        <f t="shared" si="14"/>
        <v>1Q42</v>
      </c>
      <c r="AV494" t="str">
        <f t="shared" si="15"/>
        <v>1Q42</v>
      </c>
      <c r="BA494">
        <f ca="1">IF(COUNTBLANK(C494)=0,COUNTA(INDIRECT(CONCATENATE("Area!",LEFT(ADDRESS(1,MATCH(C494,Area!$1:$1,0),4),1),"2:",LEFT(ADDRESS(1,MATCH(C494,Area!$1:$1,0),4),1),"99"))),0)</f>
        <v>0</v>
      </c>
      <c r="BB494">
        <f ca="1">IF(COUNTBLANK(D494)=0,COUNTA(INDIRECT(CONCATENATE("Setup!",LEFT(ADDRESS(1,MATCH(CONCATENATE(C494,":",D494),Setup!$1:$1,0),4),1),"2:",LEFT(ADDRESS(1,MATCH(CONCATENATE(C494,":",D494),Setup!$1:$1,0),4),1),"99"))),0)</f>
        <v>0</v>
      </c>
      <c r="BC494">
        <f ca="1">IF(COUNTBLANK(E494)=0,COUNTA(INDIRECT(CONCATENATE("Comp!",SUBSTITUTE(ADDRESS(1,MATCH(CONCATENATE(C494,":",D494,":",E494),Comp!$1:$1,0),4),"1",""),"2:",SUBSTITUTE(ADDRESS(1,MATCH(CONCATENATE(C494,":",D494,":",E494),Comp!$1:$1,0),4),"1",""),"99"))),0)</f>
        <v>0</v>
      </c>
    </row>
    <row r="495" spans="1:55">
      <c r="A495" s="20" t="s">
        <v>73</v>
      </c>
      <c r="B495" s="21"/>
      <c r="C495" s="20"/>
      <c r="D495" s="22"/>
      <c r="E495" s="22"/>
      <c r="F495" s="21"/>
      <c r="G495" s="23"/>
      <c r="H495" s="24"/>
      <c r="I495" s="22"/>
      <c r="J495" s="22"/>
      <c r="K495" s="22"/>
      <c r="L495" s="21"/>
      <c r="M495" s="20"/>
      <c r="N495" s="20"/>
      <c r="O495" s="23"/>
      <c r="P495" s="21"/>
      <c r="Q495" s="20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1"/>
      <c r="AU495" s="25" t="str">
        <f t="shared" si="14"/>
        <v>1Q42</v>
      </c>
      <c r="AV495" t="str">
        <f t="shared" si="15"/>
        <v>1Q42</v>
      </c>
      <c r="BA495">
        <f ca="1">IF(COUNTBLANK(C495)=0,COUNTA(INDIRECT(CONCATENATE("Area!",LEFT(ADDRESS(1,MATCH(C495,Area!$1:$1,0),4),1),"2:",LEFT(ADDRESS(1,MATCH(C495,Area!$1:$1,0),4),1),"99"))),0)</f>
        <v>0</v>
      </c>
      <c r="BB495">
        <f ca="1">IF(COUNTBLANK(D495)=0,COUNTA(INDIRECT(CONCATENATE("Setup!",LEFT(ADDRESS(1,MATCH(CONCATENATE(C495,":",D495),Setup!$1:$1,0),4),1),"2:",LEFT(ADDRESS(1,MATCH(CONCATENATE(C495,":",D495),Setup!$1:$1,0),4),1),"99"))),0)</f>
        <v>0</v>
      </c>
      <c r="BC495">
        <f ca="1">IF(COUNTBLANK(E495)=0,COUNTA(INDIRECT(CONCATENATE("Comp!",SUBSTITUTE(ADDRESS(1,MATCH(CONCATENATE(C495,":",D495,":",E495),Comp!$1:$1,0),4),"1",""),"2:",SUBSTITUTE(ADDRESS(1,MATCH(CONCATENATE(C495,":",D495,":",E495),Comp!$1:$1,0),4),"1",""),"99"))),0)</f>
        <v>0</v>
      </c>
    </row>
    <row r="496" spans="1:55">
      <c r="A496" s="20" t="s">
        <v>73</v>
      </c>
      <c r="B496" s="21"/>
      <c r="C496" s="20"/>
      <c r="D496" s="22"/>
      <c r="E496" s="22"/>
      <c r="F496" s="21"/>
      <c r="G496" s="23"/>
      <c r="H496" s="24"/>
      <c r="I496" s="22"/>
      <c r="J496" s="22"/>
      <c r="K496" s="22"/>
      <c r="L496" s="21"/>
      <c r="M496" s="20"/>
      <c r="N496" s="20"/>
      <c r="O496" s="23"/>
      <c r="P496" s="21"/>
      <c r="Q496" s="20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1"/>
      <c r="AU496" s="25" t="str">
        <f t="shared" si="14"/>
        <v>1Q42</v>
      </c>
      <c r="AV496" t="str">
        <f t="shared" si="15"/>
        <v>1Q42</v>
      </c>
      <c r="BA496">
        <f ca="1">IF(COUNTBLANK(C496)=0,COUNTA(INDIRECT(CONCATENATE("Area!",LEFT(ADDRESS(1,MATCH(C496,Area!$1:$1,0),4),1),"2:",LEFT(ADDRESS(1,MATCH(C496,Area!$1:$1,0),4),1),"99"))),0)</f>
        <v>0</v>
      </c>
      <c r="BB496">
        <f ca="1">IF(COUNTBLANK(D496)=0,COUNTA(INDIRECT(CONCATENATE("Setup!",LEFT(ADDRESS(1,MATCH(CONCATENATE(C496,":",D496),Setup!$1:$1,0),4),1),"2:",LEFT(ADDRESS(1,MATCH(CONCATENATE(C496,":",D496),Setup!$1:$1,0),4),1),"99"))),0)</f>
        <v>0</v>
      </c>
      <c r="BC496">
        <f ca="1">IF(COUNTBLANK(E496)=0,COUNTA(INDIRECT(CONCATENATE("Comp!",SUBSTITUTE(ADDRESS(1,MATCH(CONCATENATE(C496,":",D496,":",E496),Comp!$1:$1,0),4),"1",""),"2:",SUBSTITUTE(ADDRESS(1,MATCH(CONCATENATE(C496,":",D496,":",E496),Comp!$1:$1,0),4),"1",""),"99"))),0)</f>
        <v>0</v>
      </c>
    </row>
    <row r="497" spans="1:55">
      <c r="A497" s="20" t="s">
        <v>73</v>
      </c>
      <c r="B497" s="21"/>
      <c r="C497" s="20"/>
      <c r="D497" s="22"/>
      <c r="E497" s="22"/>
      <c r="F497" s="21"/>
      <c r="G497" s="23"/>
      <c r="H497" s="24"/>
      <c r="I497" s="22"/>
      <c r="J497" s="22"/>
      <c r="K497" s="22"/>
      <c r="L497" s="21"/>
      <c r="M497" s="20"/>
      <c r="N497" s="20"/>
      <c r="O497" s="23"/>
      <c r="P497" s="21"/>
      <c r="Q497" s="20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1"/>
      <c r="AU497" s="25" t="str">
        <f t="shared" si="14"/>
        <v>1Q42</v>
      </c>
      <c r="AV497" t="str">
        <f t="shared" si="15"/>
        <v>1Q42</v>
      </c>
      <c r="BA497">
        <f ca="1">IF(COUNTBLANK(C497)=0,COUNTA(INDIRECT(CONCATENATE("Area!",LEFT(ADDRESS(1,MATCH(C497,Area!$1:$1,0),4),1),"2:",LEFT(ADDRESS(1,MATCH(C497,Area!$1:$1,0),4),1),"99"))),0)</f>
        <v>0</v>
      </c>
      <c r="BB497">
        <f ca="1">IF(COUNTBLANK(D497)=0,COUNTA(INDIRECT(CONCATENATE("Setup!",LEFT(ADDRESS(1,MATCH(CONCATENATE(C497,":",D497),Setup!$1:$1,0),4),1),"2:",LEFT(ADDRESS(1,MATCH(CONCATENATE(C497,":",D497),Setup!$1:$1,0),4),1),"99"))),0)</f>
        <v>0</v>
      </c>
      <c r="BC497">
        <f ca="1">IF(COUNTBLANK(E497)=0,COUNTA(INDIRECT(CONCATENATE("Comp!",SUBSTITUTE(ADDRESS(1,MATCH(CONCATENATE(C497,":",D497,":",E497),Comp!$1:$1,0),4),"1",""),"2:",SUBSTITUTE(ADDRESS(1,MATCH(CONCATENATE(C497,":",D497,":",E497),Comp!$1:$1,0),4),"1",""),"99"))),0)</f>
        <v>0</v>
      </c>
    </row>
    <row r="498" spans="1:55">
      <c r="A498" s="20" t="s">
        <v>73</v>
      </c>
      <c r="B498" s="21"/>
      <c r="C498" s="20"/>
      <c r="D498" s="22"/>
      <c r="E498" s="22"/>
      <c r="F498" s="21"/>
      <c r="G498" s="23"/>
      <c r="H498" s="24"/>
      <c r="I498" s="22"/>
      <c r="J498" s="22"/>
      <c r="K498" s="22"/>
      <c r="L498" s="21"/>
      <c r="M498" s="20"/>
      <c r="N498" s="20"/>
      <c r="O498" s="23"/>
      <c r="P498" s="21"/>
      <c r="Q498" s="20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1"/>
      <c r="AU498" s="25" t="str">
        <f t="shared" si="14"/>
        <v>1Q42</v>
      </c>
      <c r="AV498" t="str">
        <f t="shared" si="15"/>
        <v>1Q42</v>
      </c>
      <c r="BA498">
        <f ca="1">IF(COUNTBLANK(C498)=0,COUNTA(INDIRECT(CONCATENATE("Area!",LEFT(ADDRESS(1,MATCH(C498,Area!$1:$1,0),4),1),"2:",LEFT(ADDRESS(1,MATCH(C498,Area!$1:$1,0),4),1),"99"))),0)</f>
        <v>0</v>
      </c>
      <c r="BB498">
        <f ca="1">IF(COUNTBLANK(D498)=0,COUNTA(INDIRECT(CONCATENATE("Setup!",LEFT(ADDRESS(1,MATCH(CONCATENATE(C498,":",D498),Setup!$1:$1,0),4),1),"2:",LEFT(ADDRESS(1,MATCH(CONCATENATE(C498,":",D498),Setup!$1:$1,0),4),1),"99"))),0)</f>
        <v>0</v>
      </c>
      <c r="BC498">
        <f ca="1">IF(COUNTBLANK(E498)=0,COUNTA(INDIRECT(CONCATENATE("Comp!",SUBSTITUTE(ADDRESS(1,MATCH(CONCATENATE(C498,":",D498,":",E498),Comp!$1:$1,0),4),"1",""),"2:",SUBSTITUTE(ADDRESS(1,MATCH(CONCATENATE(C498,":",D498,":",E498),Comp!$1:$1,0),4),"1",""),"99"))),0)</f>
        <v>0</v>
      </c>
    </row>
    <row r="499" spans="1:55">
      <c r="A499" s="20" t="s">
        <v>73</v>
      </c>
      <c r="B499" s="21"/>
      <c r="C499" s="20"/>
      <c r="D499" s="22"/>
      <c r="E499" s="22"/>
      <c r="F499" s="21"/>
      <c r="G499" s="23"/>
      <c r="H499" s="24"/>
      <c r="I499" s="22"/>
      <c r="J499" s="22"/>
      <c r="K499" s="22"/>
      <c r="L499" s="21"/>
      <c r="M499" s="20"/>
      <c r="N499" s="20"/>
      <c r="O499" s="23"/>
      <c r="P499" s="21"/>
      <c r="Q499" s="20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1"/>
      <c r="AU499" s="25" t="str">
        <f t="shared" si="14"/>
        <v>1Q42</v>
      </c>
      <c r="AV499" t="str">
        <f t="shared" si="15"/>
        <v>1Q42</v>
      </c>
      <c r="BA499">
        <f ca="1">IF(COUNTBLANK(C499)=0,COUNTA(INDIRECT(CONCATENATE("Area!",LEFT(ADDRESS(1,MATCH(C499,Area!$1:$1,0),4),1),"2:",LEFT(ADDRESS(1,MATCH(C499,Area!$1:$1,0),4),1),"99"))),0)</f>
        <v>0</v>
      </c>
      <c r="BB499">
        <f ca="1">IF(COUNTBLANK(D499)=0,COUNTA(INDIRECT(CONCATENATE("Setup!",LEFT(ADDRESS(1,MATCH(CONCATENATE(C499,":",D499),Setup!$1:$1,0),4),1),"2:",LEFT(ADDRESS(1,MATCH(CONCATENATE(C499,":",D499),Setup!$1:$1,0),4),1),"99"))),0)</f>
        <v>0</v>
      </c>
      <c r="BC499">
        <f ca="1">IF(COUNTBLANK(E499)=0,COUNTA(INDIRECT(CONCATENATE("Comp!",SUBSTITUTE(ADDRESS(1,MATCH(CONCATENATE(C499,":",D499,":",E499),Comp!$1:$1,0),4),"1",""),"2:",SUBSTITUTE(ADDRESS(1,MATCH(CONCATENATE(C499,":",D499,":",E499),Comp!$1:$1,0),4),"1",""),"99"))),0)</f>
        <v>0</v>
      </c>
    </row>
    <row r="500" spans="1:55">
      <c r="A500" s="20" t="s">
        <v>73</v>
      </c>
      <c r="B500" s="21"/>
      <c r="C500" s="20"/>
      <c r="D500" s="22"/>
      <c r="E500" s="22"/>
      <c r="F500" s="21"/>
      <c r="G500" s="23"/>
      <c r="H500" s="24"/>
      <c r="I500" s="22"/>
      <c r="J500" s="22"/>
      <c r="K500" s="22"/>
      <c r="L500" s="21"/>
      <c r="M500" s="20"/>
      <c r="N500" s="20"/>
      <c r="O500" s="23"/>
      <c r="P500" s="21"/>
      <c r="Q500" s="20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1"/>
      <c r="AU500" s="25" t="str">
        <f t="shared" si="14"/>
        <v>1Q42</v>
      </c>
      <c r="AV500" t="str">
        <f t="shared" si="15"/>
        <v>1Q42</v>
      </c>
      <c r="BA500">
        <f ca="1">IF(COUNTBLANK(C500)=0,COUNTA(INDIRECT(CONCATENATE("Area!",LEFT(ADDRESS(1,MATCH(C500,Area!$1:$1,0),4),1),"2:",LEFT(ADDRESS(1,MATCH(C500,Area!$1:$1,0),4),1),"99"))),0)</f>
        <v>0</v>
      </c>
      <c r="BB500">
        <f ca="1">IF(COUNTBLANK(D500)=0,COUNTA(INDIRECT(CONCATENATE("Setup!",LEFT(ADDRESS(1,MATCH(CONCATENATE(C500,":",D500),Setup!$1:$1,0),4),1),"2:",LEFT(ADDRESS(1,MATCH(CONCATENATE(C500,":",D500),Setup!$1:$1,0),4),1),"99"))),0)</f>
        <v>0</v>
      </c>
      <c r="BC500">
        <f ca="1">IF(COUNTBLANK(E500)=0,COUNTA(INDIRECT(CONCATENATE("Comp!",SUBSTITUTE(ADDRESS(1,MATCH(CONCATENATE(C500,":",D500,":",E500),Comp!$1:$1,0),4),"1",""),"2:",SUBSTITUTE(ADDRESS(1,MATCH(CONCATENATE(C500,":",D500,":",E500),Comp!$1:$1,0),4),"1",""),"99"))),0)</f>
        <v>0</v>
      </c>
    </row>
    <row r="501" spans="1:55">
      <c r="A501" s="20" t="s">
        <v>73</v>
      </c>
      <c r="B501" s="21"/>
      <c r="C501" s="20"/>
      <c r="D501" s="22"/>
      <c r="E501" s="22"/>
      <c r="F501" s="21"/>
      <c r="G501" s="23"/>
      <c r="H501" s="24"/>
      <c r="I501" s="22"/>
      <c r="J501" s="22"/>
      <c r="K501" s="22"/>
      <c r="L501" s="21"/>
      <c r="M501" s="20"/>
      <c r="N501" s="20"/>
      <c r="O501" s="23"/>
      <c r="P501" s="21"/>
      <c r="Q501" s="20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1"/>
      <c r="AU501" s="25" t="str">
        <f t="shared" si="14"/>
        <v>1Q42</v>
      </c>
      <c r="AV501" t="str">
        <f t="shared" si="15"/>
        <v>1Q42</v>
      </c>
      <c r="BA501">
        <f ca="1">IF(COUNTBLANK(C501)=0,COUNTA(INDIRECT(CONCATENATE("Area!",LEFT(ADDRESS(1,MATCH(C501,Area!$1:$1,0),4),1),"2:",LEFT(ADDRESS(1,MATCH(C501,Area!$1:$1,0),4),1),"99"))),0)</f>
        <v>0</v>
      </c>
      <c r="BB501">
        <f ca="1">IF(COUNTBLANK(D501)=0,COUNTA(INDIRECT(CONCATENATE("Setup!",LEFT(ADDRESS(1,MATCH(CONCATENATE(C501,":",D501),Setup!$1:$1,0),4),1),"2:",LEFT(ADDRESS(1,MATCH(CONCATENATE(C501,":",D501),Setup!$1:$1,0),4),1),"99"))),0)</f>
        <v>0</v>
      </c>
      <c r="BC501">
        <f ca="1">IF(COUNTBLANK(E501)=0,COUNTA(INDIRECT(CONCATENATE("Comp!",SUBSTITUTE(ADDRESS(1,MATCH(CONCATENATE(C501,":",D501,":",E501),Comp!$1:$1,0),4),"1",""),"2:",SUBSTITUTE(ADDRESS(1,MATCH(CONCATENATE(C501,":",D501,":",E501),Comp!$1:$1,0),4),"1",""),"99"))),0)</f>
        <v>0</v>
      </c>
    </row>
    <row r="502" spans="1:55">
      <c r="A502" s="20" t="s">
        <v>73</v>
      </c>
      <c r="B502" s="21"/>
      <c r="C502" s="20"/>
      <c r="D502" s="22"/>
      <c r="E502" s="22"/>
      <c r="F502" s="21"/>
      <c r="G502" s="23"/>
      <c r="H502" s="24"/>
      <c r="I502" s="22"/>
      <c r="J502" s="22"/>
      <c r="K502" s="22"/>
      <c r="L502" s="21"/>
      <c r="M502" s="20"/>
      <c r="N502" s="20"/>
      <c r="O502" s="23"/>
      <c r="P502" s="21"/>
      <c r="Q502" s="20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1"/>
      <c r="AU502" s="25" t="str">
        <f t="shared" si="14"/>
        <v>1Q42</v>
      </c>
      <c r="AV502" t="str">
        <f t="shared" si="15"/>
        <v>1Q42</v>
      </c>
      <c r="BA502">
        <f ca="1">IF(COUNTBLANK(C502)=0,COUNTA(INDIRECT(CONCATENATE("Area!",LEFT(ADDRESS(1,MATCH(C502,Area!$1:$1,0),4),1),"2:",LEFT(ADDRESS(1,MATCH(C502,Area!$1:$1,0),4),1),"99"))),0)</f>
        <v>0</v>
      </c>
      <c r="BB502">
        <f ca="1">IF(COUNTBLANK(D502)=0,COUNTA(INDIRECT(CONCATENATE("Setup!",LEFT(ADDRESS(1,MATCH(CONCATENATE(C502,":",D502),Setup!$1:$1,0),4),1),"2:",LEFT(ADDRESS(1,MATCH(CONCATENATE(C502,":",D502),Setup!$1:$1,0),4),1),"99"))),0)</f>
        <v>0</v>
      </c>
      <c r="BC502">
        <f ca="1">IF(COUNTBLANK(E502)=0,COUNTA(INDIRECT(CONCATENATE("Comp!",SUBSTITUTE(ADDRESS(1,MATCH(CONCATENATE(C502,":",D502,":",E502),Comp!$1:$1,0),4),"1",""),"2:",SUBSTITUTE(ADDRESS(1,MATCH(CONCATENATE(C502,":",D502,":",E502),Comp!$1:$1,0),4),"1",""),"99"))),0)</f>
        <v>0</v>
      </c>
    </row>
    <row r="503" spans="1:55">
      <c r="A503" s="20" t="s">
        <v>73</v>
      </c>
      <c r="B503" s="21"/>
      <c r="C503" s="20"/>
      <c r="D503" s="22"/>
      <c r="E503" s="22"/>
      <c r="F503" s="21"/>
      <c r="G503" s="23"/>
      <c r="H503" s="24"/>
      <c r="I503" s="22"/>
      <c r="J503" s="22"/>
      <c r="K503" s="22"/>
      <c r="L503" s="21"/>
      <c r="M503" s="20"/>
      <c r="N503" s="20"/>
      <c r="O503" s="23"/>
      <c r="P503" s="21"/>
      <c r="Q503" s="20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1"/>
      <c r="AU503" s="25" t="str">
        <f t="shared" si="14"/>
        <v>1Q42</v>
      </c>
      <c r="AV503" t="str">
        <f t="shared" si="15"/>
        <v>1Q42</v>
      </c>
      <c r="BA503">
        <f ca="1">IF(COUNTBLANK(C503)=0,COUNTA(INDIRECT(CONCATENATE("Area!",LEFT(ADDRESS(1,MATCH(C503,Area!$1:$1,0),4),1),"2:",LEFT(ADDRESS(1,MATCH(C503,Area!$1:$1,0),4),1),"99"))),0)</f>
        <v>0</v>
      </c>
      <c r="BB503">
        <f ca="1">IF(COUNTBLANK(D503)=0,COUNTA(INDIRECT(CONCATENATE("Setup!",LEFT(ADDRESS(1,MATCH(CONCATENATE(C503,":",D503),Setup!$1:$1,0),4),1),"2:",LEFT(ADDRESS(1,MATCH(CONCATENATE(C503,":",D503),Setup!$1:$1,0),4),1),"99"))),0)</f>
        <v>0</v>
      </c>
      <c r="BC503">
        <f ca="1">IF(COUNTBLANK(E503)=0,COUNTA(INDIRECT(CONCATENATE("Comp!",SUBSTITUTE(ADDRESS(1,MATCH(CONCATENATE(C503,":",D503,":",E503),Comp!$1:$1,0),4),"1",""),"2:",SUBSTITUTE(ADDRESS(1,MATCH(CONCATENATE(C503,":",D503,":",E503),Comp!$1:$1,0),4),"1",""),"99"))),0)</f>
        <v>0</v>
      </c>
    </row>
    <row r="504" spans="1:55">
      <c r="A504" s="20" t="s">
        <v>73</v>
      </c>
      <c r="B504" s="21"/>
      <c r="C504" s="20"/>
      <c r="D504" s="22"/>
      <c r="E504" s="22"/>
      <c r="F504" s="21"/>
      <c r="G504" s="23"/>
      <c r="H504" s="24"/>
      <c r="I504" s="22"/>
      <c r="J504" s="22"/>
      <c r="K504" s="22"/>
      <c r="L504" s="21"/>
      <c r="M504" s="20"/>
      <c r="N504" s="20"/>
      <c r="O504" s="23"/>
      <c r="P504" s="21"/>
      <c r="Q504" s="20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1"/>
      <c r="AU504" s="25" t="str">
        <f t="shared" si="14"/>
        <v>1Q42</v>
      </c>
      <c r="AV504" t="str">
        <f t="shared" si="15"/>
        <v>1Q42</v>
      </c>
      <c r="BA504">
        <f ca="1">IF(COUNTBLANK(C504)=0,COUNTA(INDIRECT(CONCATENATE("Area!",LEFT(ADDRESS(1,MATCH(C504,Area!$1:$1,0),4),1),"2:",LEFT(ADDRESS(1,MATCH(C504,Area!$1:$1,0),4),1),"99"))),0)</f>
        <v>0</v>
      </c>
      <c r="BB504">
        <f ca="1">IF(COUNTBLANK(D504)=0,COUNTA(INDIRECT(CONCATENATE("Setup!",LEFT(ADDRESS(1,MATCH(CONCATENATE(C504,":",D504),Setup!$1:$1,0),4),1),"2:",LEFT(ADDRESS(1,MATCH(CONCATENATE(C504,":",D504),Setup!$1:$1,0),4),1),"99"))),0)</f>
        <v>0</v>
      </c>
      <c r="BC504">
        <f ca="1">IF(COUNTBLANK(E504)=0,COUNTA(INDIRECT(CONCATENATE("Comp!",SUBSTITUTE(ADDRESS(1,MATCH(CONCATENATE(C504,":",D504,":",E504),Comp!$1:$1,0),4),"1",""),"2:",SUBSTITUTE(ADDRESS(1,MATCH(CONCATENATE(C504,":",D504,":",E504),Comp!$1:$1,0),4),"1",""),"99"))),0)</f>
        <v>0</v>
      </c>
    </row>
    <row r="505" spans="1:55">
      <c r="A505" s="20" t="s">
        <v>73</v>
      </c>
      <c r="B505" s="21"/>
      <c r="C505" s="20"/>
      <c r="D505" s="22"/>
      <c r="E505" s="22"/>
      <c r="F505" s="21"/>
      <c r="G505" s="23"/>
      <c r="H505" s="24"/>
      <c r="I505" s="22"/>
      <c r="J505" s="22"/>
      <c r="K505" s="22"/>
      <c r="L505" s="21"/>
      <c r="M505" s="20"/>
      <c r="N505" s="20"/>
      <c r="O505" s="23"/>
      <c r="P505" s="21"/>
      <c r="Q505" s="20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1"/>
      <c r="AU505" s="25" t="str">
        <f t="shared" si="14"/>
        <v>1Q42</v>
      </c>
      <c r="AV505" t="str">
        <f t="shared" si="15"/>
        <v>1Q42</v>
      </c>
      <c r="BA505">
        <f ca="1">IF(COUNTBLANK(C505)=0,COUNTA(INDIRECT(CONCATENATE("Area!",LEFT(ADDRESS(1,MATCH(C505,Area!$1:$1,0),4),1),"2:",LEFT(ADDRESS(1,MATCH(C505,Area!$1:$1,0),4),1),"99"))),0)</f>
        <v>0</v>
      </c>
      <c r="BB505">
        <f ca="1">IF(COUNTBLANK(D505)=0,COUNTA(INDIRECT(CONCATENATE("Setup!",LEFT(ADDRESS(1,MATCH(CONCATENATE(C505,":",D505),Setup!$1:$1,0),4),1),"2:",LEFT(ADDRESS(1,MATCH(CONCATENATE(C505,":",D505),Setup!$1:$1,0),4),1),"99"))),0)</f>
        <v>0</v>
      </c>
      <c r="BC505">
        <f ca="1">IF(COUNTBLANK(E505)=0,COUNTA(INDIRECT(CONCATENATE("Comp!",SUBSTITUTE(ADDRESS(1,MATCH(CONCATENATE(C505,":",D505,":",E505),Comp!$1:$1,0),4),"1",""),"2:",SUBSTITUTE(ADDRESS(1,MATCH(CONCATENATE(C505,":",D505,":",E505),Comp!$1:$1,0),4),"1",""),"99"))),0)</f>
        <v>0</v>
      </c>
    </row>
    <row r="506" spans="1:55">
      <c r="A506" s="20" t="s">
        <v>73</v>
      </c>
      <c r="B506" s="21"/>
      <c r="C506" s="20"/>
      <c r="D506" s="22"/>
      <c r="E506" s="22"/>
      <c r="F506" s="21"/>
      <c r="G506" s="23"/>
      <c r="H506" s="24"/>
      <c r="I506" s="22"/>
      <c r="J506" s="22"/>
      <c r="K506" s="22"/>
      <c r="L506" s="21"/>
      <c r="M506" s="20"/>
      <c r="N506" s="20"/>
      <c r="O506" s="23"/>
      <c r="P506" s="21"/>
      <c r="Q506" s="20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1"/>
      <c r="AU506" s="25" t="str">
        <f t="shared" si="14"/>
        <v>1Q42</v>
      </c>
      <c r="AV506" t="str">
        <f t="shared" si="15"/>
        <v>1Q42</v>
      </c>
      <c r="BA506">
        <f ca="1">IF(COUNTBLANK(C506)=0,COUNTA(INDIRECT(CONCATENATE("Area!",LEFT(ADDRESS(1,MATCH(C506,Area!$1:$1,0),4),1),"2:",LEFT(ADDRESS(1,MATCH(C506,Area!$1:$1,0),4),1),"99"))),0)</f>
        <v>0</v>
      </c>
      <c r="BB506">
        <f ca="1">IF(COUNTBLANK(D506)=0,COUNTA(INDIRECT(CONCATENATE("Setup!",LEFT(ADDRESS(1,MATCH(CONCATENATE(C506,":",D506),Setup!$1:$1,0),4),1),"2:",LEFT(ADDRESS(1,MATCH(CONCATENATE(C506,":",D506),Setup!$1:$1,0),4),1),"99"))),0)</f>
        <v>0</v>
      </c>
      <c r="BC506">
        <f ca="1">IF(COUNTBLANK(E506)=0,COUNTA(INDIRECT(CONCATENATE("Comp!",SUBSTITUTE(ADDRESS(1,MATCH(CONCATENATE(C506,":",D506,":",E506),Comp!$1:$1,0),4),"1",""),"2:",SUBSTITUTE(ADDRESS(1,MATCH(CONCATENATE(C506,":",D506,":",E506),Comp!$1:$1,0),4),"1",""),"99"))),0)</f>
        <v>0</v>
      </c>
    </row>
    <row r="507" spans="1:55">
      <c r="A507" s="20" t="s">
        <v>73</v>
      </c>
      <c r="B507" s="21"/>
      <c r="C507" s="20"/>
      <c r="D507" s="22"/>
      <c r="E507" s="22"/>
      <c r="F507" s="21"/>
      <c r="G507" s="23"/>
      <c r="H507" s="24"/>
      <c r="I507" s="22"/>
      <c r="J507" s="22"/>
      <c r="K507" s="22"/>
      <c r="L507" s="21"/>
      <c r="M507" s="20"/>
      <c r="N507" s="20"/>
      <c r="O507" s="23"/>
      <c r="P507" s="21"/>
      <c r="Q507" s="20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1"/>
      <c r="AU507" s="25" t="str">
        <f t="shared" si="14"/>
        <v>1Q42</v>
      </c>
      <c r="AV507" t="str">
        <f t="shared" si="15"/>
        <v>1Q42</v>
      </c>
      <c r="BA507">
        <f ca="1">IF(COUNTBLANK(C507)=0,COUNTA(INDIRECT(CONCATENATE("Area!",LEFT(ADDRESS(1,MATCH(C507,Area!$1:$1,0),4),1),"2:",LEFT(ADDRESS(1,MATCH(C507,Area!$1:$1,0),4),1),"99"))),0)</f>
        <v>0</v>
      </c>
      <c r="BB507">
        <f ca="1">IF(COUNTBLANK(D507)=0,COUNTA(INDIRECT(CONCATENATE("Setup!",LEFT(ADDRESS(1,MATCH(CONCATENATE(C507,":",D507),Setup!$1:$1,0),4),1),"2:",LEFT(ADDRESS(1,MATCH(CONCATENATE(C507,":",D507),Setup!$1:$1,0),4),1),"99"))),0)</f>
        <v>0</v>
      </c>
      <c r="BC507">
        <f ca="1">IF(COUNTBLANK(E507)=0,COUNTA(INDIRECT(CONCATENATE("Comp!",SUBSTITUTE(ADDRESS(1,MATCH(CONCATENATE(C507,":",D507,":",E507),Comp!$1:$1,0),4),"1",""),"2:",SUBSTITUTE(ADDRESS(1,MATCH(CONCATENATE(C507,":",D507,":",E507),Comp!$1:$1,0),4),"1",""),"99"))),0)</f>
        <v>0</v>
      </c>
    </row>
    <row r="508" spans="1:55">
      <c r="A508" s="20" t="s">
        <v>73</v>
      </c>
      <c r="B508" s="21"/>
      <c r="C508" s="20"/>
      <c r="D508" s="22"/>
      <c r="E508" s="22"/>
      <c r="F508" s="21"/>
      <c r="G508" s="23"/>
      <c r="H508" s="24"/>
      <c r="I508" s="22"/>
      <c r="J508" s="22"/>
      <c r="K508" s="22"/>
      <c r="L508" s="21"/>
      <c r="M508" s="20"/>
      <c r="N508" s="20"/>
      <c r="O508" s="23"/>
      <c r="P508" s="21"/>
      <c r="Q508" s="20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1"/>
      <c r="AU508" s="25" t="str">
        <f t="shared" si="14"/>
        <v>1Q42</v>
      </c>
      <c r="AV508" t="str">
        <f t="shared" si="15"/>
        <v>1Q42</v>
      </c>
      <c r="BA508">
        <f ca="1">IF(COUNTBLANK(C508)=0,COUNTA(INDIRECT(CONCATENATE("Area!",LEFT(ADDRESS(1,MATCH(C508,Area!$1:$1,0),4),1),"2:",LEFT(ADDRESS(1,MATCH(C508,Area!$1:$1,0),4),1),"99"))),0)</f>
        <v>0</v>
      </c>
      <c r="BB508">
        <f ca="1">IF(COUNTBLANK(D508)=0,COUNTA(INDIRECT(CONCATENATE("Setup!",LEFT(ADDRESS(1,MATCH(CONCATENATE(C508,":",D508),Setup!$1:$1,0),4),1),"2:",LEFT(ADDRESS(1,MATCH(CONCATENATE(C508,":",D508),Setup!$1:$1,0),4),1),"99"))),0)</f>
        <v>0</v>
      </c>
      <c r="BC508">
        <f ca="1">IF(COUNTBLANK(E508)=0,COUNTA(INDIRECT(CONCATENATE("Comp!",SUBSTITUTE(ADDRESS(1,MATCH(CONCATENATE(C508,":",D508,":",E508),Comp!$1:$1,0),4),"1",""),"2:",SUBSTITUTE(ADDRESS(1,MATCH(CONCATENATE(C508,":",D508,":",E508),Comp!$1:$1,0),4),"1",""),"99"))),0)</f>
        <v>0</v>
      </c>
    </row>
    <row r="509" spans="1:55">
      <c r="A509" s="20" t="s">
        <v>73</v>
      </c>
      <c r="B509" s="21"/>
      <c r="C509" s="20"/>
      <c r="D509" s="22"/>
      <c r="E509" s="22"/>
      <c r="F509" s="21"/>
      <c r="G509" s="23"/>
      <c r="H509" s="24"/>
      <c r="I509" s="22"/>
      <c r="J509" s="22"/>
      <c r="K509" s="22"/>
      <c r="L509" s="21"/>
      <c r="M509" s="20"/>
      <c r="N509" s="20"/>
      <c r="O509" s="23"/>
      <c r="P509" s="21"/>
      <c r="Q509" s="20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1"/>
      <c r="AU509" s="25" t="str">
        <f t="shared" si="14"/>
        <v>1Q42</v>
      </c>
      <c r="AV509" t="str">
        <f t="shared" si="15"/>
        <v>1Q42</v>
      </c>
      <c r="BA509">
        <f ca="1">IF(COUNTBLANK(C509)=0,COUNTA(INDIRECT(CONCATENATE("Area!",LEFT(ADDRESS(1,MATCH(C509,Area!$1:$1,0),4),1),"2:",LEFT(ADDRESS(1,MATCH(C509,Area!$1:$1,0),4),1),"99"))),0)</f>
        <v>0</v>
      </c>
      <c r="BB509">
        <f ca="1">IF(COUNTBLANK(D509)=0,COUNTA(INDIRECT(CONCATENATE("Setup!",LEFT(ADDRESS(1,MATCH(CONCATENATE(C509,":",D509),Setup!$1:$1,0),4),1),"2:",LEFT(ADDRESS(1,MATCH(CONCATENATE(C509,":",D509),Setup!$1:$1,0),4),1),"99"))),0)</f>
        <v>0</v>
      </c>
      <c r="BC509">
        <f ca="1">IF(COUNTBLANK(E509)=0,COUNTA(INDIRECT(CONCATENATE("Comp!",SUBSTITUTE(ADDRESS(1,MATCH(CONCATENATE(C509,":",D509,":",E509),Comp!$1:$1,0),4),"1",""),"2:",SUBSTITUTE(ADDRESS(1,MATCH(CONCATENATE(C509,":",D509,":",E509),Comp!$1:$1,0),4),"1",""),"99"))),0)</f>
        <v>0</v>
      </c>
    </row>
    <row r="510" spans="1:55">
      <c r="A510" s="20" t="s">
        <v>73</v>
      </c>
      <c r="B510" s="21"/>
      <c r="C510" s="20"/>
      <c r="D510" s="22"/>
      <c r="E510" s="22"/>
      <c r="F510" s="21"/>
      <c r="G510" s="23"/>
      <c r="H510" s="24"/>
      <c r="I510" s="22"/>
      <c r="J510" s="22"/>
      <c r="K510" s="22"/>
      <c r="L510" s="21"/>
      <c r="M510" s="20"/>
      <c r="N510" s="20"/>
      <c r="O510" s="23"/>
      <c r="P510" s="21"/>
      <c r="Q510" s="20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1"/>
      <c r="AU510" s="25" t="str">
        <f t="shared" si="14"/>
        <v>1Q42</v>
      </c>
      <c r="AV510" t="str">
        <f t="shared" si="15"/>
        <v>1Q42</v>
      </c>
      <c r="BA510">
        <f ca="1">IF(COUNTBLANK(C510)=0,COUNTA(INDIRECT(CONCATENATE("Area!",LEFT(ADDRESS(1,MATCH(C510,Area!$1:$1,0),4),1),"2:",LEFT(ADDRESS(1,MATCH(C510,Area!$1:$1,0),4),1),"99"))),0)</f>
        <v>0</v>
      </c>
      <c r="BB510">
        <f ca="1">IF(COUNTBLANK(D510)=0,COUNTA(INDIRECT(CONCATENATE("Setup!",LEFT(ADDRESS(1,MATCH(CONCATENATE(C510,":",D510),Setup!$1:$1,0),4),1),"2:",LEFT(ADDRESS(1,MATCH(CONCATENATE(C510,":",D510),Setup!$1:$1,0),4),1),"99"))),0)</f>
        <v>0</v>
      </c>
      <c r="BC510">
        <f ca="1">IF(COUNTBLANK(E510)=0,COUNTA(INDIRECT(CONCATENATE("Comp!",SUBSTITUTE(ADDRESS(1,MATCH(CONCATENATE(C510,":",D510,":",E510),Comp!$1:$1,0),4),"1",""),"2:",SUBSTITUTE(ADDRESS(1,MATCH(CONCATENATE(C510,":",D510,":",E510),Comp!$1:$1,0),4),"1",""),"99"))),0)</f>
        <v>0</v>
      </c>
    </row>
    <row r="511" spans="1:55">
      <c r="A511" s="20" t="s">
        <v>73</v>
      </c>
      <c r="B511" s="21"/>
      <c r="C511" s="20"/>
      <c r="D511" s="22"/>
      <c r="E511" s="22"/>
      <c r="F511" s="21"/>
      <c r="G511" s="23"/>
      <c r="H511" s="24"/>
      <c r="I511" s="22"/>
      <c r="J511" s="22"/>
      <c r="K511" s="22"/>
      <c r="L511" s="21"/>
      <c r="M511" s="20"/>
      <c r="N511" s="20"/>
      <c r="O511" s="23"/>
      <c r="P511" s="21"/>
      <c r="Q511" s="20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1"/>
      <c r="AU511" s="25" t="str">
        <f t="shared" si="14"/>
        <v>1Q42</v>
      </c>
      <c r="AV511" t="str">
        <f t="shared" si="15"/>
        <v>1Q42</v>
      </c>
      <c r="BA511">
        <f ca="1">IF(COUNTBLANK(C511)=0,COUNTA(INDIRECT(CONCATENATE("Area!",LEFT(ADDRESS(1,MATCH(C511,Area!$1:$1,0),4),1),"2:",LEFT(ADDRESS(1,MATCH(C511,Area!$1:$1,0),4),1),"99"))),0)</f>
        <v>0</v>
      </c>
      <c r="BB511">
        <f ca="1">IF(COUNTBLANK(D511)=0,COUNTA(INDIRECT(CONCATENATE("Setup!",LEFT(ADDRESS(1,MATCH(CONCATENATE(C511,":",D511),Setup!$1:$1,0),4),1),"2:",LEFT(ADDRESS(1,MATCH(CONCATENATE(C511,":",D511),Setup!$1:$1,0),4),1),"99"))),0)</f>
        <v>0</v>
      </c>
      <c r="BC511">
        <f ca="1">IF(COUNTBLANK(E511)=0,COUNTA(INDIRECT(CONCATENATE("Comp!",SUBSTITUTE(ADDRESS(1,MATCH(CONCATENATE(C511,":",D511,":",E511),Comp!$1:$1,0),4),"1",""),"2:",SUBSTITUTE(ADDRESS(1,MATCH(CONCATENATE(C511,":",D511,":",E511),Comp!$1:$1,0),4),"1",""),"99"))),0)</f>
        <v>0</v>
      </c>
    </row>
    <row r="512" spans="1:55">
      <c r="A512" s="20" t="s">
        <v>73</v>
      </c>
      <c r="B512" s="21"/>
      <c r="C512" s="20"/>
      <c r="D512" s="22"/>
      <c r="E512" s="22"/>
      <c r="F512" s="21"/>
      <c r="G512" s="23"/>
      <c r="H512" s="24"/>
      <c r="I512" s="22"/>
      <c r="J512" s="22"/>
      <c r="K512" s="22"/>
      <c r="L512" s="21"/>
      <c r="M512" s="20"/>
      <c r="N512" s="20"/>
      <c r="O512" s="23"/>
      <c r="P512" s="21"/>
      <c r="Q512" s="20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1"/>
      <c r="AU512" s="25" t="str">
        <f t="shared" si="14"/>
        <v>1Q42</v>
      </c>
      <c r="AV512" t="str">
        <f t="shared" si="15"/>
        <v>1Q42</v>
      </c>
      <c r="BA512">
        <f ca="1">IF(COUNTBLANK(C512)=0,COUNTA(INDIRECT(CONCATENATE("Area!",LEFT(ADDRESS(1,MATCH(C512,Area!$1:$1,0),4),1),"2:",LEFT(ADDRESS(1,MATCH(C512,Area!$1:$1,0),4),1),"99"))),0)</f>
        <v>0</v>
      </c>
      <c r="BB512">
        <f ca="1">IF(COUNTBLANK(D512)=0,COUNTA(INDIRECT(CONCATENATE("Setup!",LEFT(ADDRESS(1,MATCH(CONCATENATE(C512,":",D512),Setup!$1:$1,0),4),1),"2:",LEFT(ADDRESS(1,MATCH(CONCATENATE(C512,":",D512),Setup!$1:$1,0),4),1),"99"))),0)</f>
        <v>0</v>
      </c>
      <c r="BC512">
        <f ca="1">IF(COUNTBLANK(E512)=0,COUNTA(INDIRECT(CONCATENATE("Comp!",SUBSTITUTE(ADDRESS(1,MATCH(CONCATENATE(C512,":",D512,":",E512),Comp!$1:$1,0),4),"1",""),"2:",SUBSTITUTE(ADDRESS(1,MATCH(CONCATENATE(C512,":",D512,":",E512),Comp!$1:$1,0),4),"1",""),"99"))),0)</f>
        <v>0</v>
      </c>
    </row>
    <row r="513" spans="1:55">
      <c r="A513" s="20" t="s">
        <v>73</v>
      </c>
      <c r="B513" s="21"/>
      <c r="C513" s="20"/>
      <c r="D513" s="22"/>
      <c r="E513" s="22"/>
      <c r="F513" s="21"/>
      <c r="G513" s="23"/>
      <c r="H513" s="24"/>
      <c r="I513" s="22"/>
      <c r="J513" s="22"/>
      <c r="K513" s="22"/>
      <c r="L513" s="21"/>
      <c r="M513" s="20"/>
      <c r="N513" s="20"/>
      <c r="O513" s="23"/>
      <c r="P513" s="21"/>
      <c r="Q513" s="20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1"/>
      <c r="AU513" s="25" t="str">
        <f t="shared" si="14"/>
        <v>1Q42</v>
      </c>
      <c r="AV513" t="str">
        <f t="shared" si="15"/>
        <v>1Q42</v>
      </c>
      <c r="BA513">
        <f ca="1">IF(COUNTBLANK(C513)=0,COUNTA(INDIRECT(CONCATENATE("Area!",LEFT(ADDRESS(1,MATCH(C513,Area!$1:$1,0),4),1),"2:",LEFT(ADDRESS(1,MATCH(C513,Area!$1:$1,0),4),1),"99"))),0)</f>
        <v>0</v>
      </c>
      <c r="BB513">
        <f ca="1">IF(COUNTBLANK(D513)=0,COUNTA(INDIRECT(CONCATENATE("Setup!",LEFT(ADDRESS(1,MATCH(CONCATENATE(C513,":",D513),Setup!$1:$1,0),4),1),"2:",LEFT(ADDRESS(1,MATCH(CONCATENATE(C513,":",D513),Setup!$1:$1,0),4),1),"99"))),0)</f>
        <v>0</v>
      </c>
      <c r="BC513">
        <f ca="1">IF(COUNTBLANK(E513)=0,COUNTA(INDIRECT(CONCATENATE("Comp!",SUBSTITUTE(ADDRESS(1,MATCH(CONCATENATE(C513,":",D513,":",E513),Comp!$1:$1,0),4),"1",""),"2:",SUBSTITUTE(ADDRESS(1,MATCH(CONCATENATE(C513,":",D513,":",E513),Comp!$1:$1,0),4),"1",""),"99"))),0)</f>
        <v>0</v>
      </c>
    </row>
    <row r="514" spans="1:55">
      <c r="A514" s="20" t="s">
        <v>73</v>
      </c>
      <c r="B514" s="21"/>
      <c r="C514" s="20"/>
      <c r="D514" s="22"/>
      <c r="E514" s="22"/>
      <c r="F514" s="21"/>
      <c r="G514" s="23"/>
      <c r="H514" s="24"/>
      <c r="I514" s="22"/>
      <c r="J514" s="22"/>
      <c r="K514" s="22"/>
      <c r="L514" s="21"/>
      <c r="M514" s="20"/>
      <c r="N514" s="20"/>
      <c r="O514" s="23"/>
      <c r="P514" s="21"/>
      <c r="Q514" s="20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1"/>
      <c r="AU514" s="25" t="str">
        <f t="shared" si="14"/>
        <v>1Q42</v>
      </c>
      <c r="AV514" t="str">
        <f t="shared" si="15"/>
        <v>1Q42</v>
      </c>
      <c r="BA514">
        <f ca="1">IF(COUNTBLANK(C514)=0,COUNTA(INDIRECT(CONCATENATE("Area!",LEFT(ADDRESS(1,MATCH(C514,Area!$1:$1,0),4),1),"2:",LEFT(ADDRESS(1,MATCH(C514,Area!$1:$1,0),4),1),"99"))),0)</f>
        <v>0</v>
      </c>
      <c r="BB514">
        <f ca="1">IF(COUNTBLANK(D514)=0,COUNTA(INDIRECT(CONCATENATE("Setup!",LEFT(ADDRESS(1,MATCH(CONCATENATE(C514,":",D514),Setup!$1:$1,0),4),1),"2:",LEFT(ADDRESS(1,MATCH(CONCATENATE(C514,":",D514),Setup!$1:$1,0),4),1),"99"))),0)</f>
        <v>0</v>
      </c>
      <c r="BC514">
        <f ca="1">IF(COUNTBLANK(E514)=0,COUNTA(INDIRECT(CONCATENATE("Comp!",SUBSTITUTE(ADDRESS(1,MATCH(CONCATENATE(C514,":",D514,":",E514),Comp!$1:$1,0),4),"1",""),"2:",SUBSTITUTE(ADDRESS(1,MATCH(CONCATENATE(C514,":",D514,":",E514),Comp!$1:$1,0),4),"1",""),"99"))),0)</f>
        <v>0</v>
      </c>
    </row>
    <row r="515" spans="1:55">
      <c r="A515" s="20" t="s">
        <v>73</v>
      </c>
      <c r="B515" s="21"/>
      <c r="C515" s="20"/>
      <c r="D515" s="22"/>
      <c r="E515" s="22"/>
      <c r="F515" s="21"/>
      <c r="G515" s="23"/>
      <c r="H515" s="24"/>
      <c r="I515" s="22"/>
      <c r="J515" s="22"/>
      <c r="K515" s="22"/>
      <c r="L515" s="21"/>
      <c r="M515" s="20"/>
      <c r="N515" s="20"/>
      <c r="O515" s="23"/>
      <c r="P515" s="21"/>
      <c r="Q515" s="20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1"/>
      <c r="AU515" s="25" t="str">
        <f t="shared" si="14"/>
        <v>1Q42</v>
      </c>
      <c r="AV515" t="str">
        <f t="shared" si="15"/>
        <v>1Q42</v>
      </c>
      <c r="BA515">
        <f ca="1">IF(COUNTBLANK(C515)=0,COUNTA(INDIRECT(CONCATENATE("Area!",LEFT(ADDRESS(1,MATCH(C515,Area!$1:$1,0),4),1),"2:",LEFT(ADDRESS(1,MATCH(C515,Area!$1:$1,0),4),1),"99"))),0)</f>
        <v>0</v>
      </c>
      <c r="BB515">
        <f ca="1">IF(COUNTBLANK(D515)=0,COUNTA(INDIRECT(CONCATENATE("Setup!",LEFT(ADDRESS(1,MATCH(CONCATENATE(C515,":",D515),Setup!$1:$1,0),4),1),"2:",LEFT(ADDRESS(1,MATCH(CONCATENATE(C515,":",D515),Setup!$1:$1,0),4),1),"99"))),0)</f>
        <v>0</v>
      </c>
      <c r="BC515">
        <f ca="1">IF(COUNTBLANK(E515)=0,COUNTA(INDIRECT(CONCATENATE("Comp!",SUBSTITUTE(ADDRESS(1,MATCH(CONCATENATE(C515,":",D515,":",E515),Comp!$1:$1,0),4),"1",""),"2:",SUBSTITUTE(ADDRESS(1,MATCH(CONCATENATE(C515,":",D515,":",E515),Comp!$1:$1,0),4),"1",""),"99"))),0)</f>
        <v>0</v>
      </c>
    </row>
    <row r="516" spans="1:55">
      <c r="A516" s="20" t="s">
        <v>73</v>
      </c>
      <c r="B516" s="21"/>
      <c r="C516" s="20"/>
      <c r="D516" s="22"/>
      <c r="E516" s="22"/>
      <c r="F516" s="21"/>
      <c r="G516" s="23"/>
      <c r="H516" s="24"/>
      <c r="I516" s="22"/>
      <c r="J516" s="22"/>
      <c r="K516" s="22"/>
      <c r="L516" s="21"/>
      <c r="M516" s="20"/>
      <c r="N516" s="20"/>
      <c r="O516" s="23"/>
      <c r="P516" s="21"/>
      <c r="Q516" s="20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1"/>
      <c r="AU516" s="25" t="str">
        <f t="shared" si="14"/>
        <v>1Q42</v>
      </c>
      <c r="AV516" t="str">
        <f t="shared" si="15"/>
        <v>1Q42</v>
      </c>
      <c r="BA516">
        <f ca="1">IF(COUNTBLANK(C516)=0,COUNTA(INDIRECT(CONCATENATE("Area!",LEFT(ADDRESS(1,MATCH(C516,Area!$1:$1,0),4),1),"2:",LEFT(ADDRESS(1,MATCH(C516,Area!$1:$1,0),4),1),"99"))),0)</f>
        <v>0</v>
      </c>
      <c r="BB516">
        <f ca="1">IF(COUNTBLANK(D516)=0,COUNTA(INDIRECT(CONCATENATE("Setup!",LEFT(ADDRESS(1,MATCH(CONCATENATE(C516,":",D516),Setup!$1:$1,0),4),1),"2:",LEFT(ADDRESS(1,MATCH(CONCATENATE(C516,":",D516),Setup!$1:$1,0),4),1),"99"))),0)</f>
        <v>0</v>
      </c>
      <c r="BC516">
        <f ca="1">IF(COUNTBLANK(E516)=0,COUNTA(INDIRECT(CONCATENATE("Comp!",SUBSTITUTE(ADDRESS(1,MATCH(CONCATENATE(C516,":",D516,":",E516),Comp!$1:$1,0),4),"1",""),"2:",SUBSTITUTE(ADDRESS(1,MATCH(CONCATENATE(C516,":",D516,":",E516),Comp!$1:$1,0),4),"1",""),"99"))),0)</f>
        <v>0</v>
      </c>
    </row>
    <row r="517" spans="1:55">
      <c r="A517" s="20" t="s">
        <v>73</v>
      </c>
      <c r="B517" s="21"/>
      <c r="C517" s="20"/>
      <c r="D517" s="22"/>
      <c r="E517" s="22"/>
      <c r="F517" s="21"/>
      <c r="G517" s="23"/>
      <c r="H517" s="24"/>
      <c r="I517" s="22"/>
      <c r="J517" s="22"/>
      <c r="K517" s="22"/>
      <c r="L517" s="21"/>
      <c r="M517" s="20"/>
      <c r="N517" s="20"/>
      <c r="O517" s="23"/>
      <c r="P517" s="21"/>
      <c r="Q517" s="20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1"/>
      <c r="AU517" s="25" t="str">
        <f t="shared" si="14"/>
        <v>1Q42</v>
      </c>
      <c r="AV517" t="str">
        <f t="shared" si="15"/>
        <v>1Q42</v>
      </c>
      <c r="BA517">
        <f ca="1">IF(COUNTBLANK(C517)=0,COUNTA(INDIRECT(CONCATENATE("Area!",LEFT(ADDRESS(1,MATCH(C517,Area!$1:$1,0),4),1),"2:",LEFT(ADDRESS(1,MATCH(C517,Area!$1:$1,0),4),1),"99"))),0)</f>
        <v>0</v>
      </c>
      <c r="BB517">
        <f ca="1">IF(COUNTBLANK(D517)=0,COUNTA(INDIRECT(CONCATENATE("Setup!",LEFT(ADDRESS(1,MATCH(CONCATENATE(C517,":",D517),Setup!$1:$1,0),4),1),"2:",LEFT(ADDRESS(1,MATCH(CONCATENATE(C517,":",D517),Setup!$1:$1,0),4),1),"99"))),0)</f>
        <v>0</v>
      </c>
      <c r="BC517">
        <f ca="1">IF(COUNTBLANK(E517)=0,COUNTA(INDIRECT(CONCATENATE("Comp!",SUBSTITUTE(ADDRESS(1,MATCH(CONCATENATE(C517,":",D517,":",E517),Comp!$1:$1,0),4),"1",""),"2:",SUBSTITUTE(ADDRESS(1,MATCH(CONCATENATE(C517,":",D517,":",E517),Comp!$1:$1,0),4),"1",""),"99"))),0)</f>
        <v>0</v>
      </c>
    </row>
    <row r="518" spans="1:55">
      <c r="A518" s="20" t="s">
        <v>73</v>
      </c>
      <c r="B518" s="21"/>
      <c r="C518" s="20"/>
      <c r="D518" s="22"/>
      <c r="E518" s="22"/>
      <c r="F518" s="21"/>
      <c r="G518" s="23"/>
      <c r="H518" s="24"/>
      <c r="I518" s="22"/>
      <c r="J518" s="22"/>
      <c r="K518" s="22"/>
      <c r="L518" s="21"/>
      <c r="M518" s="20"/>
      <c r="N518" s="20"/>
      <c r="O518" s="23"/>
      <c r="P518" s="21"/>
      <c r="Q518" s="20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1"/>
      <c r="AU518" s="25" t="str">
        <f t="shared" si="14"/>
        <v>1Q42</v>
      </c>
      <c r="AV518" t="str">
        <f t="shared" si="15"/>
        <v>1Q42</v>
      </c>
      <c r="BA518">
        <f ca="1">IF(COUNTBLANK(C518)=0,COUNTA(INDIRECT(CONCATENATE("Area!",LEFT(ADDRESS(1,MATCH(C518,Area!$1:$1,0),4),1),"2:",LEFT(ADDRESS(1,MATCH(C518,Area!$1:$1,0),4),1),"99"))),0)</f>
        <v>0</v>
      </c>
      <c r="BB518">
        <f ca="1">IF(COUNTBLANK(D518)=0,COUNTA(INDIRECT(CONCATENATE("Setup!",LEFT(ADDRESS(1,MATCH(CONCATENATE(C518,":",D518),Setup!$1:$1,0),4),1),"2:",LEFT(ADDRESS(1,MATCH(CONCATENATE(C518,":",D518),Setup!$1:$1,0),4),1),"99"))),0)</f>
        <v>0</v>
      </c>
      <c r="BC518">
        <f ca="1">IF(COUNTBLANK(E518)=0,COUNTA(INDIRECT(CONCATENATE("Comp!",SUBSTITUTE(ADDRESS(1,MATCH(CONCATENATE(C518,":",D518,":",E518),Comp!$1:$1,0),4),"1",""),"2:",SUBSTITUTE(ADDRESS(1,MATCH(CONCATENATE(C518,":",D518,":",E518),Comp!$1:$1,0),4),"1",""),"99"))),0)</f>
        <v>0</v>
      </c>
    </row>
    <row r="519" spans="1:55">
      <c r="A519" s="20" t="s">
        <v>73</v>
      </c>
      <c r="B519" s="21"/>
      <c r="C519" s="20"/>
      <c r="D519" s="22"/>
      <c r="E519" s="22"/>
      <c r="F519" s="21"/>
      <c r="G519" s="23"/>
      <c r="H519" s="24"/>
      <c r="I519" s="22"/>
      <c r="J519" s="22"/>
      <c r="K519" s="22"/>
      <c r="L519" s="21"/>
      <c r="M519" s="20"/>
      <c r="N519" s="20"/>
      <c r="O519" s="23"/>
      <c r="P519" s="21"/>
      <c r="Q519" s="20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1"/>
      <c r="AU519" s="25" t="str">
        <f t="shared" si="14"/>
        <v>1Q42</v>
      </c>
      <c r="AV519" t="str">
        <f t="shared" si="15"/>
        <v>1Q42</v>
      </c>
      <c r="BA519">
        <f ca="1">IF(COUNTBLANK(C519)=0,COUNTA(INDIRECT(CONCATENATE("Area!",LEFT(ADDRESS(1,MATCH(C519,Area!$1:$1,0),4),1),"2:",LEFT(ADDRESS(1,MATCH(C519,Area!$1:$1,0),4),1),"99"))),0)</f>
        <v>0</v>
      </c>
      <c r="BB519">
        <f ca="1">IF(COUNTBLANK(D519)=0,COUNTA(INDIRECT(CONCATENATE("Setup!",LEFT(ADDRESS(1,MATCH(CONCATENATE(C519,":",D519),Setup!$1:$1,0),4),1),"2:",LEFT(ADDRESS(1,MATCH(CONCATENATE(C519,":",D519),Setup!$1:$1,0),4),1),"99"))),0)</f>
        <v>0</v>
      </c>
      <c r="BC519">
        <f ca="1">IF(COUNTBLANK(E519)=0,COUNTA(INDIRECT(CONCATENATE("Comp!",SUBSTITUTE(ADDRESS(1,MATCH(CONCATENATE(C519,":",D519,":",E519),Comp!$1:$1,0),4),"1",""),"2:",SUBSTITUTE(ADDRESS(1,MATCH(CONCATENATE(C519,":",D519,":",E519),Comp!$1:$1,0),4),"1",""),"99"))),0)</f>
        <v>0</v>
      </c>
    </row>
    <row r="520" spans="1:55">
      <c r="A520" s="20" t="s">
        <v>73</v>
      </c>
      <c r="B520" s="21"/>
      <c r="C520" s="20"/>
      <c r="D520" s="22"/>
      <c r="E520" s="22"/>
      <c r="F520" s="21"/>
      <c r="G520" s="23"/>
      <c r="H520" s="24"/>
      <c r="I520" s="22"/>
      <c r="J520" s="22"/>
      <c r="K520" s="22"/>
      <c r="L520" s="21"/>
      <c r="M520" s="20"/>
      <c r="N520" s="20"/>
      <c r="O520" s="23"/>
      <c r="P520" s="21"/>
      <c r="Q520" s="20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1"/>
      <c r="AU520" s="25" t="str">
        <f t="shared" si="14"/>
        <v>1Q42</v>
      </c>
      <c r="AV520" t="str">
        <f t="shared" si="15"/>
        <v>1Q42</v>
      </c>
      <c r="BA520">
        <f ca="1">IF(COUNTBLANK(C520)=0,COUNTA(INDIRECT(CONCATENATE("Area!",LEFT(ADDRESS(1,MATCH(C520,Area!$1:$1,0),4),1),"2:",LEFT(ADDRESS(1,MATCH(C520,Area!$1:$1,0),4),1),"99"))),0)</f>
        <v>0</v>
      </c>
      <c r="BB520">
        <f ca="1">IF(COUNTBLANK(D520)=0,COUNTA(INDIRECT(CONCATENATE("Setup!",LEFT(ADDRESS(1,MATCH(CONCATENATE(C520,":",D520),Setup!$1:$1,0),4),1),"2:",LEFT(ADDRESS(1,MATCH(CONCATENATE(C520,":",D520),Setup!$1:$1,0),4),1),"99"))),0)</f>
        <v>0</v>
      </c>
      <c r="BC520">
        <f ca="1">IF(COUNTBLANK(E520)=0,COUNTA(INDIRECT(CONCATENATE("Comp!",SUBSTITUTE(ADDRESS(1,MATCH(CONCATENATE(C520,":",D520,":",E520),Comp!$1:$1,0),4),"1",""),"2:",SUBSTITUTE(ADDRESS(1,MATCH(CONCATENATE(C520,":",D520,":",E520),Comp!$1:$1,0),4),"1",""),"99"))),0)</f>
        <v>0</v>
      </c>
    </row>
    <row r="521" spans="1:55">
      <c r="A521" s="20" t="s">
        <v>73</v>
      </c>
      <c r="B521" s="21"/>
      <c r="C521" s="20"/>
      <c r="D521" s="22"/>
      <c r="E521" s="22"/>
      <c r="F521" s="21"/>
      <c r="G521" s="23"/>
      <c r="H521" s="24"/>
      <c r="I521" s="22"/>
      <c r="J521" s="22"/>
      <c r="K521" s="22"/>
      <c r="L521" s="21"/>
      <c r="M521" s="20"/>
      <c r="N521" s="20"/>
      <c r="O521" s="23"/>
      <c r="P521" s="21"/>
      <c r="Q521" s="20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1"/>
      <c r="AU521" s="25" t="str">
        <f t="shared" ref="AU521:AU584" si="16">CONCATENATE(A521,B521)</f>
        <v>1Q42</v>
      </c>
      <c r="AV521" t="str">
        <f t="shared" ref="AV521:AV584" si="17">CONCATENATE(A521,B521)</f>
        <v>1Q42</v>
      </c>
      <c r="BA521">
        <f ca="1">IF(COUNTBLANK(C521)=0,COUNTA(INDIRECT(CONCATENATE("Area!",LEFT(ADDRESS(1,MATCH(C521,Area!$1:$1,0),4),1),"2:",LEFT(ADDRESS(1,MATCH(C521,Area!$1:$1,0),4),1),"99"))),0)</f>
        <v>0</v>
      </c>
      <c r="BB521">
        <f ca="1">IF(COUNTBLANK(D521)=0,COUNTA(INDIRECT(CONCATENATE("Setup!",LEFT(ADDRESS(1,MATCH(CONCATENATE(C521,":",D521),Setup!$1:$1,0),4),1),"2:",LEFT(ADDRESS(1,MATCH(CONCATENATE(C521,":",D521),Setup!$1:$1,0),4),1),"99"))),0)</f>
        <v>0</v>
      </c>
      <c r="BC521">
        <f ca="1">IF(COUNTBLANK(E521)=0,COUNTA(INDIRECT(CONCATENATE("Comp!",SUBSTITUTE(ADDRESS(1,MATCH(CONCATENATE(C521,":",D521,":",E521),Comp!$1:$1,0),4),"1",""),"2:",SUBSTITUTE(ADDRESS(1,MATCH(CONCATENATE(C521,":",D521,":",E521),Comp!$1:$1,0),4),"1",""),"99"))),0)</f>
        <v>0</v>
      </c>
    </row>
    <row r="522" spans="1:55">
      <c r="A522" s="20" t="s">
        <v>73</v>
      </c>
      <c r="B522" s="21"/>
      <c r="C522" s="20"/>
      <c r="D522" s="22"/>
      <c r="E522" s="22"/>
      <c r="F522" s="21"/>
      <c r="G522" s="23"/>
      <c r="H522" s="24"/>
      <c r="I522" s="22"/>
      <c r="J522" s="22"/>
      <c r="K522" s="22"/>
      <c r="L522" s="21"/>
      <c r="M522" s="20"/>
      <c r="N522" s="20"/>
      <c r="O522" s="23"/>
      <c r="P522" s="21"/>
      <c r="Q522" s="20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1"/>
      <c r="AU522" s="25" t="str">
        <f t="shared" si="16"/>
        <v>1Q42</v>
      </c>
      <c r="AV522" t="str">
        <f t="shared" si="17"/>
        <v>1Q42</v>
      </c>
      <c r="BA522">
        <f ca="1">IF(COUNTBLANK(C522)=0,COUNTA(INDIRECT(CONCATENATE("Area!",LEFT(ADDRESS(1,MATCH(C522,Area!$1:$1,0),4),1),"2:",LEFT(ADDRESS(1,MATCH(C522,Area!$1:$1,0),4),1),"99"))),0)</f>
        <v>0</v>
      </c>
      <c r="BB522">
        <f ca="1">IF(COUNTBLANK(D522)=0,COUNTA(INDIRECT(CONCATENATE("Setup!",LEFT(ADDRESS(1,MATCH(CONCATENATE(C522,":",D522),Setup!$1:$1,0),4),1),"2:",LEFT(ADDRESS(1,MATCH(CONCATENATE(C522,":",D522),Setup!$1:$1,0),4),1),"99"))),0)</f>
        <v>0</v>
      </c>
      <c r="BC522">
        <f ca="1">IF(COUNTBLANK(E522)=0,COUNTA(INDIRECT(CONCATENATE("Comp!",SUBSTITUTE(ADDRESS(1,MATCH(CONCATENATE(C522,":",D522,":",E522),Comp!$1:$1,0),4),"1",""),"2:",SUBSTITUTE(ADDRESS(1,MATCH(CONCATENATE(C522,":",D522,":",E522),Comp!$1:$1,0),4),"1",""),"99"))),0)</f>
        <v>0</v>
      </c>
    </row>
    <row r="523" spans="1:55">
      <c r="A523" s="20" t="s">
        <v>73</v>
      </c>
      <c r="B523" s="21"/>
      <c r="C523" s="20"/>
      <c r="D523" s="22"/>
      <c r="E523" s="22"/>
      <c r="F523" s="21"/>
      <c r="G523" s="23"/>
      <c r="H523" s="24"/>
      <c r="I523" s="22"/>
      <c r="J523" s="22"/>
      <c r="K523" s="22"/>
      <c r="L523" s="21"/>
      <c r="M523" s="20"/>
      <c r="N523" s="20"/>
      <c r="O523" s="23"/>
      <c r="P523" s="21"/>
      <c r="Q523" s="20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1"/>
      <c r="AU523" s="25" t="str">
        <f t="shared" si="16"/>
        <v>1Q42</v>
      </c>
      <c r="AV523" t="str">
        <f t="shared" si="17"/>
        <v>1Q42</v>
      </c>
      <c r="BA523">
        <f ca="1">IF(COUNTBLANK(C523)=0,COUNTA(INDIRECT(CONCATENATE("Area!",LEFT(ADDRESS(1,MATCH(C523,Area!$1:$1,0),4),1),"2:",LEFT(ADDRESS(1,MATCH(C523,Area!$1:$1,0),4),1),"99"))),0)</f>
        <v>0</v>
      </c>
      <c r="BB523">
        <f ca="1">IF(COUNTBLANK(D523)=0,COUNTA(INDIRECT(CONCATENATE("Setup!",LEFT(ADDRESS(1,MATCH(CONCATENATE(C523,":",D523),Setup!$1:$1,0),4),1),"2:",LEFT(ADDRESS(1,MATCH(CONCATENATE(C523,":",D523),Setup!$1:$1,0),4),1),"99"))),0)</f>
        <v>0</v>
      </c>
      <c r="BC523">
        <f ca="1">IF(COUNTBLANK(E523)=0,COUNTA(INDIRECT(CONCATENATE("Comp!",SUBSTITUTE(ADDRESS(1,MATCH(CONCATENATE(C523,":",D523,":",E523),Comp!$1:$1,0),4),"1",""),"2:",SUBSTITUTE(ADDRESS(1,MATCH(CONCATENATE(C523,":",D523,":",E523),Comp!$1:$1,0),4),"1",""),"99"))),0)</f>
        <v>0</v>
      </c>
    </row>
    <row r="524" spans="1:55">
      <c r="A524" s="20" t="s">
        <v>73</v>
      </c>
      <c r="B524" s="21"/>
      <c r="C524" s="20"/>
      <c r="D524" s="22"/>
      <c r="E524" s="22"/>
      <c r="F524" s="21"/>
      <c r="G524" s="23"/>
      <c r="H524" s="24"/>
      <c r="I524" s="22"/>
      <c r="J524" s="22"/>
      <c r="K524" s="22"/>
      <c r="L524" s="21"/>
      <c r="M524" s="20"/>
      <c r="N524" s="20"/>
      <c r="O524" s="23"/>
      <c r="P524" s="21"/>
      <c r="Q524" s="20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1"/>
      <c r="AU524" s="25" t="str">
        <f t="shared" si="16"/>
        <v>1Q42</v>
      </c>
      <c r="AV524" t="str">
        <f t="shared" si="17"/>
        <v>1Q42</v>
      </c>
      <c r="BA524">
        <f ca="1">IF(COUNTBLANK(C524)=0,COUNTA(INDIRECT(CONCATENATE("Area!",LEFT(ADDRESS(1,MATCH(C524,Area!$1:$1,0),4),1),"2:",LEFT(ADDRESS(1,MATCH(C524,Area!$1:$1,0),4),1),"99"))),0)</f>
        <v>0</v>
      </c>
      <c r="BB524">
        <f ca="1">IF(COUNTBLANK(D524)=0,COUNTA(INDIRECT(CONCATENATE("Setup!",LEFT(ADDRESS(1,MATCH(CONCATENATE(C524,":",D524),Setup!$1:$1,0),4),1),"2:",LEFT(ADDRESS(1,MATCH(CONCATENATE(C524,":",D524),Setup!$1:$1,0),4),1),"99"))),0)</f>
        <v>0</v>
      </c>
      <c r="BC524">
        <f ca="1">IF(COUNTBLANK(E524)=0,COUNTA(INDIRECT(CONCATENATE("Comp!",SUBSTITUTE(ADDRESS(1,MATCH(CONCATENATE(C524,":",D524,":",E524),Comp!$1:$1,0),4),"1",""),"2:",SUBSTITUTE(ADDRESS(1,MATCH(CONCATENATE(C524,":",D524,":",E524),Comp!$1:$1,0),4),"1",""),"99"))),0)</f>
        <v>0</v>
      </c>
    </row>
    <row r="525" spans="1:55">
      <c r="A525" s="20" t="s">
        <v>73</v>
      </c>
      <c r="B525" s="21"/>
      <c r="C525" s="20"/>
      <c r="D525" s="22"/>
      <c r="E525" s="22"/>
      <c r="F525" s="21"/>
      <c r="G525" s="23"/>
      <c r="H525" s="24"/>
      <c r="I525" s="22"/>
      <c r="J525" s="22"/>
      <c r="K525" s="22"/>
      <c r="L525" s="21"/>
      <c r="M525" s="20"/>
      <c r="N525" s="20"/>
      <c r="O525" s="23"/>
      <c r="P525" s="21"/>
      <c r="Q525" s="20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1"/>
      <c r="AU525" s="25" t="str">
        <f t="shared" si="16"/>
        <v>1Q42</v>
      </c>
      <c r="AV525" t="str">
        <f t="shared" si="17"/>
        <v>1Q42</v>
      </c>
      <c r="BA525">
        <f ca="1">IF(COUNTBLANK(C525)=0,COUNTA(INDIRECT(CONCATENATE("Area!",LEFT(ADDRESS(1,MATCH(C525,Area!$1:$1,0),4),1),"2:",LEFT(ADDRESS(1,MATCH(C525,Area!$1:$1,0),4),1),"99"))),0)</f>
        <v>0</v>
      </c>
      <c r="BB525">
        <f ca="1">IF(COUNTBLANK(D525)=0,COUNTA(INDIRECT(CONCATENATE("Setup!",LEFT(ADDRESS(1,MATCH(CONCATENATE(C525,":",D525),Setup!$1:$1,0),4),1),"2:",LEFT(ADDRESS(1,MATCH(CONCATENATE(C525,":",D525),Setup!$1:$1,0),4),1),"99"))),0)</f>
        <v>0</v>
      </c>
      <c r="BC525">
        <f ca="1">IF(COUNTBLANK(E525)=0,COUNTA(INDIRECT(CONCATENATE("Comp!",SUBSTITUTE(ADDRESS(1,MATCH(CONCATENATE(C525,":",D525,":",E525),Comp!$1:$1,0),4),"1",""),"2:",SUBSTITUTE(ADDRESS(1,MATCH(CONCATENATE(C525,":",D525,":",E525),Comp!$1:$1,0),4),"1",""),"99"))),0)</f>
        <v>0</v>
      </c>
    </row>
    <row r="526" spans="1:55">
      <c r="A526" s="20" t="s">
        <v>73</v>
      </c>
      <c r="B526" s="21"/>
      <c r="C526" s="20"/>
      <c r="D526" s="22"/>
      <c r="E526" s="22"/>
      <c r="F526" s="21"/>
      <c r="G526" s="23"/>
      <c r="H526" s="24"/>
      <c r="I526" s="22"/>
      <c r="J526" s="22"/>
      <c r="K526" s="22"/>
      <c r="L526" s="21"/>
      <c r="M526" s="20"/>
      <c r="N526" s="20"/>
      <c r="O526" s="23"/>
      <c r="P526" s="21"/>
      <c r="Q526" s="20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1"/>
      <c r="AU526" s="25" t="str">
        <f t="shared" si="16"/>
        <v>1Q42</v>
      </c>
      <c r="AV526" t="str">
        <f t="shared" si="17"/>
        <v>1Q42</v>
      </c>
      <c r="BA526">
        <f ca="1">IF(COUNTBLANK(C526)=0,COUNTA(INDIRECT(CONCATENATE("Area!",LEFT(ADDRESS(1,MATCH(C526,Area!$1:$1,0),4),1),"2:",LEFT(ADDRESS(1,MATCH(C526,Area!$1:$1,0),4),1),"99"))),0)</f>
        <v>0</v>
      </c>
      <c r="BB526">
        <f ca="1">IF(COUNTBLANK(D526)=0,COUNTA(INDIRECT(CONCATENATE("Setup!",LEFT(ADDRESS(1,MATCH(CONCATENATE(C526,":",D526),Setup!$1:$1,0),4),1),"2:",LEFT(ADDRESS(1,MATCH(CONCATENATE(C526,":",D526),Setup!$1:$1,0),4),1),"99"))),0)</f>
        <v>0</v>
      </c>
      <c r="BC526">
        <f ca="1">IF(COUNTBLANK(E526)=0,COUNTA(INDIRECT(CONCATENATE("Comp!",SUBSTITUTE(ADDRESS(1,MATCH(CONCATENATE(C526,":",D526,":",E526),Comp!$1:$1,0),4),"1",""),"2:",SUBSTITUTE(ADDRESS(1,MATCH(CONCATENATE(C526,":",D526,":",E526),Comp!$1:$1,0),4),"1",""),"99"))),0)</f>
        <v>0</v>
      </c>
    </row>
    <row r="527" spans="1:55">
      <c r="A527" s="20" t="s">
        <v>73</v>
      </c>
      <c r="B527" s="21"/>
      <c r="C527" s="20"/>
      <c r="D527" s="22"/>
      <c r="E527" s="22"/>
      <c r="F527" s="21"/>
      <c r="G527" s="23"/>
      <c r="H527" s="24"/>
      <c r="I527" s="22"/>
      <c r="J527" s="22"/>
      <c r="K527" s="22"/>
      <c r="L527" s="21"/>
      <c r="M527" s="20"/>
      <c r="N527" s="20"/>
      <c r="O527" s="23"/>
      <c r="P527" s="21"/>
      <c r="Q527" s="20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1"/>
      <c r="AU527" s="25" t="str">
        <f t="shared" si="16"/>
        <v>1Q42</v>
      </c>
      <c r="AV527" t="str">
        <f t="shared" si="17"/>
        <v>1Q42</v>
      </c>
      <c r="BA527">
        <f ca="1">IF(COUNTBLANK(C527)=0,COUNTA(INDIRECT(CONCATENATE("Area!",LEFT(ADDRESS(1,MATCH(C527,Area!$1:$1,0),4),1),"2:",LEFT(ADDRESS(1,MATCH(C527,Area!$1:$1,0),4),1),"99"))),0)</f>
        <v>0</v>
      </c>
      <c r="BB527">
        <f ca="1">IF(COUNTBLANK(D527)=0,COUNTA(INDIRECT(CONCATENATE("Setup!",LEFT(ADDRESS(1,MATCH(CONCATENATE(C527,":",D527),Setup!$1:$1,0),4),1),"2:",LEFT(ADDRESS(1,MATCH(CONCATENATE(C527,":",D527),Setup!$1:$1,0),4),1),"99"))),0)</f>
        <v>0</v>
      </c>
      <c r="BC527">
        <f ca="1">IF(COUNTBLANK(E527)=0,COUNTA(INDIRECT(CONCATENATE("Comp!",SUBSTITUTE(ADDRESS(1,MATCH(CONCATENATE(C527,":",D527,":",E527),Comp!$1:$1,0),4),"1",""),"2:",SUBSTITUTE(ADDRESS(1,MATCH(CONCATENATE(C527,":",D527,":",E527),Comp!$1:$1,0),4),"1",""),"99"))),0)</f>
        <v>0</v>
      </c>
    </row>
    <row r="528" spans="1:55">
      <c r="A528" s="20" t="s">
        <v>73</v>
      </c>
      <c r="B528" s="21"/>
      <c r="C528" s="20"/>
      <c r="D528" s="22"/>
      <c r="E528" s="22"/>
      <c r="F528" s="21"/>
      <c r="G528" s="23"/>
      <c r="H528" s="24"/>
      <c r="I528" s="22"/>
      <c r="J528" s="22"/>
      <c r="K528" s="22"/>
      <c r="L528" s="21"/>
      <c r="M528" s="20"/>
      <c r="N528" s="20"/>
      <c r="O528" s="23"/>
      <c r="P528" s="21"/>
      <c r="Q528" s="20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1"/>
      <c r="AU528" s="25" t="str">
        <f t="shared" si="16"/>
        <v>1Q42</v>
      </c>
      <c r="AV528" t="str">
        <f t="shared" si="17"/>
        <v>1Q42</v>
      </c>
      <c r="BA528">
        <f ca="1">IF(COUNTBLANK(C528)=0,COUNTA(INDIRECT(CONCATENATE("Area!",LEFT(ADDRESS(1,MATCH(C528,Area!$1:$1,0),4),1),"2:",LEFT(ADDRESS(1,MATCH(C528,Area!$1:$1,0),4),1),"99"))),0)</f>
        <v>0</v>
      </c>
      <c r="BB528">
        <f ca="1">IF(COUNTBLANK(D528)=0,COUNTA(INDIRECT(CONCATENATE("Setup!",LEFT(ADDRESS(1,MATCH(CONCATENATE(C528,":",D528),Setup!$1:$1,0),4),1),"2:",LEFT(ADDRESS(1,MATCH(CONCATENATE(C528,":",D528),Setup!$1:$1,0),4),1),"99"))),0)</f>
        <v>0</v>
      </c>
      <c r="BC528">
        <f ca="1">IF(COUNTBLANK(E528)=0,COUNTA(INDIRECT(CONCATENATE("Comp!",SUBSTITUTE(ADDRESS(1,MATCH(CONCATENATE(C528,":",D528,":",E528),Comp!$1:$1,0),4),"1",""),"2:",SUBSTITUTE(ADDRESS(1,MATCH(CONCATENATE(C528,":",D528,":",E528),Comp!$1:$1,0),4),"1",""),"99"))),0)</f>
        <v>0</v>
      </c>
    </row>
    <row r="529" spans="1:55">
      <c r="A529" s="20" t="s">
        <v>73</v>
      </c>
      <c r="B529" s="21"/>
      <c r="C529" s="20"/>
      <c r="D529" s="22"/>
      <c r="E529" s="22"/>
      <c r="F529" s="21"/>
      <c r="G529" s="23"/>
      <c r="H529" s="24"/>
      <c r="I529" s="22"/>
      <c r="J529" s="22"/>
      <c r="K529" s="22"/>
      <c r="L529" s="21"/>
      <c r="M529" s="20"/>
      <c r="N529" s="20"/>
      <c r="O529" s="23"/>
      <c r="P529" s="21"/>
      <c r="Q529" s="20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1"/>
      <c r="AU529" s="25" t="str">
        <f t="shared" si="16"/>
        <v>1Q42</v>
      </c>
      <c r="AV529" t="str">
        <f t="shared" si="17"/>
        <v>1Q42</v>
      </c>
      <c r="BA529">
        <f ca="1">IF(COUNTBLANK(C529)=0,COUNTA(INDIRECT(CONCATENATE("Area!",LEFT(ADDRESS(1,MATCH(C529,Area!$1:$1,0),4),1),"2:",LEFT(ADDRESS(1,MATCH(C529,Area!$1:$1,0),4),1),"99"))),0)</f>
        <v>0</v>
      </c>
      <c r="BB529">
        <f ca="1">IF(COUNTBLANK(D529)=0,COUNTA(INDIRECT(CONCATENATE("Setup!",LEFT(ADDRESS(1,MATCH(CONCATENATE(C529,":",D529),Setup!$1:$1,0),4),1),"2:",LEFT(ADDRESS(1,MATCH(CONCATENATE(C529,":",D529),Setup!$1:$1,0),4),1),"99"))),0)</f>
        <v>0</v>
      </c>
      <c r="BC529">
        <f ca="1">IF(COUNTBLANK(E529)=0,COUNTA(INDIRECT(CONCATENATE("Comp!",SUBSTITUTE(ADDRESS(1,MATCH(CONCATENATE(C529,":",D529,":",E529),Comp!$1:$1,0),4),"1",""),"2:",SUBSTITUTE(ADDRESS(1,MATCH(CONCATENATE(C529,":",D529,":",E529),Comp!$1:$1,0),4),"1",""),"99"))),0)</f>
        <v>0</v>
      </c>
    </row>
    <row r="530" spans="1:55">
      <c r="A530" s="20" t="s">
        <v>73</v>
      </c>
      <c r="B530" s="21"/>
      <c r="C530" s="20"/>
      <c r="D530" s="22"/>
      <c r="E530" s="22"/>
      <c r="F530" s="21"/>
      <c r="G530" s="23"/>
      <c r="H530" s="24"/>
      <c r="I530" s="22"/>
      <c r="J530" s="22"/>
      <c r="K530" s="22"/>
      <c r="L530" s="21"/>
      <c r="M530" s="20"/>
      <c r="N530" s="20"/>
      <c r="O530" s="23"/>
      <c r="P530" s="21"/>
      <c r="Q530" s="20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1"/>
      <c r="AU530" s="25" t="str">
        <f t="shared" si="16"/>
        <v>1Q42</v>
      </c>
      <c r="AV530" t="str">
        <f t="shared" si="17"/>
        <v>1Q42</v>
      </c>
      <c r="BA530">
        <f ca="1">IF(COUNTBLANK(C530)=0,COUNTA(INDIRECT(CONCATENATE("Area!",LEFT(ADDRESS(1,MATCH(C530,Area!$1:$1,0),4),1),"2:",LEFT(ADDRESS(1,MATCH(C530,Area!$1:$1,0),4),1),"99"))),0)</f>
        <v>0</v>
      </c>
      <c r="BB530">
        <f ca="1">IF(COUNTBLANK(D530)=0,COUNTA(INDIRECT(CONCATENATE("Setup!",LEFT(ADDRESS(1,MATCH(CONCATENATE(C530,":",D530),Setup!$1:$1,0),4),1),"2:",LEFT(ADDRESS(1,MATCH(CONCATENATE(C530,":",D530),Setup!$1:$1,0),4),1),"99"))),0)</f>
        <v>0</v>
      </c>
      <c r="BC530">
        <f ca="1">IF(COUNTBLANK(E530)=0,COUNTA(INDIRECT(CONCATENATE("Comp!",SUBSTITUTE(ADDRESS(1,MATCH(CONCATENATE(C530,":",D530,":",E530),Comp!$1:$1,0),4),"1",""),"2:",SUBSTITUTE(ADDRESS(1,MATCH(CONCATENATE(C530,":",D530,":",E530),Comp!$1:$1,0),4),"1",""),"99"))),0)</f>
        <v>0</v>
      </c>
    </row>
    <row r="531" spans="1:55">
      <c r="A531" s="20" t="s">
        <v>73</v>
      </c>
      <c r="B531" s="21"/>
      <c r="C531" s="20"/>
      <c r="D531" s="22"/>
      <c r="E531" s="22"/>
      <c r="F531" s="21"/>
      <c r="G531" s="23"/>
      <c r="H531" s="24"/>
      <c r="I531" s="22"/>
      <c r="J531" s="22"/>
      <c r="K531" s="22"/>
      <c r="L531" s="21"/>
      <c r="M531" s="20"/>
      <c r="N531" s="20"/>
      <c r="O531" s="23"/>
      <c r="P531" s="21"/>
      <c r="Q531" s="20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1"/>
      <c r="AU531" s="25" t="str">
        <f t="shared" si="16"/>
        <v>1Q42</v>
      </c>
      <c r="AV531" t="str">
        <f t="shared" si="17"/>
        <v>1Q42</v>
      </c>
      <c r="BA531">
        <f ca="1">IF(COUNTBLANK(C531)=0,COUNTA(INDIRECT(CONCATENATE("Area!",LEFT(ADDRESS(1,MATCH(C531,Area!$1:$1,0),4),1),"2:",LEFT(ADDRESS(1,MATCH(C531,Area!$1:$1,0),4),1),"99"))),0)</f>
        <v>0</v>
      </c>
      <c r="BB531">
        <f ca="1">IF(COUNTBLANK(D531)=0,COUNTA(INDIRECT(CONCATENATE("Setup!",LEFT(ADDRESS(1,MATCH(CONCATENATE(C531,":",D531),Setup!$1:$1,0),4),1),"2:",LEFT(ADDRESS(1,MATCH(CONCATENATE(C531,":",D531),Setup!$1:$1,0),4),1),"99"))),0)</f>
        <v>0</v>
      </c>
      <c r="BC531">
        <f ca="1">IF(COUNTBLANK(E531)=0,COUNTA(INDIRECT(CONCATENATE("Comp!",SUBSTITUTE(ADDRESS(1,MATCH(CONCATENATE(C531,":",D531,":",E531),Comp!$1:$1,0),4),"1",""),"2:",SUBSTITUTE(ADDRESS(1,MATCH(CONCATENATE(C531,":",D531,":",E531),Comp!$1:$1,0),4),"1",""),"99"))),0)</f>
        <v>0</v>
      </c>
    </row>
    <row r="532" spans="1:55">
      <c r="A532" s="20" t="s">
        <v>73</v>
      </c>
      <c r="B532" s="21"/>
      <c r="C532" s="20"/>
      <c r="D532" s="22"/>
      <c r="E532" s="22"/>
      <c r="F532" s="21"/>
      <c r="G532" s="23"/>
      <c r="H532" s="24"/>
      <c r="I532" s="22"/>
      <c r="J532" s="22"/>
      <c r="K532" s="22"/>
      <c r="L532" s="21"/>
      <c r="M532" s="20"/>
      <c r="N532" s="20"/>
      <c r="O532" s="23"/>
      <c r="P532" s="21"/>
      <c r="Q532" s="20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1"/>
      <c r="AU532" s="25" t="str">
        <f t="shared" si="16"/>
        <v>1Q42</v>
      </c>
      <c r="AV532" t="str">
        <f t="shared" si="17"/>
        <v>1Q42</v>
      </c>
      <c r="BA532">
        <f ca="1">IF(COUNTBLANK(C532)=0,COUNTA(INDIRECT(CONCATENATE("Area!",LEFT(ADDRESS(1,MATCH(C532,Area!$1:$1,0),4),1),"2:",LEFT(ADDRESS(1,MATCH(C532,Area!$1:$1,0),4),1),"99"))),0)</f>
        <v>0</v>
      </c>
      <c r="BB532">
        <f ca="1">IF(COUNTBLANK(D532)=0,COUNTA(INDIRECT(CONCATENATE("Setup!",LEFT(ADDRESS(1,MATCH(CONCATENATE(C532,":",D532),Setup!$1:$1,0),4),1),"2:",LEFT(ADDRESS(1,MATCH(CONCATENATE(C532,":",D532),Setup!$1:$1,0),4),1),"99"))),0)</f>
        <v>0</v>
      </c>
      <c r="BC532">
        <f ca="1">IF(COUNTBLANK(E532)=0,COUNTA(INDIRECT(CONCATENATE("Comp!",SUBSTITUTE(ADDRESS(1,MATCH(CONCATENATE(C532,":",D532,":",E532),Comp!$1:$1,0),4),"1",""),"2:",SUBSTITUTE(ADDRESS(1,MATCH(CONCATENATE(C532,":",D532,":",E532),Comp!$1:$1,0),4),"1",""),"99"))),0)</f>
        <v>0</v>
      </c>
    </row>
    <row r="533" spans="1:55">
      <c r="A533" s="20" t="s">
        <v>73</v>
      </c>
      <c r="B533" s="21"/>
      <c r="C533" s="20"/>
      <c r="D533" s="22"/>
      <c r="E533" s="22"/>
      <c r="F533" s="21"/>
      <c r="G533" s="23"/>
      <c r="H533" s="24"/>
      <c r="I533" s="22"/>
      <c r="J533" s="22"/>
      <c r="K533" s="22"/>
      <c r="L533" s="21"/>
      <c r="M533" s="20"/>
      <c r="N533" s="20"/>
      <c r="O533" s="23"/>
      <c r="P533" s="21"/>
      <c r="Q533" s="20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1"/>
      <c r="AU533" s="25" t="str">
        <f t="shared" si="16"/>
        <v>1Q42</v>
      </c>
      <c r="AV533" t="str">
        <f t="shared" si="17"/>
        <v>1Q42</v>
      </c>
      <c r="BA533">
        <f ca="1">IF(COUNTBLANK(C533)=0,COUNTA(INDIRECT(CONCATENATE("Area!",LEFT(ADDRESS(1,MATCH(C533,Area!$1:$1,0),4),1),"2:",LEFT(ADDRESS(1,MATCH(C533,Area!$1:$1,0),4),1),"99"))),0)</f>
        <v>0</v>
      </c>
      <c r="BB533">
        <f ca="1">IF(COUNTBLANK(D533)=0,COUNTA(INDIRECT(CONCATENATE("Setup!",LEFT(ADDRESS(1,MATCH(CONCATENATE(C533,":",D533),Setup!$1:$1,0),4),1),"2:",LEFT(ADDRESS(1,MATCH(CONCATENATE(C533,":",D533),Setup!$1:$1,0),4),1),"99"))),0)</f>
        <v>0</v>
      </c>
      <c r="BC533">
        <f ca="1">IF(COUNTBLANK(E533)=0,COUNTA(INDIRECT(CONCATENATE("Comp!",SUBSTITUTE(ADDRESS(1,MATCH(CONCATENATE(C533,":",D533,":",E533),Comp!$1:$1,0),4),"1",""),"2:",SUBSTITUTE(ADDRESS(1,MATCH(CONCATENATE(C533,":",D533,":",E533),Comp!$1:$1,0),4),"1",""),"99"))),0)</f>
        <v>0</v>
      </c>
    </row>
    <row r="534" spans="1:55">
      <c r="A534" s="20" t="s">
        <v>73</v>
      </c>
      <c r="B534" s="21"/>
      <c r="C534" s="20"/>
      <c r="D534" s="22"/>
      <c r="E534" s="22"/>
      <c r="F534" s="21"/>
      <c r="G534" s="23"/>
      <c r="H534" s="24"/>
      <c r="I534" s="22"/>
      <c r="J534" s="22"/>
      <c r="K534" s="22"/>
      <c r="L534" s="21"/>
      <c r="M534" s="20"/>
      <c r="N534" s="20"/>
      <c r="O534" s="23"/>
      <c r="P534" s="21"/>
      <c r="Q534" s="20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1"/>
      <c r="AU534" s="25" t="str">
        <f t="shared" si="16"/>
        <v>1Q42</v>
      </c>
      <c r="AV534" t="str">
        <f t="shared" si="17"/>
        <v>1Q42</v>
      </c>
      <c r="BA534">
        <f ca="1">IF(COUNTBLANK(C534)=0,COUNTA(INDIRECT(CONCATENATE("Area!",LEFT(ADDRESS(1,MATCH(C534,Area!$1:$1,0),4),1),"2:",LEFT(ADDRESS(1,MATCH(C534,Area!$1:$1,0),4),1),"99"))),0)</f>
        <v>0</v>
      </c>
      <c r="BB534">
        <f ca="1">IF(COUNTBLANK(D534)=0,COUNTA(INDIRECT(CONCATENATE("Setup!",LEFT(ADDRESS(1,MATCH(CONCATENATE(C534,":",D534),Setup!$1:$1,0),4),1),"2:",LEFT(ADDRESS(1,MATCH(CONCATENATE(C534,":",D534),Setup!$1:$1,0),4),1),"99"))),0)</f>
        <v>0</v>
      </c>
      <c r="BC534">
        <f ca="1">IF(COUNTBLANK(E534)=0,COUNTA(INDIRECT(CONCATENATE("Comp!",SUBSTITUTE(ADDRESS(1,MATCH(CONCATENATE(C534,":",D534,":",E534),Comp!$1:$1,0),4),"1",""),"2:",SUBSTITUTE(ADDRESS(1,MATCH(CONCATENATE(C534,":",D534,":",E534),Comp!$1:$1,0),4),"1",""),"99"))),0)</f>
        <v>0</v>
      </c>
    </row>
    <row r="535" spans="1:55">
      <c r="A535" s="20" t="s">
        <v>73</v>
      </c>
      <c r="B535" s="21"/>
      <c r="C535" s="20"/>
      <c r="D535" s="22"/>
      <c r="E535" s="22"/>
      <c r="F535" s="21"/>
      <c r="G535" s="23"/>
      <c r="H535" s="24"/>
      <c r="I535" s="22"/>
      <c r="J535" s="22"/>
      <c r="K535" s="22"/>
      <c r="L535" s="21"/>
      <c r="M535" s="20"/>
      <c r="N535" s="20"/>
      <c r="O535" s="23"/>
      <c r="P535" s="21"/>
      <c r="Q535" s="20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1"/>
      <c r="AU535" s="25" t="str">
        <f t="shared" si="16"/>
        <v>1Q42</v>
      </c>
      <c r="AV535" t="str">
        <f t="shared" si="17"/>
        <v>1Q42</v>
      </c>
      <c r="BA535">
        <f ca="1">IF(COUNTBLANK(C535)=0,COUNTA(INDIRECT(CONCATENATE("Area!",LEFT(ADDRESS(1,MATCH(C535,Area!$1:$1,0),4),1),"2:",LEFT(ADDRESS(1,MATCH(C535,Area!$1:$1,0),4),1),"99"))),0)</f>
        <v>0</v>
      </c>
      <c r="BB535">
        <f ca="1">IF(COUNTBLANK(D535)=0,COUNTA(INDIRECT(CONCATENATE("Setup!",LEFT(ADDRESS(1,MATCH(CONCATENATE(C535,":",D535),Setup!$1:$1,0),4),1),"2:",LEFT(ADDRESS(1,MATCH(CONCATENATE(C535,":",D535),Setup!$1:$1,0),4),1),"99"))),0)</f>
        <v>0</v>
      </c>
      <c r="BC535">
        <f ca="1">IF(COUNTBLANK(E535)=0,COUNTA(INDIRECT(CONCATENATE("Comp!",SUBSTITUTE(ADDRESS(1,MATCH(CONCATENATE(C535,":",D535,":",E535),Comp!$1:$1,0),4),"1",""),"2:",SUBSTITUTE(ADDRESS(1,MATCH(CONCATENATE(C535,":",D535,":",E535),Comp!$1:$1,0),4),"1",""),"99"))),0)</f>
        <v>0</v>
      </c>
    </row>
    <row r="536" spans="1:55">
      <c r="A536" s="20" t="s">
        <v>73</v>
      </c>
      <c r="B536" s="21"/>
      <c r="C536" s="20"/>
      <c r="D536" s="22"/>
      <c r="E536" s="22"/>
      <c r="F536" s="21"/>
      <c r="G536" s="23"/>
      <c r="H536" s="24"/>
      <c r="I536" s="22"/>
      <c r="J536" s="22"/>
      <c r="K536" s="22"/>
      <c r="L536" s="21"/>
      <c r="M536" s="20"/>
      <c r="N536" s="20"/>
      <c r="O536" s="23"/>
      <c r="P536" s="21"/>
      <c r="Q536" s="20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1"/>
      <c r="AU536" s="25" t="str">
        <f t="shared" si="16"/>
        <v>1Q42</v>
      </c>
      <c r="AV536" t="str">
        <f t="shared" si="17"/>
        <v>1Q42</v>
      </c>
      <c r="BA536">
        <f ca="1">IF(COUNTBLANK(C536)=0,COUNTA(INDIRECT(CONCATENATE("Area!",LEFT(ADDRESS(1,MATCH(C536,Area!$1:$1,0),4),1),"2:",LEFT(ADDRESS(1,MATCH(C536,Area!$1:$1,0),4),1),"99"))),0)</f>
        <v>0</v>
      </c>
      <c r="BB536">
        <f ca="1">IF(COUNTBLANK(D536)=0,COUNTA(INDIRECT(CONCATENATE("Setup!",LEFT(ADDRESS(1,MATCH(CONCATENATE(C536,":",D536),Setup!$1:$1,0),4),1),"2:",LEFT(ADDRESS(1,MATCH(CONCATENATE(C536,":",D536),Setup!$1:$1,0),4),1),"99"))),0)</f>
        <v>0</v>
      </c>
      <c r="BC536">
        <f ca="1">IF(COUNTBLANK(E536)=0,COUNTA(INDIRECT(CONCATENATE("Comp!",SUBSTITUTE(ADDRESS(1,MATCH(CONCATENATE(C536,":",D536,":",E536),Comp!$1:$1,0),4),"1",""),"2:",SUBSTITUTE(ADDRESS(1,MATCH(CONCATENATE(C536,":",D536,":",E536),Comp!$1:$1,0),4),"1",""),"99"))),0)</f>
        <v>0</v>
      </c>
    </row>
    <row r="537" spans="1:55">
      <c r="A537" s="20" t="s">
        <v>73</v>
      </c>
      <c r="B537" s="21"/>
      <c r="C537" s="20"/>
      <c r="D537" s="22"/>
      <c r="E537" s="22"/>
      <c r="F537" s="21"/>
      <c r="G537" s="23"/>
      <c r="H537" s="24"/>
      <c r="I537" s="22"/>
      <c r="J537" s="22"/>
      <c r="K537" s="22"/>
      <c r="L537" s="21"/>
      <c r="M537" s="20"/>
      <c r="N537" s="20"/>
      <c r="O537" s="23"/>
      <c r="P537" s="21"/>
      <c r="Q537" s="20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1"/>
      <c r="AU537" s="25" t="str">
        <f t="shared" si="16"/>
        <v>1Q42</v>
      </c>
      <c r="AV537" t="str">
        <f t="shared" si="17"/>
        <v>1Q42</v>
      </c>
      <c r="BA537">
        <f ca="1">IF(COUNTBLANK(C537)=0,COUNTA(INDIRECT(CONCATENATE("Area!",LEFT(ADDRESS(1,MATCH(C537,Area!$1:$1,0),4),1),"2:",LEFT(ADDRESS(1,MATCH(C537,Area!$1:$1,0),4),1),"99"))),0)</f>
        <v>0</v>
      </c>
      <c r="BB537">
        <f ca="1">IF(COUNTBLANK(D537)=0,COUNTA(INDIRECT(CONCATENATE("Setup!",LEFT(ADDRESS(1,MATCH(CONCATENATE(C537,":",D537),Setup!$1:$1,0),4),1),"2:",LEFT(ADDRESS(1,MATCH(CONCATENATE(C537,":",D537),Setup!$1:$1,0),4),1),"99"))),0)</f>
        <v>0</v>
      </c>
      <c r="BC537">
        <f ca="1">IF(COUNTBLANK(E537)=0,COUNTA(INDIRECT(CONCATENATE("Comp!",SUBSTITUTE(ADDRESS(1,MATCH(CONCATENATE(C537,":",D537,":",E537),Comp!$1:$1,0),4),"1",""),"2:",SUBSTITUTE(ADDRESS(1,MATCH(CONCATENATE(C537,":",D537,":",E537),Comp!$1:$1,0),4),"1",""),"99"))),0)</f>
        <v>0</v>
      </c>
    </row>
    <row r="538" spans="1:55">
      <c r="A538" s="20" t="s">
        <v>73</v>
      </c>
      <c r="B538" s="21"/>
      <c r="C538" s="20"/>
      <c r="D538" s="22"/>
      <c r="E538" s="22"/>
      <c r="F538" s="21"/>
      <c r="G538" s="23"/>
      <c r="H538" s="24"/>
      <c r="I538" s="22"/>
      <c r="J538" s="22"/>
      <c r="K538" s="22"/>
      <c r="L538" s="21"/>
      <c r="M538" s="20"/>
      <c r="N538" s="20"/>
      <c r="O538" s="23"/>
      <c r="P538" s="21"/>
      <c r="Q538" s="20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1"/>
      <c r="AU538" s="25" t="str">
        <f t="shared" si="16"/>
        <v>1Q42</v>
      </c>
      <c r="AV538" t="str">
        <f t="shared" si="17"/>
        <v>1Q42</v>
      </c>
      <c r="BA538">
        <f ca="1">IF(COUNTBLANK(C538)=0,COUNTA(INDIRECT(CONCATENATE("Area!",LEFT(ADDRESS(1,MATCH(C538,Area!$1:$1,0),4),1),"2:",LEFT(ADDRESS(1,MATCH(C538,Area!$1:$1,0),4),1),"99"))),0)</f>
        <v>0</v>
      </c>
      <c r="BB538">
        <f ca="1">IF(COUNTBLANK(D538)=0,COUNTA(INDIRECT(CONCATENATE("Setup!",LEFT(ADDRESS(1,MATCH(CONCATENATE(C538,":",D538),Setup!$1:$1,0),4),1),"2:",LEFT(ADDRESS(1,MATCH(CONCATENATE(C538,":",D538),Setup!$1:$1,0),4),1),"99"))),0)</f>
        <v>0</v>
      </c>
      <c r="BC538">
        <f ca="1">IF(COUNTBLANK(E538)=0,COUNTA(INDIRECT(CONCATENATE("Comp!",SUBSTITUTE(ADDRESS(1,MATCH(CONCATENATE(C538,":",D538,":",E538),Comp!$1:$1,0),4),"1",""),"2:",SUBSTITUTE(ADDRESS(1,MATCH(CONCATENATE(C538,":",D538,":",E538),Comp!$1:$1,0),4),"1",""),"99"))),0)</f>
        <v>0</v>
      </c>
    </row>
    <row r="539" spans="1:55">
      <c r="A539" s="20" t="s">
        <v>73</v>
      </c>
      <c r="B539" s="21"/>
      <c r="C539" s="20"/>
      <c r="D539" s="22"/>
      <c r="E539" s="22"/>
      <c r="F539" s="21"/>
      <c r="G539" s="23"/>
      <c r="H539" s="24"/>
      <c r="I539" s="22"/>
      <c r="J539" s="22"/>
      <c r="K539" s="22"/>
      <c r="L539" s="21"/>
      <c r="M539" s="20"/>
      <c r="N539" s="20"/>
      <c r="O539" s="23"/>
      <c r="P539" s="21"/>
      <c r="Q539" s="20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1"/>
      <c r="AU539" s="25" t="str">
        <f t="shared" si="16"/>
        <v>1Q42</v>
      </c>
      <c r="AV539" t="str">
        <f t="shared" si="17"/>
        <v>1Q42</v>
      </c>
      <c r="BA539">
        <f ca="1">IF(COUNTBLANK(C539)=0,COUNTA(INDIRECT(CONCATENATE("Area!",LEFT(ADDRESS(1,MATCH(C539,Area!$1:$1,0),4),1),"2:",LEFT(ADDRESS(1,MATCH(C539,Area!$1:$1,0),4),1),"99"))),0)</f>
        <v>0</v>
      </c>
      <c r="BB539">
        <f ca="1">IF(COUNTBLANK(D539)=0,COUNTA(INDIRECT(CONCATENATE("Setup!",LEFT(ADDRESS(1,MATCH(CONCATENATE(C539,":",D539),Setup!$1:$1,0),4),1),"2:",LEFT(ADDRESS(1,MATCH(CONCATENATE(C539,":",D539),Setup!$1:$1,0),4),1),"99"))),0)</f>
        <v>0</v>
      </c>
      <c r="BC539">
        <f ca="1">IF(COUNTBLANK(E539)=0,COUNTA(INDIRECT(CONCATENATE("Comp!",SUBSTITUTE(ADDRESS(1,MATCH(CONCATENATE(C539,":",D539,":",E539),Comp!$1:$1,0),4),"1",""),"2:",SUBSTITUTE(ADDRESS(1,MATCH(CONCATENATE(C539,":",D539,":",E539),Comp!$1:$1,0),4),"1",""),"99"))),0)</f>
        <v>0</v>
      </c>
    </row>
    <row r="540" spans="1:55">
      <c r="A540" s="20" t="s">
        <v>73</v>
      </c>
      <c r="B540" s="21"/>
      <c r="C540" s="20"/>
      <c r="D540" s="22"/>
      <c r="E540" s="22"/>
      <c r="F540" s="21"/>
      <c r="G540" s="23"/>
      <c r="H540" s="24"/>
      <c r="I540" s="22"/>
      <c r="J540" s="22"/>
      <c r="K540" s="22"/>
      <c r="L540" s="21"/>
      <c r="M540" s="20"/>
      <c r="N540" s="20"/>
      <c r="O540" s="23"/>
      <c r="P540" s="21"/>
      <c r="Q540" s="20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1"/>
      <c r="AU540" s="25" t="str">
        <f t="shared" si="16"/>
        <v>1Q42</v>
      </c>
      <c r="AV540" t="str">
        <f t="shared" si="17"/>
        <v>1Q42</v>
      </c>
      <c r="BA540">
        <f ca="1">IF(COUNTBLANK(C540)=0,COUNTA(INDIRECT(CONCATENATE("Area!",LEFT(ADDRESS(1,MATCH(C540,Area!$1:$1,0),4),1),"2:",LEFT(ADDRESS(1,MATCH(C540,Area!$1:$1,0),4),1),"99"))),0)</f>
        <v>0</v>
      </c>
      <c r="BB540">
        <f ca="1">IF(COUNTBLANK(D540)=0,COUNTA(INDIRECT(CONCATENATE("Setup!",LEFT(ADDRESS(1,MATCH(CONCATENATE(C540,":",D540),Setup!$1:$1,0),4),1),"2:",LEFT(ADDRESS(1,MATCH(CONCATENATE(C540,":",D540),Setup!$1:$1,0),4),1),"99"))),0)</f>
        <v>0</v>
      </c>
      <c r="BC540">
        <f ca="1">IF(COUNTBLANK(E540)=0,COUNTA(INDIRECT(CONCATENATE("Comp!",SUBSTITUTE(ADDRESS(1,MATCH(CONCATENATE(C540,":",D540,":",E540),Comp!$1:$1,0),4),"1",""),"2:",SUBSTITUTE(ADDRESS(1,MATCH(CONCATENATE(C540,":",D540,":",E540),Comp!$1:$1,0),4),"1",""),"99"))),0)</f>
        <v>0</v>
      </c>
    </row>
    <row r="541" spans="1:55">
      <c r="A541" s="20" t="s">
        <v>73</v>
      </c>
      <c r="B541" s="21"/>
      <c r="C541" s="20"/>
      <c r="D541" s="22"/>
      <c r="E541" s="22"/>
      <c r="F541" s="21"/>
      <c r="G541" s="23"/>
      <c r="H541" s="24"/>
      <c r="I541" s="22"/>
      <c r="J541" s="22"/>
      <c r="K541" s="22"/>
      <c r="L541" s="21"/>
      <c r="M541" s="20"/>
      <c r="N541" s="20"/>
      <c r="O541" s="23"/>
      <c r="P541" s="21"/>
      <c r="Q541" s="20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1"/>
      <c r="AU541" s="25" t="str">
        <f t="shared" si="16"/>
        <v>1Q42</v>
      </c>
      <c r="AV541" t="str">
        <f t="shared" si="17"/>
        <v>1Q42</v>
      </c>
      <c r="BA541">
        <f ca="1">IF(COUNTBLANK(C541)=0,COUNTA(INDIRECT(CONCATENATE("Area!",LEFT(ADDRESS(1,MATCH(C541,Area!$1:$1,0),4),1),"2:",LEFT(ADDRESS(1,MATCH(C541,Area!$1:$1,0),4),1),"99"))),0)</f>
        <v>0</v>
      </c>
      <c r="BB541">
        <f ca="1">IF(COUNTBLANK(D541)=0,COUNTA(INDIRECT(CONCATENATE("Setup!",LEFT(ADDRESS(1,MATCH(CONCATENATE(C541,":",D541),Setup!$1:$1,0),4),1),"2:",LEFT(ADDRESS(1,MATCH(CONCATENATE(C541,":",D541),Setup!$1:$1,0),4),1),"99"))),0)</f>
        <v>0</v>
      </c>
      <c r="BC541">
        <f ca="1">IF(COUNTBLANK(E541)=0,COUNTA(INDIRECT(CONCATENATE("Comp!",SUBSTITUTE(ADDRESS(1,MATCH(CONCATENATE(C541,":",D541,":",E541),Comp!$1:$1,0),4),"1",""),"2:",SUBSTITUTE(ADDRESS(1,MATCH(CONCATENATE(C541,":",D541,":",E541),Comp!$1:$1,0),4),"1",""),"99"))),0)</f>
        <v>0</v>
      </c>
    </row>
    <row r="542" spans="1:55">
      <c r="A542" s="20" t="s">
        <v>73</v>
      </c>
      <c r="B542" s="21"/>
      <c r="C542" s="20"/>
      <c r="D542" s="22"/>
      <c r="E542" s="22"/>
      <c r="F542" s="21"/>
      <c r="G542" s="23"/>
      <c r="H542" s="24"/>
      <c r="I542" s="22"/>
      <c r="J542" s="22"/>
      <c r="K542" s="22"/>
      <c r="L542" s="21"/>
      <c r="M542" s="20"/>
      <c r="N542" s="20"/>
      <c r="O542" s="23"/>
      <c r="P542" s="21"/>
      <c r="Q542" s="20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1"/>
      <c r="AU542" s="25" t="str">
        <f t="shared" si="16"/>
        <v>1Q42</v>
      </c>
      <c r="AV542" t="str">
        <f t="shared" si="17"/>
        <v>1Q42</v>
      </c>
      <c r="BA542">
        <f ca="1">IF(COUNTBLANK(C542)=0,COUNTA(INDIRECT(CONCATENATE("Area!",LEFT(ADDRESS(1,MATCH(C542,Area!$1:$1,0),4),1),"2:",LEFT(ADDRESS(1,MATCH(C542,Area!$1:$1,0),4),1),"99"))),0)</f>
        <v>0</v>
      </c>
      <c r="BB542">
        <f ca="1">IF(COUNTBLANK(D542)=0,COUNTA(INDIRECT(CONCATENATE("Setup!",LEFT(ADDRESS(1,MATCH(CONCATENATE(C542,":",D542),Setup!$1:$1,0),4),1),"2:",LEFT(ADDRESS(1,MATCH(CONCATENATE(C542,":",D542),Setup!$1:$1,0),4),1),"99"))),0)</f>
        <v>0</v>
      </c>
      <c r="BC542">
        <f ca="1">IF(COUNTBLANK(E542)=0,COUNTA(INDIRECT(CONCATENATE("Comp!",SUBSTITUTE(ADDRESS(1,MATCH(CONCATENATE(C542,":",D542,":",E542),Comp!$1:$1,0),4),"1",""),"2:",SUBSTITUTE(ADDRESS(1,MATCH(CONCATENATE(C542,":",D542,":",E542),Comp!$1:$1,0),4),"1",""),"99"))),0)</f>
        <v>0</v>
      </c>
    </row>
    <row r="543" spans="1:55">
      <c r="A543" s="20" t="s">
        <v>73</v>
      </c>
      <c r="B543" s="21"/>
      <c r="C543" s="20"/>
      <c r="D543" s="22"/>
      <c r="E543" s="22"/>
      <c r="F543" s="21"/>
      <c r="G543" s="23"/>
      <c r="H543" s="24"/>
      <c r="I543" s="22"/>
      <c r="J543" s="22"/>
      <c r="K543" s="22"/>
      <c r="L543" s="21"/>
      <c r="M543" s="20"/>
      <c r="N543" s="20"/>
      <c r="O543" s="23"/>
      <c r="P543" s="21"/>
      <c r="Q543" s="20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1"/>
      <c r="AU543" s="25" t="str">
        <f t="shared" si="16"/>
        <v>1Q42</v>
      </c>
      <c r="AV543" t="str">
        <f t="shared" si="17"/>
        <v>1Q42</v>
      </c>
      <c r="BA543">
        <f ca="1">IF(COUNTBLANK(C543)=0,COUNTA(INDIRECT(CONCATENATE("Area!",LEFT(ADDRESS(1,MATCH(C543,Area!$1:$1,0),4),1),"2:",LEFT(ADDRESS(1,MATCH(C543,Area!$1:$1,0),4),1),"99"))),0)</f>
        <v>0</v>
      </c>
      <c r="BB543">
        <f ca="1">IF(COUNTBLANK(D543)=0,COUNTA(INDIRECT(CONCATENATE("Setup!",LEFT(ADDRESS(1,MATCH(CONCATENATE(C543,":",D543),Setup!$1:$1,0),4),1),"2:",LEFT(ADDRESS(1,MATCH(CONCATENATE(C543,":",D543),Setup!$1:$1,0),4),1),"99"))),0)</f>
        <v>0</v>
      </c>
      <c r="BC543">
        <f ca="1">IF(COUNTBLANK(E543)=0,COUNTA(INDIRECT(CONCATENATE("Comp!",SUBSTITUTE(ADDRESS(1,MATCH(CONCATENATE(C543,":",D543,":",E543),Comp!$1:$1,0),4),"1",""),"2:",SUBSTITUTE(ADDRESS(1,MATCH(CONCATENATE(C543,":",D543,":",E543),Comp!$1:$1,0),4),"1",""),"99"))),0)</f>
        <v>0</v>
      </c>
    </row>
    <row r="544" spans="1:55">
      <c r="A544" s="20" t="s">
        <v>73</v>
      </c>
      <c r="B544" s="21"/>
      <c r="C544" s="20"/>
      <c r="D544" s="22"/>
      <c r="E544" s="22"/>
      <c r="F544" s="21"/>
      <c r="G544" s="23"/>
      <c r="H544" s="24"/>
      <c r="I544" s="22"/>
      <c r="J544" s="22"/>
      <c r="K544" s="22"/>
      <c r="L544" s="21"/>
      <c r="M544" s="20"/>
      <c r="N544" s="20"/>
      <c r="O544" s="23"/>
      <c r="P544" s="21"/>
      <c r="Q544" s="20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1"/>
      <c r="AU544" s="25" t="str">
        <f t="shared" si="16"/>
        <v>1Q42</v>
      </c>
      <c r="AV544" t="str">
        <f t="shared" si="17"/>
        <v>1Q42</v>
      </c>
      <c r="BA544">
        <f ca="1">IF(COUNTBLANK(C544)=0,COUNTA(INDIRECT(CONCATENATE("Area!",LEFT(ADDRESS(1,MATCH(C544,Area!$1:$1,0),4),1),"2:",LEFT(ADDRESS(1,MATCH(C544,Area!$1:$1,0),4),1),"99"))),0)</f>
        <v>0</v>
      </c>
      <c r="BB544">
        <f ca="1">IF(COUNTBLANK(D544)=0,COUNTA(INDIRECT(CONCATENATE("Setup!",LEFT(ADDRESS(1,MATCH(CONCATENATE(C544,":",D544),Setup!$1:$1,0),4),1),"2:",LEFT(ADDRESS(1,MATCH(CONCATENATE(C544,":",D544),Setup!$1:$1,0),4),1),"99"))),0)</f>
        <v>0</v>
      </c>
      <c r="BC544">
        <f ca="1">IF(COUNTBLANK(E544)=0,COUNTA(INDIRECT(CONCATENATE("Comp!",SUBSTITUTE(ADDRESS(1,MATCH(CONCATENATE(C544,":",D544,":",E544),Comp!$1:$1,0),4),"1",""),"2:",SUBSTITUTE(ADDRESS(1,MATCH(CONCATENATE(C544,":",D544,":",E544),Comp!$1:$1,0),4),"1",""),"99"))),0)</f>
        <v>0</v>
      </c>
    </row>
    <row r="545" spans="1:55">
      <c r="A545" s="20" t="s">
        <v>73</v>
      </c>
      <c r="B545" s="21"/>
      <c r="C545" s="20"/>
      <c r="D545" s="22"/>
      <c r="E545" s="22"/>
      <c r="F545" s="21"/>
      <c r="G545" s="23"/>
      <c r="H545" s="24"/>
      <c r="I545" s="22"/>
      <c r="J545" s="22"/>
      <c r="K545" s="22"/>
      <c r="L545" s="21"/>
      <c r="M545" s="20"/>
      <c r="N545" s="20"/>
      <c r="O545" s="23"/>
      <c r="P545" s="21"/>
      <c r="Q545" s="20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1"/>
      <c r="AU545" s="25" t="str">
        <f t="shared" si="16"/>
        <v>1Q42</v>
      </c>
      <c r="AV545" t="str">
        <f t="shared" si="17"/>
        <v>1Q42</v>
      </c>
      <c r="BA545">
        <f ca="1">IF(COUNTBLANK(C545)=0,COUNTA(INDIRECT(CONCATENATE("Area!",LEFT(ADDRESS(1,MATCH(C545,Area!$1:$1,0),4),1),"2:",LEFT(ADDRESS(1,MATCH(C545,Area!$1:$1,0),4),1),"99"))),0)</f>
        <v>0</v>
      </c>
      <c r="BB545">
        <f ca="1">IF(COUNTBLANK(D545)=0,COUNTA(INDIRECT(CONCATENATE("Setup!",LEFT(ADDRESS(1,MATCH(CONCATENATE(C545,":",D545),Setup!$1:$1,0),4),1),"2:",LEFT(ADDRESS(1,MATCH(CONCATENATE(C545,":",D545),Setup!$1:$1,0),4),1),"99"))),0)</f>
        <v>0</v>
      </c>
      <c r="BC545">
        <f ca="1">IF(COUNTBLANK(E545)=0,COUNTA(INDIRECT(CONCATENATE("Comp!",SUBSTITUTE(ADDRESS(1,MATCH(CONCATENATE(C545,":",D545,":",E545),Comp!$1:$1,0),4),"1",""),"2:",SUBSTITUTE(ADDRESS(1,MATCH(CONCATENATE(C545,":",D545,":",E545),Comp!$1:$1,0),4),"1",""),"99"))),0)</f>
        <v>0</v>
      </c>
    </row>
    <row r="546" spans="1:55">
      <c r="A546" s="20" t="s">
        <v>73</v>
      </c>
      <c r="B546" s="21"/>
      <c r="C546" s="20"/>
      <c r="D546" s="22"/>
      <c r="E546" s="22"/>
      <c r="F546" s="21"/>
      <c r="G546" s="23"/>
      <c r="H546" s="24"/>
      <c r="I546" s="22"/>
      <c r="J546" s="22"/>
      <c r="K546" s="22"/>
      <c r="L546" s="21"/>
      <c r="M546" s="20"/>
      <c r="N546" s="20"/>
      <c r="O546" s="23"/>
      <c r="P546" s="21"/>
      <c r="Q546" s="20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1"/>
      <c r="AU546" s="25" t="str">
        <f t="shared" si="16"/>
        <v>1Q42</v>
      </c>
      <c r="AV546" t="str">
        <f t="shared" si="17"/>
        <v>1Q42</v>
      </c>
      <c r="BA546">
        <f ca="1">IF(COUNTBLANK(C546)=0,COUNTA(INDIRECT(CONCATENATE("Area!",LEFT(ADDRESS(1,MATCH(C546,Area!$1:$1,0),4),1),"2:",LEFT(ADDRESS(1,MATCH(C546,Area!$1:$1,0),4),1),"99"))),0)</f>
        <v>0</v>
      </c>
      <c r="BB546">
        <f ca="1">IF(COUNTBLANK(D546)=0,COUNTA(INDIRECT(CONCATENATE("Setup!",LEFT(ADDRESS(1,MATCH(CONCATENATE(C546,":",D546),Setup!$1:$1,0),4),1),"2:",LEFT(ADDRESS(1,MATCH(CONCATENATE(C546,":",D546),Setup!$1:$1,0),4),1),"99"))),0)</f>
        <v>0</v>
      </c>
      <c r="BC546">
        <f ca="1">IF(COUNTBLANK(E546)=0,COUNTA(INDIRECT(CONCATENATE("Comp!",SUBSTITUTE(ADDRESS(1,MATCH(CONCATENATE(C546,":",D546,":",E546),Comp!$1:$1,0),4),"1",""),"2:",SUBSTITUTE(ADDRESS(1,MATCH(CONCATENATE(C546,":",D546,":",E546),Comp!$1:$1,0),4),"1",""),"99"))),0)</f>
        <v>0</v>
      </c>
    </row>
    <row r="547" spans="1:55">
      <c r="A547" s="20" t="s">
        <v>73</v>
      </c>
      <c r="B547" s="21"/>
      <c r="C547" s="20"/>
      <c r="D547" s="22"/>
      <c r="E547" s="22"/>
      <c r="F547" s="21"/>
      <c r="G547" s="23"/>
      <c r="H547" s="24"/>
      <c r="I547" s="22"/>
      <c r="J547" s="22"/>
      <c r="K547" s="22"/>
      <c r="L547" s="21"/>
      <c r="M547" s="20"/>
      <c r="N547" s="20"/>
      <c r="O547" s="23"/>
      <c r="P547" s="21"/>
      <c r="Q547" s="20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1"/>
      <c r="AU547" s="25" t="str">
        <f t="shared" si="16"/>
        <v>1Q42</v>
      </c>
      <c r="AV547" t="str">
        <f t="shared" si="17"/>
        <v>1Q42</v>
      </c>
      <c r="BA547">
        <f ca="1">IF(COUNTBLANK(C547)=0,COUNTA(INDIRECT(CONCATENATE("Area!",LEFT(ADDRESS(1,MATCH(C547,Area!$1:$1,0),4),1),"2:",LEFT(ADDRESS(1,MATCH(C547,Area!$1:$1,0),4),1),"99"))),0)</f>
        <v>0</v>
      </c>
      <c r="BB547">
        <f ca="1">IF(COUNTBLANK(D547)=0,COUNTA(INDIRECT(CONCATENATE("Setup!",LEFT(ADDRESS(1,MATCH(CONCATENATE(C547,":",D547),Setup!$1:$1,0),4),1),"2:",LEFT(ADDRESS(1,MATCH(CONCATENATE(C547,":",D547),Setup!$1:$1,0),4),1),"99"))),0)</f>
        <v>0</v>
      </c>
      <c r="BC547">
        <f ca="1">IF(COUNTBLANK(E547)=0,COUNTA(INDIRECT(CONCATENATE("Comp!",SUBSTITUTE(ADDRESS(1,MATCH(CONCATENATE(C547,":",D547,":",E547),Comp!$1:$1,0),4),"1",""),"2:",SUBSTITUTE(ADDRESS(1,MATCH(CONCATENATE(C547,":",D547,":",E547),Comp!$1:$1,0),4),"1",""),"99"))),0)</f>
        <v>0</v>
      </c>
    </row>
    <row r="548" spans="1:55">
      <c r="A548" s="20" t="s">
        <v>73</v>
      </c>
      <c r="B548" s="21"/>
      <c r="C548" s="20"/>
      <c r="D548" s="22"/>
      <c r="E548" s="22"/>
      <c r="F548" s="21"/>
      <c r="G548" s="23"/>
      <c r="H548" s="24"/>
      <c r="I548" s="22"/>
      <c r="J548" s="22"/>
      <c r="K548" s="22"/>
      <c r="L548" s="21"/>
      <c r="M548" s="20"/>
      <c r="N548" s="20"/>
      <c r="O548" s="23"/>
      <c r="P548" s="21"/>
      <c r="Q548" s="20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1"/>
      <c r="AU548" s="25" t="str">
        <f t="shared" si="16"/>
        <v>1Q42</v>
      </c>
      <c r="AV548" t="str">
        <f t="shared" si="17"/>
        <v>1Q42</v>
      </c>
      <c r="BA548">
        <f ca="1">IF(COUNTBLANK(C548)=0,COUNTA(INDIRECT(CONCATENATE("Area!",LEFT(ADDRESS(1,MATCH(C548,Area!$1:$1,0),4),1),"2:",LEFT(ADDRESS(1,MATCH(C548,Area!$1:$1,0),4),1),"99"))),0)</f>
        <v>0</v>
      </c>
      <c r="BB548">
        <f ca="1">IF(COUNTBLANK(D548)=0,COUNTA(INDIRECT(CONCATENATE("Setup!",LEFT(ADDRESS(1,MATCH(CONCATENATE(C548,":",D548),Setup!$1:$1,0),4),1),"2:",LEFT(ADDRESS(1,MATCH(CONCATENATE(C548,":",D548),Setup!$1:$1,0),4),1),"99"))),0)</f>
        <v>0</v>
      </c>
      <c r="BC548">
        <f ca="1">IF(COUNTBLANK(E548)=0,COUNTA(INDIRECT(CONCATENATE("Comp!",SUBSTITUTE(ADDRESS(1,MATCH(CONCATENATE(C548,":",D548,":",E548),Comp!$1:$1,0),4),"1",""),"2:",SUBSTITUTE(ADDRESS(1,MATCH(CONCATENATE(C548,":",D548,":",E548),Comp!$1:$1,0),4),"1",""),"99"))),0)</f>
        <v>0</v>
      </c>
    </row>
    <row r="549" spans="1:55">
      <c r="A549" s="20" t="s">
        <v>73</v>
      </c>
      <c r="B549" s="21"/>
      <c r="C549" s="20"/>
      <c r="D549" s="22"/>
      <c r="E549" s="22"/>
      <c r="F549" s="21"/>
      <c r="G549" s="23"/>
      <c r="H549" s="24"/>
      <c r="I549" s="22"/>
      <c r="J549" s="22"/>
      <c r="K549" s="22"/>
      <c r="L549" s="21"/>
      <c r="M549" s="20"/>
      <c r="N549" s="20"/>
      <c r="O549" s="23"/>
      <c r="P549" s="21"/>
      <c r="Q549" s="20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1"/>
      <c r="AU549" s="25" t="str">
        <f t="shared" si="16"/>
        <v>1Q42</v>
      </c>
      <c r="AV549" t="str">
        <f t="shared" si="17"/>
        <v>1Q42</v>
      </c>
      <c r="BA549">
        <f ca="1">IF(COUNTBLANK(C549)=0,COUNTA(INDIRECT(CONCATENATE("Area!",LEFT(ADDRESS(1,MATCH(C549,Area!$1:$1,0),4),1),"2:",LEFT(ADDRESS(1,MATCH(C549,Area!$1:$1,0),4),1),"99"))),0)</f>
        <v>0</v>
      </c>
      <c r="BB549">
        <f ca="1">IF(COUNTBLANK(D549)=0,COUNTA(INDIRECT(CONCATENATE("Setup!",LEFT(ADDRESS(1,MATCH(CONCATENATE(C549,":",D549),Setup!$1:$1,0),4),1),"2:",LEFT(ADDRESS(1,MATCH(CONCATENATE(C549,":",D549),Setup!$1:$1,0),4),1),"99"))),0)</f>
        <v>0</v>
      </c>
      <c r="BC549">
        <f ca="1">IF(COUNTBLANK(E549)=0,COUNTA(INDIRECT(CONCATENATE("Comp!",SUBSTITUTE(ADDRESS(1,MATCH(CONCATENATE(C549,":",D549,":",E549),Comp!$1:$1,0),4),"1",""),"2:",SUBSTITUTE(ADDRESS(1,MATCH(CONCATENATE(C549,":",D549,":",E549),Comp!$1:$1,0),4),"1",""),"99"))),0)</f>
        <v>0</v>
      </c>
    </row>
    <row r="550" spans="1:55">
      <c r="A550" s="20" t="s">
        <v>73</v>
      </c>
      <c r="B550" s="21"/>
      <c r="C550" s="20"/>
      <c r="D550" s="22"/>
      <c r="E550" s="22"/>
      <c r="F550" s="21"/>
      <c r="G550" s="23"/>
      <c r="H550" s="24"/>
      <c r="I550" s="22"/>
      <c r="J550" s="22"/>
      <c r="K550" s="22"/>
      <c r="L550" s="21"/>
      <c r="M550" s="20"/>
      <c r="N550" s="20"/>
      <c r="O550" s="23"/>
      <c r="P550" s="21"/>
      <c r="Q550" s="20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1"/>
      <c r="AU550" s="25" t="str">
        <f t="shared" si="16"/>
        <v>1Q42</v>
      </c>
      <c r="AV550" t="str">
        <f t="shared" si="17"/>
        <v>1Q42</v>
      </c>
      <c r="BA550">
        <f ca="1">IF(COUNTBLANK(C550)=0,COUNTA(INDIRECT(CONCATENATE("Area!",LEFT(ADDRESS(1,MATCH(C550,Area!$1:$1,0),4),1),"2:",LEFT(ADDRESS(1,MATCH(C550,Area!$1:$1,0),4),1),"99"))),0)</f>
        <v>0</v>
      </c>
      <c r="BB550">
        <f ca="1">IF(COUNTBLANK(D550)=0,COUNTA(INDIRECT(CONCATENATE("Setup!",LEFT(ADDRESS(1,MATCH(CONCATENATE(C550,":",D550),Setup!$1:$1,0),4),1),"2:",LEFT(ADDRESS(1,MATCH(CONCATENATE(C550,":",D550),Setup!$1:$1,0),4),1),"99"))),0)</f>
        <v>0</v>
      </c>
      <c r="BC550">
        <f ca="1">IF(COUNTBLANK(E550)=0,COUNTA(INDIRECT(CONCATENATE("Comp!",SUBSTITUTE(ADDRESS(1,MATCH(CONCATENATE(C550,":",D550,":",E550),Comp!$1:$1,0),4),"1",""),"2:",SUBSTITUTE(ADDRESS(1,MATCH(CONCATENATE(C550,":",D550,":",E550),Comp!$1:$1,0),4),"1",""),"99"))),0)</f>
        <v>0</v>
      </c>
    </row>
    <row r="551" spans="1:55">
      <c r="A551" s="20" t="s">
        <v>73</v>
      </c>
      <c r="B551" s="21"/>
      <c r="C551" s="20"/>
      <c r="D551" s="22"/>
      <c r="E551" s="22"/>
      <c r="F551" s="21"/>
      <c r="G551" s="23"/>
      <c r="H551" s="24"/>
      <c r="I551" s="22"/>
      <c r="J551" s="22"/>
      <c r="K551" s="22"/>
      <c r="L551" s="21"/>
      <c r="M551" s="20"/>
      <c r="N551" s="20"/>
      <c r="O551" s="23"/>
      <c r="P551" s="21"/>
      <c r="Q551" s="20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1"/>
      <c r="AU551" s="25" t="str">
        <f t="shared" si="16"/>
        <v>1Q42</v>
      </c>
      <c r="AV551" t="str">
        <f t="shared" si="17"/>
        <v>1Q42</v>
      </c>
      <c r="BA551">
        <f ca="1">IF(COUNTBLANK(C551)=0,COUNTA(INDIRECT(CONCATENATE("Area!",LEFT(ADDRESS(1,MATCH(C551,Area!$1:$1,0),4),1),"2:",LEFT(ADDRESS(1,MATCH(C551,Area!$1:$1,0),4),1),"99"))),0)</f>
        <v>0</v>
      </c>
      <c r="BB551">
        <f ca="1">IF(COUNTBLANK(D551)=0,COUNTA(INDIRECT(CONCATENATE("Setup!",LEFT(ADDRESS(1,MATCH(CONCATENATE(C551,":",D551),Setup!$1:$1,0),4),1),"2:",LEFT(ADDRESS(1,MATCH(CONCATENATE(C551,":",D551),Setup!$1:$1,0),4),1),"99"))),0)</f>
        <v>0</v>
      </c>
      <c r="BC551">
        <f ca="1">IF(COUNTBLANK(E551)=0,COUNTA(INDIRECT(CONCATENATE("Comp!",SUBSTITUTE(ADDRESS(1,MATCH(CONCATENATE(C551,":",D551,":",E551),Comp!$1:$1,0),4),"1",""),"2:",SUBSTITUTE(ADDRESS(1,MATCH(CONCATENATE(C551,":",D551,":",E551),Comp!$1:$1,0),4),"1",""),"99"))),0)</f>
        <v>0</v>
      </c>
    </row>
    <row r="552" spans="1:55">
      <c r="A552" s="20" t="s">
        <v>73</v>
      </c>
      <c r="B552" s="21"/>
      <c r="C552" s="20"/>
      <c r="D552" s="22"/>
      <c r="E552" s="22"/>
      <c r="F552" s="21"/>
      <c r="G552" s="23"/>
      <c r="H552" s="24"/>
      <c r="I552" s="22"/>
      <c r="J552" s="22"/>
      <c r="K552" s="22"/>
      <c r="L552" s="21"/>
      <c r="M552" s="20"/>
      <c r="N552" s="20"/>
      <c r="O552" s="23"/>
      <c r="P552" s="21"/>
      <c r="Q552" s="20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1"/>
      <c r="AU552" s="25" t="str">
        <f t="shared" si="16"/>
        <v>1Q42</v>
      </c>
      <c r="AV552" t="str">
        <f t="shared" si="17"/>
        <v>1Q42</v>
      </c>
      <c r="BA552">
        <f ca="1">IF(COUNTBLANK(C552)=0,COUNTA(INDIRECT(CONCATENATE("Area!",LEFT(ADDRESS(1,MATCH(C552,Area!$1:$1,0),4),1),"2:",LEFT(ADDRESS(1,MATCH(C552,Area!$1:$1,0),4),1),"99"))),0)</f>
        <v>0</v>
      </c>
      <c r="BB552">
        <f ca="1">IF(COUNTBLANK(D552)=0,COUNTA(INDIRECT(CONCATENATE("Setup!",LEFT(ADDRESS(1,MATCH(CONCATENATE(C552,":",D552),Setup!$1:$1,0),4),1),"2:",LEFT(ADDRESS(1,MATCH(CONCATENATE(C552,":",D552),Setup!$1:$1,0),4),1),"99"))),0)</f>
        <v>0</v>
      </c>
      <c r="BC552">
        <f ca="1">IF(COUNTBLANK(E552)=0,COUNTA(INDIRECT(CONCATENATE("Comp!",SUBSTITUTE(ADDRESS(1,MATCH(CONCATENATE(C552,":",D552,":",E552),Comp!$1:$1,0),4),"1",""),"2:",SUBSTITUTE(ADDRESS(1,MATCH(CONCATENATE(C552,":",D552,":",E552),Comp!$1:$1,0),4),"1",""),"99"))),0)</f>
        <v>0</v>
      </c>
    </row>
    <row r="553" spans="1:55">
      <c r="A553" s="20" t="s">
        <v>73</v>
      </c>
      <c r="B553" s="21"/>
      <c r="C553" s="20"/>
      <c r="D553" s="22"/>
      <c r="E553" s="22"/>
      <c r="F553" s="21"/>
      <c r="G553" s="23"/>
      <c r="H553" s="24"/>
      <c r="I553" s="22"/>
      <c r="J553" s="22"/>
      <c r="K553" s="22"/>
      <c r="L553" s="21"/>
      <c r="M553" s="20"/>
      <c r="N553" s="20"/>
      <c r="O553" s="23"/>
      <c r="P553" s="21"/>
      <c r="Q553" s="20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1"/>
      <c r="AU553" s="25" t="str">
        <f t="shared" si="16"/>
        <v>1Q42</v>
      </c>
      <c r="AV553" t="str">
        <f t="shared" si="17"/>
        <v>1Q42</v>
      </c>
      <c r="BA553">
        <f ca="1">IF(COUNTBLANK(C553)=0,COUNTA(INDIRECT(CONCATENATE("Area!",LEFT(ADDRESS(1,MATCH(C553,Area!$1:$1,0),4),1),"2:",LEFT(ADDRESS(1,MATCH(C553,Area!$1:$1,0),4),1),"99"))),0)</f>
        <v>0</v>
      </c>
      <c r="BB553">
        <f ca="1">IF(COUNTBLANK(D553)=0,COUNTA(INDIRECT(CONCATENATE("Setup!",LEFT(ADDRESS(1,MATCH(CONCATENATE(C553,":",D553),Setup!$1:$1,0),4),1),"2:",LEFT(ADDRESS(1,MATCH(CONCATENATE(C553,":",D553),Setup!$1:$1,0),4),1),"99"))),0)</f>
        <v>0</v>
      </c>
      <c r="BC553">
        <f ca="1">IF(COUNTBLANK(E553)=0,COUNTA(INDIRECT(CONCATENATE("Comp!",SUBSTITUTE(ADDRESS(1,MATCH(CONCATENATE(C553,":",D553,":",E553),Comp!$1:$1,0),4),"1",""),"2:",SUBSTITUTE(ADDRESS(1,MATCH(CONCATENATE(C553,":",D553,":",E553),Comp!$1:$1,0),4),"1",""),"99"))),0)</f>
        <v>0</v>
      </c>
    </row>
    <row r="554" spans="1:55">
      <c r="A554" s="20" t="s">
        <v>73</v>
      </c>
      <c r="B554" s="21"/>
      <c r="C554" s="20"/>
      <c r="D554" s="22"/>
      <c r="E554" s="22"/>
      <c r="F554" s="21"/>
      <c r="G554" s="23"/>
      <c r="H554" s="24"/>
      <c r="I554" s="22"/>
      <c r="J554" s="22"/>
      <c r="K554" s="22"/>
      <c r="L554" s="21"/>
      <c r="M554" s="20"/>
      <c r="N554" s="20"/>
      <c r="O554" s="23"/>
      <c r="P554" s="21"/>
      <c r="Q554" s="20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1"/>
      <c r="AU554" s="25" t="str">
        <f t="shared" si="16"/>
        <v>1Q42</v>
      </c>
      <c r="AV554" t="str">
        <f t="shared" si="17"/>
        <v>1Q42</v>
      </c>
      <c r="BA554">
        <f ca="1">IF(COUNTBLANK(C554)=0,COUNTA(INDIRECT(CONCATENATE("Area!",LEFT(ADDRESS(1,MATCH(C554,Area!$1:$1,0),4),1),"2:",LEFT(ADDRESS(1,MATCH(C554,Area!$1:$1,0),4),1),"99"))),0)</f>
        <v>0</v>
      </c>
      <c r="BB554">
        <f ca="1">IF(COUNTBLANK(D554)=0,COUNTA(INDIRECT(CONCATENATE("Setup!",LEFT(ADDRESS(1,MATCH(CONCATENATE(C554,":",D554),Setup!$1:$1,0),4),1),"2:",LEFT(ADDRESS(1,MATCH(CONCATENATE(C554,":",D554),Setup!$1:$1,0),4),1),"99"))),0)</f>
        <v>0</v>
      </c>
      <c r="BC554">
        <f ca="1">IF(COUNTBLANK(E554)=0,COUNTA(INDIRECT(CONCATENATE("Comp!",SUBSTITUTE(ADDRESS(1,MATCH(CONCATENATE(C554,":",D554,":",E554),Comp!$1:$1,0),4),"1",""),"2:",SUBSTITUTE(ADDRESS(1,MATCH(CONCATENATE(C554,":",D554,":",E554),Comp!$1:$1,0),4),"1",""),"99"))),0)</f>
        <v>0</v>
      </c>
    </row>
    <row r="555" spans="1:55">
      <c r="A555" s="20" t="s">
        <v>73</v>
      </c>
      <c r="B555" s="21"/>
      <c r="C555" s="20"/>
      <c r="D555" s="22"/>
      <c r="E555" s="22"/>
      <c r="F555" s="21"/>
      <c r="G555" s="23"/>
      <c r="H555" s="24"/>
      <c r="I555" s="22"/>
      <c r="J555" s="22"/>
      <c r="K555" s="22"/>
      <c r="L555" s="21"/>
      <c r="M555" s="20"/>
      <c r="N555" s="20"/>
      <c r="O555" s="23"/>
      <c r="P555" s="21"/>
      <c r="Q555" s="20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1"/>
      <c r="AU555" s="25" t="str">
        <f t="shared" si="16"/>
        <v>1Q42</v>
      </c>
      <c r="AV555" t="str">
        <f t="shared" si="17"/>
        <v>1Q42</v>
      </c>
      <c r="BA555">
        <f ca="1">IF(COUNTBLANK(C555)=0,COUNTA(INDIRECT(CONCATENATE("Area!",LEFT(ADDRESS(1,MATCH(C555,Area!$1:$1,0),4),1),"2:",LEFT(ADDRESS(1,MATCH(C555,Area!$1:$1,0),4),1),"99"))),0)</f>
        <v>0</v>
      </c>
      <c r="BB555">
        <f ca="1">IF(COUNTBLANK(D555)=0,COUNTA(INDIRECT(CONCATENATE("Setup!",LEFT(ADDRESS(1,MATCH(CONCATENATE(C555,":",D555),Setup!$1:$1,0),4),1),"2:",LEFT(ADDRESS(1,MATCH(CONCATENATE(C555,":",D555),Setup!$1:$1,0),4),1),"99"))),0)</f>
        <v>0</v>
      </c>
      <c r="BC555">
        <f ca="1">IF(COUNTBLANK(E555)=0,COUNTA(INDIRECT(CONCATENATE("Comp!",SUBSTITUTE(ADDRESS(1,MATCH(CONCATENATE(C555,":",D555,":",E555),Comp!$1:$1,0),4),"1",""),"2:",SUBSTITUTE(ADDRESS(1,MATCH(CONCATENATE(C555,":",D555,":",E555),Comp!$1:$1,0),4),"1",""),"99"))),0)</f>
        <v>0</v>
      </c>
    </row>
    <row r="556" spans="1:55">
      <c r="A556" s="20" t="s">
        <v>73</v>
      </c>
      <c r="B556" s="21"/>
      <c r="C556" s="20"/>
      <c r="D556" s="22"/>
      <c r="E556" s="22"/>
      <c r="F556" s="21"/>
      <c r="G556" s="23"/>
      <c r="H556" s="24"/>
      <c r="I556" s="22"/>
      <c r="J556" s="22"/>
      <c r="K556" s="22"/>
      <c r="L556" s="21"/>
      <c r="M556" s="20"/>
      <c r="N556" s="20"/>
      <c r="O556" s="23"/>
      <c r="P556" s="21"/>
      <c r="Q556" s="20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1"/>
      <c r="AU556" s="25" t="str">
        <f t="shared" si="16"/>
        <v>1Q42</v>
      </c>
      <c r="AV556" t="str">
        <f t="shared" si="17"/>
        <v>1Q42</v>
      </c>
      <c r="BA556">
        <f ca="1">IF(COUNTBLANK(C556)=0,COUNTA(INDIRECT(CONCATENATE("Area!",LEFT(ADDRESS(1,MATCH(C556,Area!$1:$1,0),4),1),"2:",LEFT(ADDRESS(1,MATCH(C556,Area!$1:$1,0),4),1),"99"))),0)</f>
        <v>0</v>
      </c>
      <c r="BB556">
        <f ca="1">IF(COUNTBLANK(D556)=0,COUNTA(INDIRECT(CONCATENATE("Setup!",LEFT(ADDRESS(1,MATCH(CONCATENATE(C556,":",D556),Setup!$1:$1,0),4),1),"2:",LEFT(ADDRESS(1,MATCH(CONCATENATE(C556,":",D556),Setup!$1:$1,0),4),1),"99"))),0)</f>
        <v>0</v>
      </c>
      <c r="BC556">
        <f ca="1">IF(COUNTBLANK(E556)=0,COUNTA(INDIRECT(CONCATENATE("Comp!",SUBSTITUTE(ADDRESS(1,MATCH(CONCATENATE(C556,":",D556,":",E556),Comp!$1:$1,0),4),"1",""),"2:",SUBSTITUTE(ADDRESS(1,MATCH(CONCATENATE(C556,":",D556,":",E556),Comp!$1:$1,0),4),"1",""),"99"))),0)</f>
        <v>0</v>
      </c>
    </row>
    <row r="557" spans="1:55">
      <c r="A557" s="20" t="s">
        <v>73</v>
      </c>
      <c r="B557" s="21"/>
      <c r="C557" s="20"/>
      <c r="D557" s="22"/>
      <c r="E557" s="22"/>
      <c r="F557" s="21"/>
      <c r="G557" s="23"/>
      <c r="H557" s="24"/>
      <c r="I557" s="22"/>
      <c r="J557" s="22"/>
      <c r="K557" s="22"/>
      <c r="L557" s="21"/>
      <c r="M557" s="20"/>
      <c r="N557" s="20"/>
      <c r="O557" s="23"/>
      <c r="P557" s="21"/>
      <c r="Q557" s="20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1"/>
      <c r="AU557" s="25" t="str">
        <f t="shared" si="16"/>
        <v>1Q42</v>
      </c>
      <c r="AV557" t="str">
        <f t="shared" si="17"/>
        <v>1Q42</v>
      </c>
      <c r="BA557">
        <f ca="1">IF(COUNTBLANK(C557)=0,COUNTA(INDIRECT(CONCATENATE("Area!",LEFT(ADDRESS(1,MATCH(C557,Area!$1:$1,0),4),1),"2:",LEFT(ADDRESS(1,MATCH(C557,Area!$1:$1,0),4),1),"99"))),0)</f>
        <v>0</v>
      </c>
      <c r="BB557">
        <f ca="1">IF(COUNTBLANK(D557)=0,COUNTA(INDIRECT(CONCATENATE("Setup!",LEFT(ADDRESS(1,MATCH(CONCATENATE(C557,":",D557),Setup!$1:$1,0),4),1),"2:",LEFT(ADDRESS(1,MATCH(CONCATENATE(C557,":",D557),Setup!$1:$1,0),4),1),"99"))),0)</f>
        <v>0</v>
      </c>
      <c r="BC557">
        <f ca="1">IF(COUNTBLANK(E557)=0,COUNTA(INDIRECT(CONCATENATE("Comp!",SUBSTITUTE(ADDRESS(1,MATCH(CONCATENATE(C557,":",D557,":",E557),Comp!$1:$1,0),4),"1",""),"2:",SUBSTITUTE(ADDRESS(1,MATCH(CONCATENATE(C557,":",D557,":",E557),Comp!$1:$1,0),4),"1",""),"99"))),0)</f>
        <v>0</v>
      </c>
    </row>
    <row r="558" spans="1:55">
      <c r="A558" s="20" t="s">
        <v>73</v>
      </c>
      <c r="B558" s="21"/>
      <c r="C558" s="20"/>
      <c r="D558" s="22"/>
      <c r="E558" s="22"/>
      <c r="F558" s="21"/>
      <c r="G558" s="23"/>
      <c r="H558" s="24"/>
      <c r="I558" s="22"/>
      <c r="J558" s="22"/>
      <c r="K558" s="22"/>
      <c r="L558" s="21"/>
      <c r="M558" s="20"/>
      <c r="N558" s="20"/>
      <c r="O558" s="23"/>
      <c r="P558" s="21"/>
      <c r="Q558" s="20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1"/>
      <c r="AU558" s="25" t="str">
        <f t="shared" si="16"/>
        <v>1Q42</v>
      </c>
      <c r="AV558" t="str">
        <f t="shared" si="17"/>
        <v>1Q42</v>
      </c>
      <c r="BA558">
        <f ca="1">IF(COUNTBLANK(C558)=0,COUNTA(INDIRECT(CONCATENATE("Area!",LEFT(ADDRESS(1,MATCH(C558,Area!$1:$1,0),4),1),"2:",LEFT(ADDRESS(1,MATCH(C558,Area!$1:$1,0),4),1),"99"))),0)</f>
        <v>0</v>
      </c>
      <c r="BB558">
        <f ca="1">IF(COUNTBLANK(D558)=0,COUNTA(INDIRECT(CONCATENATE("Setup!",LEFT(ADDRESS(1,MATCH(CONCATENATE(C558,":",D558),Setup!$1:$1,0),4),1),"2:",LEFT(ADDRESS(1,MATCH(CONCATENATE(C558,":",D558),Setup!$1:$1,0),4),1),"99"))),0)</f>
        <v>0</v>
      </c>
      <c r="BC558">
        <f ca="1">IF(COUNTBLANK(E558)=0,COUNTA(INDIRECT(CONCATENATE("Comp!",SUBSTITUTE(ADDRESS(1,MATCH(CONCATENATE(C558,":",D558,":",E558),Comp!$1:$1,0),4),"1",""),"2:",SUBSTITUTE(ADDRESS(1,MATCH(CONCATENATE(C558,":",D558,":",E558),Comp!$1:$1,0),4),"1",""),"99"))),0)</f>
        <v>0</v>
      </c>
    </row>
    <row r="559" spans="1:55">
      <c r="A559" s="20" t="s">
        <v>73</v>
      </c>
      <c r="B559" s="21"/>
      <c r="C559" s="20"/>
      <c r="D559" s="22"/>
      <c r="E559" s="22"/>
      <c r="F559" s="21"/>
      <c r="G559" s="23"/>
      <c r="H559" s="24"/>
      <c r="I559" s="22"/>
      <c r="J559" s="22"/>
      <c r="K559" s="22"/>
      <c r="L559" s="21"/>
      <c r="M559" s="20"/>
      <c r="N559" s="20"/>
      <c r="O559" s="23"/>
      <c r="P559" s="21"/>
      <c r="Q559" s="20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1"/>
      <c r="AU559" s="25" t="str">
        <f t="shared" si="16"/>
        <v>1Q42</v>
      </c>
      <c r="AV559" t="str">
        <f t="shared" si="17"/>
        <v>1Q42</v>
      </c>
      <c r="BA559">
        <f ca="1">IF(COUNTBLANK(C559)=0,COUNTA(INDIRECT(CONCATENATE("Area!",LEFT(ADDRESS(1,MATCH(C559,Area!$1:$1,0),4),1),"2:",LEFT(ADDRESS(1,MATCH(C559,Area!$1:$1,0),4),1),"99"))),0)</f>
        <v>0</v>
      </c>
      <c r="BB559">
        <f ca="1">IF(COUNTBLANK(D559)=0,COUNTA(INDIRECT(CONCATENATE("Setup!",LEFT(ADDRESS(1,MATCH(CONCATENATE(C559,":",D559),Setup!$1:$1,0),4),1),"2:",LEFT(ADDRESS(1,MATCH(CONCATENATE(C559,":",D559),Setup!$1:$1,0),4),1),"99"))),0)</f>
        <v>0</v>
      </c>
      <c r="BC559">
        <f ca="1">IF(COUNTBLANK(E559)=0,COUNTA(INDIRECT(CONCATENATE("Comp!",SUBSTITUTE(ADDRESS(1,MATCH(CONCATENATE(C559,":",D559,":",E559),Comp!$1:$1,0),4),"1",""),"2:",SUBSTITUTE(ADDRESS(1,MATCH(CONCATENATE(C559,":",D559,":",E559),Comp!$1:$1,0),4),"1",""),"99"))),0)</f>
        <v>0</v>
      </c>
    </row>
    <row r="560" spans="1:55">
      <c r="A560" s="20" t="s">
        <v>73</v>
      </c>
      <c r="B560" s="21"/>
      <c r="C560" s="20"/>
      <c r="D560" s="22"/>
      <c r="E560" s="22"/>
      <c r="F560" s="21"/>
      <c r="G560" s="23"/>
      <c r="H560" s="24"/>
      <c r="I560" s="22"/>
      <c r="J560" s="22"/>
      <c r="K560" s="22"/>
      <c r="L560" s="21"/>
      <c r="M560" s="20"/>
      <c r="N560" s="20"/>
      <c r="O560" s="23"/>
      <c r="P560" s="21"/>
      <c r="Q560" s="20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1"/>
      <c r="AU560" s="25" t="str">
        <f t="shared" si="16"/>
        <v>1Q42</v>
      </c>
      <c r="AV560" t="str">
        <f t="shared" si="17"/>
        <v>1Q42</v>
      </c>
      <c r="BA560">
        <f ca="1">IF(COUNTBLANK(C560)=0,COUNTA(INDIRECT(CONCATENATE("Area!",LEFT(ADDRESS(1,MATCH(C560,Area!$1:$1,0),4),1),"2:",LEFT(ADDRESS(1,MATCH(C560,Area!$1:$1,0),4),1),"99"))),0)</f>
        <v>0</v>
      </c>
      <c r="BB560">
        <f ca="1">IF(COUNTBLANK(D560)=0,COUNTA(INDIRECT(CONCATENATE("Setup!",LEFT(ADDRESS(1,MATCH(CONCATENATE(C560,":",D560),Setup!$1:$1,0),4),1),"2:",LEFT(ADDRESS(1,MATCH(CONCATENATE(C560,":",D560),Setup!$1:$1,0),4),1),"99"))),0)</f>
        <v>0</v>
      </c>
      <c r="BC560">
        <f ca="1">IF(COUNTBLANK(E560)=0,COUNTA(INDIRECT(CONCATENATE("Comp!",SUBSTITUTE(ADDRESS(1,MATCH(CONCATENATE(C560,":",D560,":",E560),Comp!$1:$1,0),4),"1",""),"2:",SUBSTITUTE(ADDRESS(1,MATCH(CONCATENATE(C560,":",D560,":",E560),Comp!$1:$1,0),4),"1",""),"99"))),0)</f>
        <v>0</v>
      </c>
    </row>
    <row r="561" spans="1:55">
      <c r="A561" s="20" t="s">
        <v>73</v>
      </c>
      <c r="B561" s="21"/>
      <c r="C561" s="20"/>
      <c r="D561" s="22"/>
      <c r="E561" s="22"/>
      <c r="F561" s="21"/>
      <c r="G561" s="23"/>
      <c r="H561" s="24"/>
      <c r="I561" s="22"/>
      <c r="J561" s="22"/>
      <c r="K561" s="22"/>
      <c r="L561" s="21"/>
      <c r="M561" s="20"/>
      <c r="N561" s="20"/>
      <c r="O561" s="23"/>
      <c r="P561" s="21"/>
      <c r="Q561" s="20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1"/>
      <c r="AU561" s="25" t="str">
        <f t="shared" si="16"/>
        <v>1Q42</v>
      </c>
      <c r="AV561" t="str">
        <f t="shared" si="17"/>
        <v>1Q42</v>
      </c>
      <c r="BA561">
        <f ca="1">IF(COUNTBLANK(C561)=0,COUNTA(INDIRECT(CONCATENATE("Area!",LEFT(ADDRESS(1,MATCH(C561,Area!$1:$1,0),4),1),"2:",LEFT(ADDRESS(1,MATCH(C561,Area!$1:$1,0),4),1),"99"))),0)</f>
        <v>0</v>
      </c>
      <c r="BB561">
        <f ca="1">IF(COUNTBLANK(D561)=0,COUNTA(INDIRECT(CONCATENATE("Setup!",LEFT(ADDRESS(1,MATCH(CONCATENATE(C561,":",D561),Setup!$1:$1,0),4),1),"2:",LEFT(ADDRESS(1,MATCH(CONCATENATE(C561,":",D561),Setup!$1:$1,0),4),1),"99"))),0)</f>
        <v>0</v>
      </c>
      <c r="BC561">
        <f ca="1">IF(COUNTBLANK(E561)=0,COUNTA(INDIRECT(CONCATENATE("Comp!",SUBSTITUTE(ADDRESS(1,MATCH(CONCATENATE(C561,":",D561,":",E561),Comp!$1:$1,0),4),"1",""),"2:",SUBSTITUTE(ADDRESS(1,MATCH(CONCATENATE(C561,":",D561,":",E561),Comp!$1:$1,0),4),"1",""),"99"))),0)</f>
        <v>0</v>
      </c>
    </row>
    <row r="562" spans="1:55">
      <c r="A562" s="20" t="s">
        <v>73</v>
      </c>
      <c r="B562" s="21"/>
      <c r="C562" s="20"/>
      <c r="D562" s="22"/>
      <c r="E562" s="22"/>
      <c r="F562" s="21"/>
      <c r="G562" s="23"/>
      <c r="H562" s="24"/>
      <c r="I562" s="22"/>
      <c r="J562" s="22"/>
      <c r="K562" s="22"/>
      <c r="L562" s="21"/>
      <c r="M562" s="20"/>
      <c r="N562" s="20"/>
      <c r="O562" s="23"/>
      <c r="P562" s="21"/>
      <c r="Q562" s="20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1"/>
      <c r="AU562" s="25" t="str">
        <f t="shared" si="16"/>
        <v>1Q42</v>
      </c>
      <c r="AV562" t="str">
        <f t="shared" si="17"/>
        <v>1Q42</v>
      </c>
      <c r="BA562">
        <f ca="1">IF(COUNTBLANK(C562)=0,COUNTA(INDIRECT(CONCATENATE("Area!",LEFT(ADDRESS(1,MATCH(C562,Area!$1:$1,0),4),1),"2:",LEFT(ADDRESS(1,MATCH(C562,Area!$1:$1,0),4),1),"99"))),0)</f>
        <v>0</v>
      </c>
      <c r="BB562">
        <f ca="1">IF(COUNTBLANK(D562)=0,COUNTA(INDIRECT(CONCATENATE("Setup!",LEFT(ADDRESS(1,MATCH(CONCATENATE(C562,":",D562),Setup!$1:$1,0),4),1),"2:",LEFT(ADDRESS(1,MATCH(CONCATENATE(C562,":",D562),Setup!$1:$1,0),4),1),"99"))),0)</f>
        <v>0</v>
      </c>
      <c r="BC562">
        <f ca="1">IF(COUNTBLANK(E562)=0,COUNTA(INDIRECT(CONCATENATE("Comp!",SUBSTITUTE(ADDRESS(1,MATCH(CONCATENATE(C562,":",D562,":",E562),Comp!$1:$1,0),4),"1",""),"2:",SUBSTITUTE(ADDRESS(1,MATCH(CONCATENATE(C562,":",D562,":",E562),Comp!$1:$1,0),4),"1",""),"99"))),0)</f>
        <v>0</v>
      </c>
    </row>
    <row r="563" spans="1:55">
      <c r="A563" s="20" t="s">
        <v>73</v>
      </c>
      <c r="B563" s="21"/>
      <c r="C563" s="20"/>
      <c r="D563" s="22"/>
      <c r="E563" s="22"/>
      <c r="F563" s="21"/>
      <c r="G563" s="23"/>
      <c r="H563" s="24"/>
      <c r="I563" s="22"/>
      <c r="J563" s="22"/>
      <c r="K563" s="22"/>
      <c r="L563" s="21"/>
      <c r="M563" s="20"/>
      <c r="N563" s="20"/>
      <c r="O563" s="23"/>
      <c r="P563" s="21"/>
      <c r="Q563" s="20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1"/>
      <c r="AU563" s="25" t="str">
        <f t="shared" si="16"/>
        <v>1Q42</v>
      </c>
      <c r="AV563" t="str">
        <f t="shared" si="17"/>
        <v>1Q42</v>
      </c>
      <c r="BA563">
        <f ca="1">IF(COUNTBLANK(C563)=0,COUNTA(INDIRECT(CONCATENATE("Area!",LEFT(ADDRESS(1,MATCH(C563,Area!$1:$1,0),4),1),"2:",LEFT(ADDRESS(1,MATCH(C563,Area!$1:$1,0),4),1),"99"))),0)</f>
        <v>0</v>
      </c>
      <c r="BB563">
        <f ca="1">IF(COUNTBLANK(D563)=0,COUNTA(INDIRECT(CONCATENATE("Setup!",LEFT(ADDRESS(1,MATCH(CONCATENATE(C563,":",D563),Setup!$1:$1,0),4),1),"2:",LEFT(ADDRESS(1,MATCH(CONCATENATE(C563,":",D563),Setup!$1:$1,0),4),1),"99"))),0)</f>
        <v>0</v>
      </c>
      <c r="BC563">
        <f ca="1">IF(COUNTBLANK(E563)=0,COUNTA(INDIRECT(CONCATENATE("Comp!",SUBSTITUTE(ADDRESS(1,MATCH(CONCATENATE(C563,":",D563,":",E563),Comp!$1:$1,0),4),"1",""),"2:",SUBSTITUTE(ADDRESS(1,MATCH(CONCATENATE(C563,":",D563,":",E563),Comp!$1:$1,0),4),"1",""),"99"))),0)</f>
        <v>0</v>
      </c>
    </row>
    <row r="564" spans="1:55">
      <c r="A564" s="20" t="s">
        <v>73</v>
      </c>
      <c r="B564" s="21"/>
      <c r="C564" s="20"/>
      <c r="D564" s="22"/>
      <c r="E564" s="22"/>
      <c r="F564" s="21"/>
      <c r="G564" s="23"/>
      <c r="H564" s="24"/>
      <c r="I564" s="22"/>
      <c r="J564" s="22"/>
      <c r="K564" s="22"/>
      <c r="L564" s="21"/>
      <c r="M564" s="20"/>
      <c r="N564" s="20"/>
      <c r="O564" s="23"/>
      <c r="P564" s="21"/>
      <c r="Q564" s="20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1"/>
      <c r="AU564" s="25" t="str">
        <f t="shared" si="16"/>
        <v>1Q42</v>
      </c>
      <c r="AV564" t="str">
        <f t="shared" si="17"/>
        <v>1Q42</v>
      </c>
      <c r="BA564">
        <f ca="1">IF(COUNTBLANK(C564)=0,COUNTA(INDIRECT(CONCATENATE("Area!",LEFT(ADDRESS(1,MATCH(C564,Area!$1:$1,0),4),1),"2:",LEFT(ADDRESS(1,MATCH(C564,Area!$1:$1,0),4),1),"99"))),0)</f>
        <v>0</v>
      </c>
      <c r="BB564">
        <f ca="1">IF(COUNTBLANK(D564)=0,COUNTA(INDIRECT(CONCATENATE("Setup!",LEFT(ADDRESS(1,MATCH(CONCATENATE(C564,":",D564),Setup!$1:$1,0),4),1),"2:",LEFT(ADDRESS(1,MATCH(CONCATENATE(C564,":",D564),Setup!$1:$1,0),4),1),"99"))),0)</f>
        <v>0</v>
      </c>
      <c r="BC564">
        <f ca="1">IF(COUNTBLANK(E564)=0,COUNTA(INDIRECT(CONCATENATE("Comp!",SUBSTITUTE(ADDRESS(1,MATCH(CONCATENATE(C564,":",D564,":",E564),Comp!$1:$1,0),4),"1",""),"2:",SUBSTITUTE(ADDRESS(1,MATCH(CONCATENATE(C564,":",D564,":",E564),Comp!$1:$1,0),4),"1",""),"99"))),0)</f>
        <v>0</v>
      </c>
    </row>
    <row r="565" spans="1:55">
      <c r="A565" s="20" t="s">
        <v>73</v>
      </c>
      <c r="B565" s="21"/>
      <c r="C565" s="20"/>
      <c r="D565" s="22"/>
      <c r="E565" s="22"/>
      <c r="F565" s="21"/>
      <c r="G565" s="23"/>
      <c r="H565" s="24"/>
      <c r="I565" s="22"/>
      <c r="J565" s="22"/>
      <c r="K565" s="22"/>
      <c r="L565" s="21"/>
      <c r="M565" s="20"/>
      <c r="N565" s="20"/>
      <c r="O565" s="23"/>
      <c r="P565" s="21"/>
      <c r="Q565" s="20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1"/>
      <c r="AU565" s="25" t="str">
        <f t="shared" si="16"/>
        <v>1Q42</v>
      </c>
      <c r="AV565" t="str">
        <f t="shared" si="17"/>
        <v>1Q42</v>
      </c>
      <c r="BA565">
        <f ca="1">IF(COUNTBLANK(C565)=0,COUNTA(INDIRECT(CONCATENATE("Area!",LEFT(ADDRESS(1,MATCH(C565,Area!$1:$1,0),4),1),"2:",LEFT(ADDRESS(1,MATCH(C565,Area!$1:$1,0),4),1),"99"))),0)</f>
        <v>0</v>
      </c>
      <c r="BB565">
        <f ca="1">IF(COUNTBLANK(D565)=0,COUNTA(INDIRECT(CONCATENATE("Setup!",LEFT(ADDRESS(1,MATCH(CONCATENATE(C565,":",D565),Setup!$1:$1,0),4),1),"2:",LEFT(ADDRESS(1,MATCH(CONCATENATE(C565,":",D565),Setup!$1:$1,0),4),1),"99"))),0)</f>
        <v>0</v>
      </c>
      <c r="BC565">
        <f ca="1">IF(COUNTBLANK(E565)=0,COUNTA(INDIRECT(CONCATENATE("Comp!",SUBSTITUTE(ADDRESS(1,MATCH(CONCATENATE(C565,":",D565,":",E565),Comp!$1:$1,0),4),"1",""),"2:",SUBSTITUTE(ADDRESS(1,MATCH(CONCATENATE(C565,":",D565,":",E565),Comp!$1:$1,0),4),"1",""),"99"))),0)</f>
        <v>0</v>
      </c>
    </row>
    <row r="566" spans="1:55">
      <c r="A566" s="20" t="s">
        <v>73</v>
      </c>
      <c r="B566" s="21"/>
      <c r="C566" s="20"/>
      <c r="D566" s="22"/>
      <c r="E566" s="22"/>
      <c r="F566" s="21"/>
      <c r="G566" s="23"/>
      <c r="H566" s="24"/>
      <c r="I566" s="22"/>
      <c r="J566" s="22"/>
      <c r="K566" s="22"/>
      <c r="L566" s="21"/>
      <c r="M566" s="20"/>
      <c r="N566" s="20"/>
      <c r="O566" s="23"/>
      <c r="P566" s="21"/>
      <c r="Q566" s="20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1"/>
      <c r="AU566" s="25" t="str">
        <f t="shared" si="16"/>
        <v>1Q42</v>
      </c>
      <c r="AV566" t="str">
        <f t="shared" si="17"/>
        <v>1Q42</v>
      </c>
      <c r="BA566">
        <f ca="1">IF(COUNTBLANK(C566)=0,COUNTA(INDIRECT(CONCATENATE("Area!",LEFT(ADDRESS(1,MATCH(C566,Area!$1:$1,0),4),1),"2:",LEFT(ADDRESS(1,MATCH(C566,Area!$1:$1,0),4),1),"99"))),0)</f>
        <v>0</v>
      </c>
      <c r="BB566">
        <f ca="1">IF(COUNTBLANK(D566)=0,COUNTA(INDIRECT(CONCATENATE("Setup!",LEFT(ADDRESS(1,MATCH(CONCATENATE(C566,":",D566),Setup!$1:$1,0),4),1),"2:",LEFT(ADDRESS(1,MATCH(CONCATENATE(C566,":",D566),Setup!$1:$1,0),4),1),"99"))),0)</f>
        <v>0</v>
      </c>
      <c r="BC566">
        <f ca="1">IF(COUNTBLANK(E566)=0,COUNTA(INDIRECT(CONCATENATE("Comp!",SUBSTITUTE(ADDRESS(1,MATCH(CONCATENATE(C566,":",D566,":",E566),Comp!$1:$1,0),4),"1",""),"2:",SUBSTITUTE(ADDRESS(1,MATCH(CONCATENATE(C566,":",D566,":",E566),Comp!$1:$1,0),4),"1",""),"99"))),0)</f>
        <v>0</v>
      </c>
    </row>
    <row r="567" spans="1:55">
      <c r="A567" s="20" t="s">
        <v>73</v>
      </c>
      <c r="B567" s="21"/>
      <c r="C567" s="20"/>
      <c r="D567" s="22"/>
      <c r="E567" s="22"/>
      <c r="F567" s="21"/>
      <c r="G567" s="23"/>
      <c r="H567" s="24"/>
      <c r="I567" s="22"/>
      <c r="J567" s="22"/>
      <c r="K567" s="22"/>
      <c r="L567" s="21"/>
      <c r="M567" s="20"/>
      <c r="N567" s="20"/>
      <c r="O567" s="23"/>
      <c r="P567" s="21"/>
      <c r="Q567" s="20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1"/>
      <c r="AU567" s="25" t="str">
        <f t="shared" si="16"/>
        <v>1Q42</v>
      </c>
      <c r="AV567" t="str">
        <f t="shared" si="17"/>
        <v>1Q42</v>
      </c>
      <c r="BA567">
        <f ca="1">IF(COUNTBLANK(C567)=0,COUNTA(INDIRECT(CONCATENATE("Area!",LEFT(ADDRESS(1,MATCH(C567,Area!$1:$1,0),4),1),"2:",LEFT(ADDRESS(1,MATCH(C567,Area!$1:$1,0),4),1),"99"))),0)</f>
        <v>0</v>
      </c>
      <c r="BB567">
        <f ca="1">IF(COUNTBLANK(D567)=0,COUNTA(INDIRECT(CONCATENATE("Setup!",LEFT(ADDRESS(1,MATCH(CONCATENATE(C567,":",D567),Setup!$1:$1,0),4),1),"2:",LEFT(ADDRESS(1,MATCH(CONCATENATE(C567,":",D567),Setup!$1:$1,0),4),1),"99"))),0)</f>
        <v>0</v>
      </c>
      <c r="BC567">
        <f ca="1">IF(COUNTBLANK(E567)=0,COUNTA(INDIRECT(CONCATENATE("Comp!",SUBSTITUTE(ADDRESS(1,MATCH(CONCATENATE(C567,":",D567,":",E567),Comp!$1:$1,0),4),"1",""),"2:",SUBSTITUTE(ADDRESS(1,MATCH(CONCATENATE(C567,":",D567,":",E567),Comp!$1:$1,0),4),"1",""),"99"))),0)</f>
        <v>0</v>
      </c>
    </row>
    <row r="568" spans="1:55">
      <c r="A568" s="20" t="s">
        <v>73</v>
      </c>
      <c r="B568" s="21"/>
      <c r="C568" s="20"/>
      <c r="D568" s="22"/>
      <c r="E568" s="22"/>
      <c r="F568" s="21"/>
      <c r="G568" s="23"/>
      <c r="H568" s="24"/>
      <c r="I568" s="22"/>
      <c r="J568" s="22"/>
      <c r="K568" s="22"/>
      <c r="L568" s="21"/>
      <c r="M568" s="20"/>
      <c r="N568" s="20"/>
      <c r="O568" s="23"/>
      <c r="P568" s="21"/>
      <c r="Q568" s="20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1"/>
      <c r="AU568" s="25" t="str">
        <f t="shared" si="16"/>
        <v>1Q42</v>
      </c>
      <c r="AV568" t="str">
        <f t="shared" si="17"/>
        <v>1Q42</v>
      </c>
      <c r="BA568">
        <f ca="1">IF(COUNTBLANK(C568)=0,COUNTA(INDIRECT(CONCATENATE("Area!",LEFT(ADDRESS(1,MATCH(C568,Area!$1:$1,0),4),1),"2:",LEFT(ADDRESS(1,MATCH(C568,Area!$1:$1,0),4),1),"99"))),0)</f>
        <v>0</v>
      </c>
      <c r="BB568">
        <f ca="1">IF(COUNTBLANK(D568)=0,COUNTA(INDIRECT(CONCATENATE("Setup!",LEFT(ADDRESS(1,MATCH(CONCATENATE(C568,":",D568),Setup!$1:$1,0),4),1),"2:",LEFT(ADDRESS(1,MATCH(CONCATENATE(C568,":",D568),Setup!$1:$1,0),4),1),"99"))),0)</f>
        <v>0</v>
      </c>
      <c r="BC568">
        <f ca="1">IF(COUNTBLANK(E568)=0,COUNTA(INDIRECT(CONCATENATE("Comp!",SUBSTITUTE(ADDRESS(1,MATCH(CONCATENATE(C568,":",D568,":",E568),Comp!$1:$1,0),4),"1",""),"2:",SUBSTITUTE(ADDRESS(1,MATCH(CONCATENATE(C568,":",D568,":",E568),Comp!$1:$1,0),4),"1",""),"99"))),0)</f>
        <v>0</v>
      </c>
    </row>
    <row r="569" spans="1:55">
      <c r="A569" s="20" t="s">
        <v>73</v>
      </c>
      <c r="B569" s="21"/>
      <c r="C569" s="20"/>
      <c r="D569" s="22"/>
      <c r="E569" s="22"/>
      <c r="F569" s="21"/>
      <c r="G569" s="23"/>
      <c r="H569" s="24"/>
      <c r="I569" s="22"/>
      <c r="J569" s="22"/>
      <c r="K569" s="22"/>
      <c r="L569" s="21"/>
      <c r="M569" s="20"/>
      <c r="N569" s="20"/>
      <c r="O569" s="23"/>
      <c r="P569" s="21"/>
      <c r="Q569" s="20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1"/>
      <c r="AU569" s="25" t="str">
        <f t="shared" si="16"/>
        <v>1Q42</v>
      </c>
      <c r="AV569" t="str">
        <f t="shared" si="17"/>
        <v>1Q42</v>
      </c>
      <c r="BA569">
        <f ca="1">IF(COUNTBLANK(C569)=0,COUNTA(INDIRECT(CONCATENATE("Area!",LEFT(ADDRESS(1,MATCH(C569,Area!$1:$1,0),4),1),"2:",LEFT(ADDRESS(1,MATCH(C569,Area!$1:$1,0),4),1),"99"))),0)</f>
        <v>0</v>
      </c>
      <c r="BB569">
        <f ca="1">IF(COUNTBLANK(D569)=0,COUNTA(INDIRECT(CONCATENATE("Setup!",LEFT(ADDRESS(1,MATCH(CONCATENATE(C569,":",D569),Setup!$1:$1,0),4),1),"2:",LEFT(ADDRESS(1,MATCH(CONCATENATE(C569,":",D569),Setup!$1:$1,0),4),1),"99"))),0)</f>
        <v>0</v>
      </c>
      <c r="BC569">
        <f ca="1">IF(COUNTBLANK(E569)=0,COUNTA(INDIRECT(CONCATENATE("Comp!",SUBSTITUTE(ADDRESS(1,MATCH(CONCATENATE(C569,":",D569,":",E569),Comp!$1:$1,0),4),"1",""),"2:",SUBSTITUTE(ADDRESS(1,MATCH(CONCATENATE(C569,":",D569,":",E569),Comp!$1:$1,0),4),"1",""),"99"))),0)</f>
        <v>0</v>
      </c>
    </row>
    <row r="570" spans="1:55">
      <c r="A570" s="20" t="s">
        <v>73</v>
      </c>
      <c r="B570" s="21"/>
      <c r="C570" s="20"/>
      <c r="D570" s="22"/>
      <c r="E570" s="22"/>
      <c r="F570" s="21"/>
      <c r="G570" s="23"/>
      <c r="H570" s="24"/>
      <c r="I570" s="22"/>
      <c r="J570" s="22"/>
      <c r="K570" s="22"/>
      <c r="L570" s="21"/>
      <c r="M570" s="20"/>
      <c r="N570" s="20"/>
      <c r="O570" s="23"/>
      <c r="P570" s="21"/>
      <c r="Q570" s="20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1"/>
      <c r="AU570" s="25" t="str">
        <f t="shared" si="16"/>
        <v>1Q42</v>
      </c>
      <c r="AV570" t="str">
        <f t="shared" si="17"/>
        <v>1Q42</v>
      </c>
      <c r="BA570">
        <f ca="1">IF(COUNTBLANK(C570)=0,COUNTA(INDIRECT(CONCATENATE("Area!",LEFT(ADDRESS(1,MATCH(C570,Area!$1:$1,0),4),1),"2:",LEFT(ADDRESS(1,MATCH(C570,Area!$1:$1,0),4),1),"99"))),0)</f>
        <v>0</v>
      </c>
      <c r="BB570">
        <f ca="1">IF(COUNTBLANK(D570)=0,COUNTA(INDIRECT(CONCATENATE("Setup!",LEFT(ADDRESS(1,MATCH(CONCATENATE(C570,":",D570),Setup!$1:$1,0),4),1),"2:",LEFT(ADDRESS(1,MATCH(CONCATENATE(C570,":",D570),Setup!$1:$1,0),4),1),"99"))),0)</f>
        <v>0</v>
      </c>
      <c r="BC570">
        <f ca="1">IF(COUNTBLANK(E570)=0,COUNTA(INDIRECT(CONCATENATE("Comp!",SUBSTITUTE(ADDRESS(1,MATCH(CONCATENATE(C570,":",D570,":",E570),Comp!$1:$1,0),4),"1",""),"2:",SUBSTITUTE(ADDRESS(1,MATCH(CONCATENATE(C570,":",D570,":",E570),Comp!$1:$1,0),4),"1",""),"99"))),0)</f>
        <v>0</v>
      </c>
    </row>
    <row r="571" spans="1:55">
      <c r="A571" s="20" t="s">
        <v>73</v>
      </c>
      <c r="B571" s="21"/>
      <c r="C571" s="20"/>
      <c r="D571" s="22"/>
      <c r="E571" s="22"/>
      <c r="F571" s="21"/>
      <c r="G571" s="23"/>
      <c r="H571" s="24"/>
      <c r="I571" s="22"/>
      <c r="J571" s="22"/>
      <c r="K571" s="22"/>
      <c r="L571" s="21"/>
      <c r="M571" s="20"/>
      <c r="N571" s="20"/>
      <c r="O571" s="23"/>
      <c r="P571" s="21"/>
      <c r="Q571" s="20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1"/>
      <c r="AU571" s="25" t="str">
        <f t="shared" si="16"/>
        <v>1Q42</v>
      </c>
      <c r="AV571" t="str">
        <f t="shared" si="17"/>
        <v>1Q42</v>
      </c>
      <c r="BA571">
        <f ca="1">IF(COUNTBLANK(C571)=0,COUNTA(INDIRECT(CONCATENATE("Area!",LEFT(ADDRESS(1,MATCH(C571,Area!$1:$1,0),4),1),"2:",LEFT(ADDRESS(1,MATCH(C571,Area!$1:$1,0),4),1),"99"))),0)</f>
        <v>0</v>
      </c>
      <c r="BB571">
        <f ca="1">IF(COUNTBLANK(D571)=0,COUNTA(INDIRECT(CONCATENATE("Setup!",LEFT(ADDRESS(1,MATCH(CONCATENATE(C571,":",D571),Setup!$1:$1,0),4),1),"2:",LEFT(ADDRESS(1,MATCH(CONCATENATE(C571,":",D571),Setup!$1:$1,0),4),1),"99"))),0)</f>
        <v>0</v>
      </c>
      <c r="BC571">
        <f ca="1">IF(COUNTBLANK(E571)=0,COUNTA(INDIRECT(CONCATENATE("Comp!",SUBSTITUTE(ADDRESS(1,MATCH(CONCATENATE(C571,":",D571,":",E571),Comp!$1:$1,0),4),"1",""),"2:",SUBSTITUTE(ADDRESS(1,MATCH(CONCATENATE(C571,":",D571,":",E571),Comp!$1:$1,0),4),"1",""),"99"))),0)</f>
        <v>0</v>
      </c>
    </row>
    <row r="572" spans="1:55">
      <c r="A572" s="20" t="s">
        <v>73</v>
      </c>
      <c r="B572" s="21"/>
      <c r="C572" s="20"/>
      <c r="D572" s="22"/>
      <c r="E572" s="22"/>
      <c r="F572" s="21"/>
      <c r="G572" s="23"/>
      <c r="H572" s="24"/>
      <c r="I572" s="22"/>
      <c r="J572" s="22"/>
      <c r="K572" s="22"/>
      <c r="L572" s="21"/>
      <c r="M572" s="20"/>
      <c r="N572" s="20"/>
      <c r="O572" s="23"/>
      <c r="P572" s="21"/>
      <c r="Q572" s="20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1"/>
      <c r="AU572" s="25" t="str">
        <f t="shared" si="16"/>
        <v>1Q42</v>
      </c>
      <c r="AV572" t="str">
        <f t="shared" si="17"/>
        <v>1Q42</v>
      </c>
      <c r="BA572">
        <f ca="1">IF(COUNTBLANK(C572)=0,COUNTA(INDIRECT(CONCATENATE("Area!",LEFT(ADDRESS(1,MATCH(C572,Area!$1:$1,0),4),1),"2:",LEFT(ADDRESS(1,MATCH(C572,Area!$1:$1,0),4),1),"99"))),0)</f>
        <v>0</v>
      </c>
      <c r="BB572">
        <f ca="1">IF(COUNTBLANK(D572)=0,COUNTA(INDIRECT(CONCATENATE("Setup!",LEFT(ADDRESS(1,MATCH(CONCATENATE(C572,":",D572),Setup!$1:$1,0),4),1),"2:",LEFT(ADDRESS(1,MATCH(CONCATENATE(C572,":",D572),Setup!$1:$1,0),4),1),"99"))),0)</f>
        <v>0</v>
      </c>
      <c r="BC572">
        <f ca="1">IF(COUNTBLANK(E572)=0,COUNTA(INDIRECT(CONCATENATE("Comp!",SUBSTITUTE(ADDRESS(1,MATCH(CONCATENATE(C572,":",D572,":",E572),Comp!$1:$1,0),4),"1",""),"2:",SUBSTITUTE(ADDRESS(1,MATCH(CONCATENATE(C572,":",D572,":",E572),Comp!$1:$1,0),4),"1",""),"99"))),0)</f>
        <v>0</v>
      </c>
    </row>
    <row r="573" spans="1:55">
      <c r="A573" s="20" t="s">
        <v>73</v>
      </c>
      <c r="B573" s="21"/>
      <c r="C573" s="20"/>
      <c r="D573" s="22"/>
      <c r="E573" s="22"/>
      <c r="F573" s="21"/>
      <c r="G573" s="23"/>
      <c r="H573" s="24"/>
      <c r="I573" s="22"/>
      <c r="J573" s="22"/>
      <c r="K573" s="22"/>
      <c r="L573" s="21"/>
      <c r="M573" s="20"/>
      <c r="N573" s="20"/>
      <c r="O573" s="23"/>
      <c r="P573" s="21"/>
      <c r="Q573" s="20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1"/>
      <c r="AU573" s="25" t="str">
        <f t="shared" si="16"/>
        <v>1Q42</v>
      </c>
      <c r="AV573" t="str">
        <f t="shared" si="17"/>
        <v>1Q42</v>
      </c>
      <c r="BA573">
        <f ca="1">IF(COUNTBLANK(C573)=0,COUNTA(INDIRECT(CONCATENATE("Area!",LEFT(ADDRESS(1,MATCH(C573,Area!$1:$1,0),4),1),"2:",LEFT(ADDRESS(1,MATCH(C573,Area!$1:$1,0),4),1),"99"))),0)</f>
        <v>0</v>
      </c>
      <c r="BB573">
        <f ca="1">IF(COUNTBLANK(D573)=0,COUNTA(INDIRECT(CONCATENATE("Setup!",LEFT(ADDRESS(1,MATCH(CONCATENATE(C573,":",D573),Setup!$1:$1,0),4),1),"2:",LEFT(ADDRESS(1,MATCH(CONCATENATE(C573,":",D573),Setup!$1:$1,0),4),1),"99"))),0)</f>
        <v>0</v>
      </c>
      <c r="BC573">
        <f ca="1">IF(COUNTBLANK(E573)=0,COUNTA(INDIRECT(CONCATENATE("Comp!",SUBSTITUTE(ADDRESS(1,MATCH(CONCATENATE(C573,":",D573,":",E573),Comp!$1:$1,0),4),"1",""),"2:",SUBSTITUTE(ADDRESS(1,MATCH(CONCATENATE(C573,":",D573,":",E573),Comp!$1:$1,0),4),"1",""),"99"))),0)</f>
        <v>0</v>
      </c>
    </row>
    <row r="574" spans="1:55">
      <c r="A574" s="20" t="s">
        <v>73</v>
      </c>
      <c r="B574" s="21"/>
      <c r="C574" s="20"/>
      <c r="D574" s="22"/>
      <c r="E574" s="22"/>
      <c r="F574" s="21"/>
      <c r="G574" s="23"/>
      <c r="H574" s="24"/>
      <c r="I574" s="22"/>
      <c r="J574" s="22"/>
      <c r="K574" s="22"/>
      <c r="L574" s="21"/>
      <c r="M574" s="20"/>
      <c r="N574" s="20"/>
      <c r="O574" s="23"/>
      <c r="P574" s="21"/>
      <c r="Q574" s="20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1"/>
      <c r="AU574" s="25" t="str">
        <f t="shared" si="16"/>
        <v>1Q42</v>
      </c>
      <c r="AV574" t="str">
        <f t="shared" si="17"/>
        <v>1Q42</v>
      </c>
      <c r="BA574">
        <f ca="1">IF(COUNTBLANK(C574)=0,COUNTA(INDIRECT(CONCATENATE("Area!",LEFT(ADDRESS(1,MATCH(C574,Area!$1:$1,0),4),1),"2:",LEFT(ADDRESS(1,MATCH(C574,Area!$1:$1,0),4),1),"99"))),0)</f>
        <v>0</v>
      </c>
      <c r="BB574">
        <f ca="1">IF(COUNTBLANK(D574)=0,COUNTA(INDIRECT(CONCATENATE("Setup!",LEFT(ADDRESS(1,MATCH(CONCATENATE(C574,":",D574),Setup!$1:$1,0),4),1),"2:",LEFT(ADDRESS(1,MATCH(CONCATENATE(C574,":",D574),Setup!$1:$1,0),4),1),"99"))),0)</f>
        <v>0</v>
      </c>
      <c r="BC574">
        <f ca="1">IF(COUNTBLANK(E574)=0,COUNTA(INDIRECT(CONCATENATE("Comp!",SUBSTITUTE(ADDRESS(1,MATCH(CONCATENATE(C574,":",D574,":",E574),Comp!$1:$1,0),4),"1",""),"2:",SUBSTITUTE(ADDRESS(1,MATCH(CONCATENATE(C574,":",D574,":",E574),Comp!$1:$1,0),4),"1",""),"99"))),0)</f>
        <v>0</v>
      </c>
    </row>
    <row r="575" spans="1:55">
      <c r="A575" s="20" t="s">
        <v>73</v>
      </c>
      <c r="B575" s="21"/>
      <c r="C575" s="20"/>
      <c r="D575" s="22"/>
      <c r="E575" s="22"/>
      <c r="F575" s="21"/>
      <c r="G575" s="23"/>
      <c r="H575" s="24"/>
      <c r="I575" s="22"/>
      <c r="J575" s="22"/>
      <c r="K575" s="22"/>
      <c r="L575" s="21"/>
      <c r="M575" s="20"/>
      <c r="N575" s="20"/>
      <c r="O575" s="23"/>
      <c r="P575" s="21"/>
      <c r="Q575" s="20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1"/>
      <c r="AU575" s="25" t="str">
        <f t="shared" si="16"/>
        <v>1Q42</v>
      </c>
      <c r="AV575" t="str">
        <f t="shared" si="17"/>
        <v>1Q42</v>
      </c>
      <c r="BA575">
        <f ca="1">IF(COUNTBLANK(C575)=0,COUNTA(INDIRECT(CONCATENATE("Area!",LEFT(ADDRESS(1,MATCH(C575,Area!$1:$1,0),4),1),"2:",LEFT(ADDRESS(1,MATCH(C575,Area!$1:$1,0),4),1),"99"))),0)</f>
        <v>0</v>
      </c>
      <c r="BB575">
        <f ca="1">IF(COUNTBLANK(D575)=0,COUNTA(INDIRECT(CONCATENATE("Setup!",LEFT(ADDRESS(1,MATCH(CONCATENATE(C575,":",D575),Setup!$1:$1,0),4),1),"2:",LEFT(ADDRESS(1,MATCH(CONCATENATE(C575,":",D575),Setup!$1:$1,0),4),1),"99"))),0)</f>
        <v>0</v>
      </c>
      <c r="BC575">
        <f ca="1">IF(COUNTBLANK(E575)=0,COUNTA(INDIRECT(CONCATENATE("Comp!",SUBSTITUTE(ADDRESS(1,MATCH(CONCATENATE(C575,":",D575,":",E575),Comp!$1:$1,0),4),"1",""),"2:",SUBSTITUTE(ADDRESS(1,MATCH(CONCATENATE(C575,":",D575,":",E575),Comp!$1:$1,0),4),"1",""),"99"))),0)</f>
        <v>0</v>
      </c>
    </row>
    <row r="576" spans="1:55">
      <c r="A576" s="20" t="s">
        <v>73</v>
      </c>
      <c r="B576" s="21"/>
      <c r="C576" s="20"/>
      <c r="D576" s="22"/>
      <c r="E576" s="22"/>
      <c r="F576" s="21"/>
      <c r="G576" s="23"/>
      <c r="H576" s="24"/>
      <c r="I576" s="22"/>
      <c r="J576" s="22"/>
      <c r="K576" s="22"/>
      <c r="L576" s="21"/>
      <c r="M576" s="20"/>
      <c r="N576" s="20"/>
      <c r="O576" s="23"/>
      <c r="P576" s="21"/>
      <c r="Q576" s="20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1"/>
      <c r="AU576" s="25" t="str">
        <f t="shared" si="16"/>
        <v>1Q42</v>
      </c>
      <c r="AV576" t="str">
        <f t="shared" si="17"/>
        <v>1Q42</v>
      </c>
      <c r="BA576">
        <f ca="1">IF(COUNTBLANK(C576)=0,COUNTA(INDIRECT(CONCATENATE("Area!",LEFT(ADDRESS(1,MATCH(C576,Area!$1:$1,0),4),1),"2:",LEFT(ADDRESS(1,MATCH(C576,Area!$1:$1,0),4),1),"99"))),0)</f>
        <v>0</v>
      </c>
      <c r="BB576">
        <f ca="1">IF(COUNTBLANK(D576)=0,COUNTA(INDIRECT(CONCATENATE("Setup!",LEFT(ADDRESS(1,MATCH(CONCATENATE(C576,":",D576),Setup!$1:$1,0),4),1),"2:",LEFT(ADDRESS(1,MATCH(CONCATENATE(C576,":",D576),Setup!$1:$1,0),4),1),"99"))),0)</f>
        <v>0</v>
      </c>
      <c r="BC576">
        <f ca="1">IF(COUNTBLANK(E576)=0,COUNTA(INDIRECT(CONCATENATE("Comp!",SUBSTITUTE(ADDRESS(1,MATCH(CONCATENATE(C576,":",D576,":",E576),Comp!$1:$1,0),4),"1",""),"2:",SUBSTITUTE(ADDRESS(1,MATCH(CONCATENATE(C576,":",D576,":",E576),Comp!$1:$1,0),4),"1",""),"99"))),0)</f>
        <v>0</v>
      </c>
    </row>
    <row r="577" spans="1:55">
      <c r="A577" s="20" t="s">
        <v>73</v>
      </c>
      <c r="B577" s="21"/>
      <c r="C577" s="20"/>
      <c r="D577" s="22"/>
      <c r="E577" s="22"/>
      <c r="F577" s="21"/>
      <c r="G577" s="23"/>
      <c r="H577" s="24"/>
      <c r="I577" s="22"/>
      <c r="J577" s="22"/>
      <c r="K577" s="22"/>
      <c r="L577" s="21"/>
      <c r="M577" s="20"/>
      <c r="N577" s="20"/>
      <c r="O577" s="23"/>
      <c r="P577" s="21"/>
      <c r="Q577" s="20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1"/>
      <c r="AU577" s="25" t="str">
        <f t="shared" si="16"/>
        <v>1Q42</v>
      </c>
      <c r="AV577" t="str">
        <f t="shared" si="17"/>
        <v>1Q42</v>
      </c>
      <c r="BA577">
        <f ca="1">IF(COUNTBLANK(C577)=0,COUNTA(INDIRECT(CONCATENATE("Area!",LEFT(ADDRESS(1,MATCH(C577,Area!$1:$1,0),4),1),"2:",LEFT(ADDRESS(1,MATCH(C577,Area!$1:$1,0),4),1),"99"))),0)</f>
        <v>0</v>
      </c>
      <c r="BB577">
        <f ca="1">IF(COUNTBLANK(D577)=0,COUNTA(INDIRECT(CONCATENATE("Setup!",LEFT(ADDRESS(1,MATCH(CONCATENATE(C577,":",D577),Setup!$1:$1,0),4),1),"2:",LEFT(ADDRESS(1,MATCH(CONCATENATE(C577,":",D577),Setup!$1:$1,0),4),1),"99"))),0)</f>
        <v>0</v>
      </c>
      <c r="BC577">
        <f ca="1">IF(COUNTBLANK(E577)=0,COUNTA(INDIRECT(CONCATENATE("Comp!",SUBSTITUTE(ADDRESS(1,MATCH(CONCATENATE(C577,":",D577,":",E577),Comp!$1:$1,0),4),"1",""),"2:",SUBSTITUTE(ADDRESS(1,MATCH(CONCATENATE(C577,":",D577,":",E577),Comp!$1:$1,0),4),"1",""),"99"))),0)</f>
        <v>0</v>
      </c>
    </row>
    <row r="578" spans="1:55">
      <c r="A578" s="20" t="s">
        <v>73</v>
      </c>
      <c r="B578" s="21"/>
      <c r="C578" s="20"/>
      <c r="D578" s="22"/>
      <c r="E578" s="22"/>
      <c r="F578" s="21"/>
      <c r="G578" s="23"/>
      <c r="H578" s="24"/>
      <c r="I578" s="22"/>
      <c r="J578" s="22"/>
      <c r="K578" s="22"/>
      <c r="L578" s="21"/>
      <c r="M578" s="20"/>
      <c r="N578" s="20"/>
      <c r="O578" s="23"/>
      <c r="P578" s="21"/>
      <c r="Q578" s="20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1"/>
      <c r="AU578" s="25" t="str">
        <f t="shared" si="16"/>
        <v>1Q42</v>
      </c>
      <c r="AV578" t="str">
        <f t="shared" si="17"/>
        <v>1Q42</v>
      </c>
      <c r="BA578">
        <f ca="1">IF(COUNTBLANK(C578)=0,COUNTA(INDIRECT(CONCATENATE("Area!",LEFT(ADDRESS(1,MATCH(C578,Area!$1:$1,0),4),1),"2:",LEFT(ADDRESS(1,MATCH(C578,Area!$1:$1,0),4),1),"99"))),0)</f>
        <v>0</v>
      </c>
      <c r="BB578">
        <f ca="1">IF(COUNTBLANK(D578)=0,COUNTA(INDIRECT(CONCATENATE("Setup!",LEFT(ADDRESS(1,MATCH(CONCATENATE(C578,":",D578),Setup!$1:$1,0),4),1),"2:",LEFT(ADDRESS(1,MATCH(CONCATENATE(C578,":",D578),Setup!$1:$1,0),4),1),"99"))),0)</f>
        <v>0</v>
      </c>
      <c r="BC578">
        <f ca="1">IF(COUNTBLANK(E578)=0,COUNTA(INDIRECT(CONCATENATE("Comp!",SUBSTITUTE(ADDRESS(1,MATCH(CONCATENATE(C578,":",D578,":",E578),Comp!$1:$1,0),4),"1",""),"2:",SUBSTITUTE(ADDRESS(1,MATCH(CONCATENATE(C578,":",D578,":",E578),Comp!$1:$1,0),4),"1",""),"99"))),0)</f>
        <v>0</v>
      </c>
    </row>
    <row r="579" spans="1:55">
      <c r="A579" s="20" t="s">
        <v>73</v>
      </c>
      <c r="B579" s="21"/>
      <c r="C579" s="20"/>
      <c r="D579" s="22"/>
      <c r="E579" s="22"/>
      <c r="F579" s="21"/>
      <c r="G579" s="23"/>
      <c r="H579" s="24"/>
      <c r="I579" s="22"/>
      <c r="J579" s="22"/>
      <c r="K579" s="22"/>
      <c r="L579" s="21"/>
      <c r="M579" s="20"/>
      <c r="N579" s="20"/>
      <c r="O579" s="23"/>
      <c r="P579" s="21"/>
      <c r="Q579" s="20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1"/>
      <c r="AU579" s="25" t="str">
        <f t="shared" si="16"/>
        <v>1Q42</v>
      </c>
      <c r="AV579" t="str">
        <f t="shared" si="17"/>
        <v>1Q42</v>
      </c>
      <c r="BA579">
        <f ca="1">IF(COUNTBLANK(C579)=0,COUNTA(INDIRECT(CONCATENATE("Area!",LEFT(ADDRESS(1,MATCH(C579,Area!$1:$1,0),4),1),"2:",LEFT(ADDRESS(1,MATCH(C579,Area!$1:$1,0),4),1),"99"))),0)</f>
        <v>0</v>
      </c>
      <c r="BB579">
        <f ca="1">IF(COUNTBLANK(D579)=0,COUNTA(INDIRECT(CONCATENATE("Setup!",LEFT(ADDRESS(1,MATCH(CONCATENATE(C579,":",D579),Setup!$1:$1,0),4),1),"2:",LEFT(ADDRESS(1,MATCH(CONCATENATE(C579,":",D579),Setup!$1:$1,0),4),1),"99"))),0)</f>
        <v>0</v>
      </c>
      <c r="BC579">
        <f ca="1">IF(COUNTBLANK(E579)=0,COUNTA(INDIRECT(CONCATENATE("Comp!",SUBSTITUTE(ADDRESS(1,MATCH(CONCATENATE(C579,":",D579,":",E579),Comp!$1:$1,0),4),"1",""),"2:",SUBSTITUTE(ADDRESS(1,MATCH(CONCATENATE(C579,":",D579,":",E579),Comp!$1:$1,0),4),"1",""),"99"))),0)</f>
        <v>0</v>
      </c>
    </row>
    <row r="580" spans="1:55">
      <c r="A580" s="20" t="s">
        <v>73</v>
      </c>
      <c r="B580" s="21"/>
      <c r="C580" s="20"/>
      <c r="D580" s="22"/>
      <c r="E580" s="22"/>
      <c r="F580" s="21"/>
      <c r="G580" s="23"/>
      <c r="H580" s="24"/>
      <c r="I580" s="22"/>
      <c r="J580" s="22"/>
      <c r="K580" s="22"/>
      <c r="L580" s="21"/>
      <c r="M580" s="20"/>
      <c r="N580" s="20"/>
      <c r="O580" s="23"/>
      <c r="P580" s="21"/>
      <c r="Q580" s="20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1"/>
      <c r="AU580" s="25" t="str">
        <f t="shared" si="16"/>
        <v>1Q42</v>
      </c>
      <c r="AV580" t="str">
        <f t="shared" si="17"/>
        <v>1Q42</v>
      </c>
      <c r="BA580">
        <f ca="1">IF(COUNTBLANK(C580)=0,COUNTA(INDIRECT(CONCATENATE("Area!",LEFT(ADDRESS(1,MATCH(C580,Area!$1:$1,0),4),1),"2:",LEFT(ADDRESS(1,MATCH(C580,Area!$1:$1,0),4),1),"99"))),0)</f>
        <v>0</v>
      </c>
      <c r="BB580">
        <f ca="1">IF(COUNTBLANK(D580)=0,COUNTA(INDIRECT(CONCATENATE("Setup!",LEFT(ADDRESS(1,MATCH(CONCATENATE(C580,":",D580),Setup!$1:$1,0),4),1),"2:",LEFT(ADDRESS(1,MATCH(CONCATENATE(C580,":",D580),Setup!$1:$1,0),4),1),"99"))),0)</f>
        <v>0</v>
      </c>
      <c r="BC580">
        <f ca="1">IF(COUNTBLANK(E580)=0,COUNTA(INDIRECT(CONCATENATE("Comp!",SUBSTITUTE(ADDRESS(1,MATCH(CONCATENATE(C580,":",D580,":",E580),Comp!$1:$1,0),4),"1",""),"2:",SUBSTITUTE(ADDRESS(1,MATCH(CONCATENATE(C580,":",D580,":",E580),Comp!$1:$1,0),4),"1",""),"99"))),0)</f>
        <v>0</v>
      </c>
    </row>
    <row r="581" spans="1:55">
      <c r="A581" s="20" t="s">
        <v>73</v>
      </c>
      <c r="B581" s="21"/>
      <c r="C581" s="20"/>
      <c r="D581" s="22"/>
      <c r="E581" s="22"/>
      <c r="F581" s="21"/>
      <c r="G581" s="23"/>
      <c r="H581" s="24"/>
      <c r="I581" s="22"/>
      <c r="J581" s="22"/>
      <c r="K581" s="22"/>
      <c r="L581" s="21"/>
      <c r="M581" s="20"/>
      <c r="N581" s="20"/>
      <c r="O581" s="23"/>
      <c r="P581" s="21"/>
      <c r="Q581" s="20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1"/>
      <c r="AU581" s="25" t="str">
        <f t="shared" si="16"/>
        <v>1Q42</v>
      </c>
      <c r="AV581" t="str">
        <f t="shared" si="17"/>
        <v>1Q42</v>
      </c>
      <c r="BA581">
        <f ca="1">IF(COUNTBLANK(C581)=0,COUNTA(INDIRECT(CONCATENATE("Area!",LEFT(ADDRESS(1,MATCH(C581,Area!$1:$1,0),4),1),"2:",LEFT(ADDRESS(1,MATCH(C581,Area!$1:$1,0),4),1),"99"))),0)</f>
        <v>0</v>
      </c>
      <c r="BB581">
        <f ca="1">IF(COUNTBLANK(D581)=0,COUNTA(INDIRECT(CONCATENATE("Setup!",LEFT(ADDRESS(1,MATCH(CONCATENATE(C581,":",D581),Setup!$1:$1,0),4),1),"2:",LEFT(ADDRESS(1,MATCH(CONCATENATE(C581,":",D581),Setup!$1:$1,0),4),1),"99"))),0)</f>
        <v>0</v>
      </c>
      <c r="BC581">
        <f ca="1">IF(COUNTBLANK(E581)=0,COUNTA(INDIRECT(CONCATENATE("Comp!",SUBSTITUTE(ADDRESS(1,MATCH(CONCATENATE(C581,":",D581,":",E581),Comp!$1:$1,0),4),"1",""),"2:",SUBSTITUTE(ADDRESS(1,MATCH(CONCATENATE(C581,":",D581,":",E581),Comp!$1:$1,0),4),"1",""),"99"))),0)</f>
        <v>0</v>
      </c>
    </row>
    <row r="582" spans="1:55">
      <c r="A582" s="20" t="s">
        <v>73</v>
      </c>
      <c r="B582" s="21"/>
      <c r="C582" s="20"/>
      <c r="D582" s="22"/>
      <c r="E582" s="22"/>
      <c r="F582" s="21"/>
      <c r="G582" s="23"/>
      <c r="H582" s="24"/>
      <c r="I582" s="22"/>
      <c r="J582" s="22"/>
      <c r="K582" s="22"/>
      <c r="L582" s="21"/>
      <c r="M582" s="20"/>
      <c r="N582" s="20"/>
      <c r="O582" s="23"/>
      <c r="P582" s="21"/>
      <c r="Q582" s="20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1"/>
      <c r="AU582" s="25" t="str">
        <f t="shared" si="16"/>
        <v>1Q42</v>
      </c>
      <c r="AV582" t="str">
        <f t="shared" si="17"/>
        <v>1Q42</v>
      </c>
      <c r="BA582">
        <f ca="1">IF(COUNTBLANK(C582)=0,COUNTA(INDIRECT(CONCATENATE("Area!",LEFT(ADDRESS(1,MATCH(C582,Area!$1:$1,0),4),1),"2:",LEFT(ADDRESS(1,MATCH(C582,Area!$1:$1,0),4),1),"99"))),0)</f>
        <v>0</v>
      </c>
      <c r="BB582">
        <f ca="1">IF(COUNTBLANK(D582)=0,COUNTA(INDIRECT(CONCATENATE("Setup!",LEFT(ADDRESS(1,MATCH(CONCATENATE(C582,":",D582),Setup!$1:$1,0),4),1),"2:",LEFT(ADDRESS(1,MATCH(CONCATENATE(C582,":",D582),Setup!$1:$1,0),4),1),"99"))),0)</f>
        <v>0</v>
      </c>
      <c r="BC582">
        <f ca="1">IF(COUNTBLANK(E582)=0,COUNTA(INDIRECT(CONCATENATE("Comp!",SUBSTITUTE(ADDRESS(1,MATCH(CONCATENATE(C582,":",D582,":",E582),Comp!$1:$1,0),4),"1",""),"2:",SUBSTITUTE(ADDRESS(1,MATCH(CONCATENATE(C582,":",D582,":",E582),Comp!$1:$1,0),4),"1",""),"99"))),0)</f>
        <v>0</v>
      </c>
    </row>
    <row r="583" spans="1:55">
      <c r="A583" s="20" t="s">
        <v>73</v>
      </c>
      <c r="B583" s="21"/>
      <c r="C583" s="20"/>
      <c r="D583" s="22"/>
      <c r="E583" s="22"/>
      <c r="F583" s="21"/>
      <c r="G583" s="23"/>
      <c r="H583" s="24"/>
      <c r="I583" s="22"/>
      <c r="J583" s="22"/>
      <c r="K583" s="22"/>
      <c r="L583" s="21"/>
      <c r="M583" s="20"/>
      <c r="N583" s="20"/>
      <c r="O583" s="23"/>
      <c r="P583" s="21"/>
      <c r="Q583" s="20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1"/>
      <c r="AU583" s="25" t="str">
        <f t="shared" si="16"/>
        <v>1Q42</v>
      </c>
      <c r="AV583" t="str">
        <f t="shared" si="17"/>
        <v>1Q42</v>
      </c>
      <c r="BA583">
        <f ca="1">IF(COUNTBLANK(C583)=0,COUNTA(INDIRECT(CONCATENATE("Area!",LEFT(ADDRESS(1,MATCH(C583,Area!$1:$1,0),4),1),"2:",LEFT(ADDRESS(1,MATCH(C583,Area!$1:$1,0),4),1),"99"))),0)</f>
        <v>0</v>
      </c>
      <c r="BB583">
        <f ca="1">IF(COUNTBLANK(D583)=0,COUNTA(INDIRECT(CONCATENATE("Setup!",LEFT(ADDRESS(1,MATCH(CONCATENATE(C583,":",D583),Setup!$1:$1,0),4),1),"2:",LEFT(ADDRESS(1,MATCH(CONCATENATE(C583,":",D583),Setup!$1:$1,0),4),1),"99"))),0)</f>
        <v>0</v>
      </c>
      <c r="BC583">
        <f ca="1">IF(COUNTBLANK(E583)=0,COUNTA(INDIRECT(CONCATENATE("Comp!",SUBSTITUTE(ADDRESS(1,MATCH(CONCATENATE(C583,":",D583,":",E583),Comp!$1:$1,0),4),"1",""),"2:",SUBSTITUTE(ADDRESS(1,MATCH(CONCATENATE(C583,":",D583,":",E583),Comp!$1:$1,0),4),"1",""),"99"))),0)</f>
        <v>0</v>
      </c>
    </row>
    <row r="584" spans="1:55">
      <c r="A584" s="20" t="s">
        <v>73</v>
      </c>
      <c r="B584" s="21"/>
      <c r="C584" s="20"/>
      <c r="D584" s="22"/>
      <c r="E584" s="22"/>
      <c r="F584" s="21"/>
      <c r="G584" s="23"/>
      <c r="H584" s="24"/>
      <c r="I584" s="22"/>
      <c r="J584" s="22"/>
      <c r="K584" s="22"/>
      <c r="L584" s="21"/>
      <c r="M584" s="20"/>
      <c r="N584" s="20"/>
      <c r="O584" s="23"/>
      <c r="P584" s="21"/>
      <c r="Q584" s="20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1"/>
      <c r="AU584" s="25" t="str">
        <f t="shared" si="16"/>
        <v>1Q42</v>
      </c>
      <c r="AV584" t="str">
        <f t="shared" si="17"/>
        <v>1Q42</v>
      </c>
      <c r="BA584">
        <f ca="1">IF(COUNTBLANK(C584)=0,COUNTA(INDIRECT(CONCATENATE("Area!",LEFT(ADDRESS(1,MATCH(C584,Area!$1:$1,0),4),1),"2:",LEFT(ADDRESS(1,MATCH(C584,Area!$1:$1,0),4),1),"99"))),0)</f>
        <v>0</v>
      </c>
      <c r="BB584">
        <f ca="1">IF(COUNTBLANK(D584)=0,COUNTA(INDIRECT(CONCATENATE("Setup!",LEFT(ADDRESS(1,MATCH(CONCATENATE(C584,":",D584),Setup!$1:$1,0),4),1),"2:",LEFT(ADDRESS(1,MATCH(CONCATENATE(C584,":",D584),Setup!$1:$1,0),4),1),"99"))),0)</f>
        <v>0</v>
      </c>
      <c r="BC584">
        <f ca="1">IF(COUNTBLANK(E584)=0,COUNTA(INDIRECT(CONCATENATE("Comp!",SUBSTITUTE(ADDRESS(1,MATCH(CONCATENATE(C584,":",D584,":",E584),Comp!$1:$1,0),4),"1",""),"2:",SUBSTITUTE(ADDRESS(1,MATCH(CONCATENATE(C584,":",D584,":",E584),Comp!$1:$1,0),4),"1",""),"99"))),0)</f>
        <v>0</v>
      </c>
    </row>
    <row r="585" spans="1:55">
      <c r="A585" s="20" t="s">
        <v>73</v>
      </c>
      <c r="B585" s="21"/>
      <c r="C585" s="20"/>
      <c r="D585" s="22"/>
      <c r="E585" s="22"/>
      <c r="F585" s="21"/>
      <c r="G585" s="23"/>
      <c r="H585" s="24"/>
      <c r="I585" s="22"/>
      <c r="J585" s="22"/>
      <c r="K585" s="22"/>
      <c r="L585" s="21"/>
      <c r="M585" s="20"/>
      <c r="N585" s="20"/>
      <c r="O585" s="23"/>
      <c r="P585" s="21"/>
      <c r="Q585" s="20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1"/>
      <c r="AU585" s="25" t="str">
        <f t="shared" ref="AU585:AU648" si="18">CONCATENATE(A585,B585)</f>
        <v>1Q42</v>
      </c>
      <c r="AV585" t="str">
        <f t="shared" ref="AV585:AV648" si="19">CONCATENATE(A585,B585)</f>
        <v>1Q42</v>
      </c>
      <c r="BA585">
        <f ca="1">IF(COUNTBLANK(C585)=0,COUNTA(INDIRECT(CONCATENATE("Area!",LEFT(ADDRESS(1,MATCH(C585,Area!$1:$1,0),4),1),"2:",LEFT(ADDRESS(1,MATCH(C585,Area!$1:$1,0),4),1),"99"))),0)</f>
        <v>0</v>
      </c>
      <c r="BB585">
        <f ca="1">IF(COUNTBLANK(D585)=0,COUNTA(INDIRECT(CONCATENATE("Setup!",LEFT(ADDRESS(1,MATCH(CONCATENATE(C585,":",D585),Setup!$1:$1,0),4),1),"2:",LEFT(ADDRESS(1,MATCH(CONCATENATE(C585,":",D585),Setup!$1:$1,0),4),1),"99"))),0)</f>
        <v>0</v>
      </c>
      <c r="BC585">
        <f ca="1">IF(COUNTBLANK(E585)=0,COUNTA(INDIRECT(CONCATENATE("Comp!",SUBSTITUTE(ADDRESS(1,MATCH(CONCATENATE(C585,":",D585,":",E585),Comp!$1:$1,0),4),"1",""),"2:",SUBSTITUTE(ADDRESS(1,MATCH(CONCATENATE(C585,":",D585,":",E585),Comp!$1:$1,0),4),"1",""),"99"))),0)</f>
        <v>0</v>
      </c>
    </row>
    <row r="586" spans="1:55">
      <c r="A586" s="20" t="s">
        <v>73</v>
      </c>
      <c r="B586" s="21"/>
      <c r="C586" s="20"/>
      <c r="D586" s="22"/>
      <c r="E586" s="22"/>
      <c r="F586" s="21"/>
      <c r="G586" s="23"/>
      <c r="H586" s="24"/>
      <c r="I586" s="22"/>
      <c r="J586" s="22"/>
      <c r="K586" s="22"/>
      <c r="L586" s="21"/>
      <c r="M586" s="20"/>
      <c r="N586" s="20"/>
      <c r="O586" s="23"/>
      <c r="P586" s="21"/>
      <c r="Q586" s="20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1"/>
      <c r="AU586" s="25" t="str">
        <f t="shared" si="18"/>
        <v>1Q42</v>
      </c>
      <c r="AV586" t="str">
        <f t="shared" si="19"/>
        <v>1Q42</v>
      </c>
      <c r="BA586">
        <f ca="1">IF(COUNTBLANK(C586)=0,COUNTA(INDIRECT(CONCATENATE("Area!",LEFT(ADDRESS(1,MATCH(C586,Area!$1:$1,0),4),1),"2:",LEFT(ADDRESS(1,MATCH(C586,Area!$1:$1,0),4),1),"99"))),0)</f>
        <v>0</v>
      </c>
      <c r="BB586">
        <f ca="1">IF(COUNTBLANK(D586)=0,COUNTA(INDIRECT(CONCATENATE("Setup!",LEFT(ADDRESS(1,MATCH(CONCATENATE(C586,":",D586),Setup!$1:$1,0),4),1),"2:",LEFT(ADDRESS(1,MATCH(CONCATENATE(C586,":",D586),Setup!$1:$1,0),4),1),"99"))),0)</f>
        <v>0</v>
      </c>
      <c r="BC586">
        <f ca="1">IF(COUNTBLANK(E586)=0,COUNTA(INDIRECT(CONCATENATE("Comp!",SUBSTITUTE(ADDRESS(1,MATCH(CONCATENATE(C586,":",D586,":",E586),Comp!$1:$1,0),4),"1",""),"2:",SUBSTITUTE(ADDRESS(1,MATCH(CONCATENATE(C586,":",D586,":",E586),Comp!$1:$1,0),4),"1",""),"99"))),0)</f>
        <v>0</v>
      </c>
    </row>
    <row r="587" spans="1:55">
      <c r="A587" s="20" t="s">
        <v>73</v>
      </c>
      <c r="B587" s="21"/>
      <c r="C587" s="20"/>
      <c r="D587" s="22"/>
      <c r="E587" s="22"/>
      <c r="F587" s="21"/>
      <c r="G587" s="23"/>
      <c r="H587" s="24"/>
      <c r="I587" s="22"/>
      <c r="J587" s="22"/>
      <c r="K587" s="22"/>
      <c r="L587" s="21"/>
      <c r="M587" s="20"/>
      <c r="N587" s="20"/>
      <c r="O587" s="23"/>
      <c r="P587" s="21"/>
      <c r="Q587" s="20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1"/>
      <c r="AU587" s="25" t="str">
        <f t="shared" si="18"/>
        <v>1Q42</v>
      </c>
      <c r="AV587" t="str">
        <f t="shared" si="19"/>
        <v>1Q42</v>
      </c>
      <c r="BA587">
        <f ca="1">IF(COUNTBLANK(C587)=0,COUNTA(INDIRECT(CONCATENATE("Area!",LEFT(ADDRESS(1,MATCH(C587,Area!$1:$1,0),4),1),"2:",LEFT(ADDRESS(1,MATCH(C587,Area!$1:$1,0),4),1),"99"))),0)</f>
        <v>0</v>
      </c>
      <c r="BB587">
        <f ca="1">IF(COUNTBLANK(D587)=0,COUNTA(INDIRECT(CONCATENATE("Setup!",LEFT(ADDRESS(1,MATCH(CONCATENATE(C587,":",D587),Setup!$1:$1,0),4),1),"2:",LEFT(ADDRESS(1,MATCH(CONCATENATE(C587,":",D587),Setup!$1:$1,0),4),1),"99"))),0)</f>
        <v>0</v>
      </c>
      <c r="BC587">
        <f ca="1">IF(COUNTBLANK(E587)=0,COUNTA(INDIRECT(CONCATENATE("Comp!",SUBSTITUTE(ADDRESS(1,MATCH(CONCATENATE(C587,":",D587,":",E587),Comp!$1:$1,0),4),"1",""),"2:",SUBSTITUTE(ADDRESS(1,MATCH(CONCATENATE(C587,":",D587,":",E587),Comp!$1:$1,0),4),"1",""),"99"))),0)</f>
        <v>0</v>
      </c>
    </row>
    <row r="588" spans="1:55">
      <c r="A588" s="20" t="s">
        <v>73</v>
      </c>
      <c r="B588" s="21"/>
      <c r="C588" s="20"/>
      <c r="D588" s="22"/>
      <c r="E588" s="22"/>
      <c r="F588" s="21"/>
      <c r="G588" s="23"/>
      <c r="H588" s="24"/>
      <c r="I588" s="22"/>
      <c r="J588" s="22"/>
      <c r="K588" s="22"/>
      <c r="L588" s="21"/>
      <c r="M588" s="20"/>
      <c r="N588" s="20"/>
      <c r="O588" s="23"/>
      <c r="P588" s="21"/>
      <c r="Q588" s="20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1"/>
      <c r="AU588" s="25" t="str">
        <f t="shared" si="18"/>
        <v>1Q42</v>
      </c>
      <c r="AV588" t="str">
        <f t="shared" si="19"/>
        <v>1Q42</v>
      </c>
      <c r="BA588">
        <f ca="1">IF(COUNTBLANK(C588)=0,COUNTA(INDIRECT(CONCATENATE("Area!",LEFT(ADDRESS(1,MATCH(C588,Area!$1:$1,0),4),1),"2:",LEFT(ADDRESS(1,MATCH(C588,Area!$1:$1,0),4),1),"99"))),0)</f>
        <v>0</v>
      </c>
      <c r="BB588">
        <f ca="1">IF(COUNTBLANK(D588)=0,COUNTA(INDIRECT(CONCATENATE("Setup!",LEFT(ADDRESS(1,MATCH(CONCATENATE(C588,":",D588),Setup!$1:$1,0),4),1),"2:",LEFT(ADDRESS(1,MATCH(CONCATENATE(C588,":",D588),Setup!$1:$1,0),4),1),"99"))),0)</f>
        <v>0</v>
      </c>
      <c r="BC588">
        <f ca="1">IF(COUNTBLANK(E588)=0,COUNTA(INDIRECT(CONCATENATE("Comp!",SUBSTITUTE(ADDRESS(1,MATCH(CONCATENATE(C588,":",D588,":",E588),Comp!$1:$1,0),4),"1",""),"2:",SUBSTITUTE(ADDRESS(1,MATCH(CONCATENATE(C588,":",D588,":",E588),Comp!$1:$1,0),4),"1",""),"99"))),0)</f>
        <v>0</v>
      </c>
    </row>
    <row r="589" spans="1:55">
      <c r="A589" s="20" t="s">
        <v>73</v>
      </c>
      <c r="B589" s="21"/>
      <c r="C589" s="20"/>
      <c r="D589" s="22"/>
      <c r="E589" s="22"/>
      <c r="F589" s="21"/>
      <c r="G589" s="23"/>
      <c r="H589" s="24"/>
      <c r="I589" s="22"/>
      <c r="J589" s="22"/>
      <c r="K589" s="22"/>
      <c r="L589" s="21"/>
      <c r="M589" s="20"/>
      <c r="N589" s="20"/>
      <c r="O589" s="23"/>
      <c r="P589" s="21"/>
      <c r="Q589" s="20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1"/>
      <c r="AU589" s="25" t="str">
        <f t="shared" si="18"/>
        <v>1Q42</v>
      </c>
      <c r="AV589" t="str">
        <f t="shared" si="19"/>
        <v>1Q42</v>
      </c>
      <c r="BA589">
        <f ca="1">IF(COUNTBLANK(C589)=0,COUNTA(INDIRECT(CONCATENATE("Area!",LEFT(ADDRESS(1,MATCH(C589,Area!$1:$1,0),4),1),"2:",LEFT(ADDRESS(1,MATCH(C589,Area!$1:$1,0),4),1),"99"))),0)</f>
        <v>0</v>
      </c>
      <c r="BB589">
        <f ca="1">IF(COUNTBLANK(D589)=0,COUNTA(INDIRECT(CONCATENATE("Setup!",LEFT(ADDRESS(1,MATCH(CONCATENATE(C589,":",D589),Setup!$1:$1,0),4),1),"2:",LEFT(ADDRESS(1,MATCH(CONCATENATE(C589,":",D589),Setup!$1:$1,0),4),1),"99"))),0)</f>
        <v>0</v>
      </c>
      <c r="BC589">
        <f ca="1">IF(COUNTBLANK(E589)=0,COUNTA(INDIRECT(CONCATENATE("Comp!",SUBSTITUTE(ADDRESS(1,MATCH(CONCATENATE(C589,":",D589,":",E589),Comp!$1:$1,0),4),"1",""),"2:",SUBSTITUTE(ADDRESS(1,MATCH(CONCATENATE(C589,":",D589,":",E589),Comp!$1:$1,0),4),"1",""),"99"))),0)</f>
        <v>0</v>
      </c>
    </row>
    <row r="590" spans="1:55">
      <c r="A590" s="20" t="s">
        <v>73</v>
      </c>
      <c r="B590" s="21"/>
      <c r="C590" s="20"/>
      <c r="D590" s="22"/>
      <c r="E590" s="22"/>
      <c r="F590" s="21"/>
      <c r="G590" s="23"/>
      <c r="H590" s="24"/>
      <c r="I590" s="22"/>
      <c r="J590" s="22"/>
      <c r="K590" s="22"/>
      <c r="L590" s="21"/>
      <c r="M590" s="20"/>
      <c r="N590" s="20"/>
      <c r="O590" s="23"/>
      <c r="P590" s="21"/>
      <c r="Q590" s="20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1"/>
      <c r="AU590" s="25" t="str">
        <f t="shared" si="18"/>
        <v>1Q42</v>
      </c>
      <c r="AV590" t="str">
        <f t="shared" si="19"/>
        <v>1Q42</v>
      </c>
      <c r="BA590">
        <f ca="1">IF(COUNTBLANK(C590)=0,COUNTA(INDIRECT(CONCATENATE("Area!",LEFT(ADDRESS(1,MATCH(C590,Area!$1:$1,0),4),1),"2:",LEFT(ADDRESS(1,MATCH(C590,Area!$1:$1,0),4),1),"99"))),0)</f>
        <v>0</v>
      </c>
      <c r="BB590">
        <f ca="1">IF(COUNTBLANK(D590)=0,COUNTA(INDIRECT(CONCATENATE("Setup!",LEFT(ADDRESS(1,MATCH(CONCATENATE(C590,":",D590),Setup!$1:$1,0),4),1),"2:",LEFT(ADDRESS(1,MATCH(CONCATENATE(C590,":",D590),Setup!$1:$1,0),4),1),"99"))),0)</f>
        <v>0</v>
      </c>
      <c r="BC590">
        <f ca="1">IF(COUNTBLANK(E590)=0,COUNTA(INDIRECT(CONCATENATE("Comp!",SUBSTITUTE(ADDRESS(1,MATCH(CONCATENATE(C590,":",D590,":",E590),Comp!$1:$1,0),4),"1",""),"2:",SUBSTITUTE(ADDRESS(1,MATCH(CONCATENATE(C590,":",D590,":",E590),Comp!$1:$1,0),4),"1",""),"99"))),0)</f>
        <v>0</v>
      </c>
    </row>
    <row r="591" spans="1:55">
      <c r="A591" s="20" t="s">
        <v>73</v>
      </c>
      <c r="B591" s="21"/>
      <c r="C591" s="20"/>
      <c r="D591" s="22"/>
      <c r="E591" s="22"/>
      <c r="F591" s="21"/>
      <c r="G591" s="23"/>
      <c r="H591" s="24"/>
      <c r="I591" s="22"/>
      <c r="J591" s="22"/>
      <c r="K591" s="22"/>
      <c r="L591" s="21"/>
      <c r="M591" s="20"/>
      <c r="N591" s="20"/>
      <c r="O591" s="23"/>
      <c r="P591" s="21"/>
      <c r="Q591" s="20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1"/>
      <c r="AU591" s="25" t="str">
        <f t="shared" si="18"/>
        <v>1Q42</v>
      </c>
      <c r="AV591" t="str">
        <f t="shared" si="19"/>
        <v>1Q42</v>
      </c>
      <c r="BA591">
        <f ca="1">IF(COUNTBLANK(C591)=0,COUNTA(INDIRECT(CONCATENATE("Area!",LEFT(ADDRESS(1,MATCH(C591,Area!$1:$1,0),4),1),"2:",LEFT(ADDRESS(1,MATCH(C591,Area!$1:$1,0),4),1),"99"))),0)</f>
        <v>0</v>
      </c>
      <c r="BB591">
        <f ca="1">IF(COUNTBLANK(D591)=0,COUNTA(INDIRECT(CONCATENATE("Setup!",LEFT(ADDRESS(1,MATCH(CONCATENATE(C591,":",D591),Setup!$1:$1,0),4),1),"2:",LEFT(ADDRESS(1,MATCH(CONCATENATE(C591,":",D591),Setup!$1:$1,0),4),1),"99"))),0)</f>
        <v>0</v>
      </c>
      <c r="BC591">
        <f ca="1">IF(COUNTBLANK(E591)=0,COUNTA(INDIRECT(CONCATENATE("Comp!",SUBSTITUTE(ADDRESS(1,MATCH(CONCATENATE(C591,":",D591,":",E591),Comp!$1:$1,0),4),"1",""),"2:",SUBSTITUTE(ADDRESS(1,MATCH(CONCATENATE(C591,":",D591,":",E591),Comp!$1:$1,0),4),"1",""),"99"))),0)</f>
        <v>0</v>
      </c>
    </row>
    <row r="592" spans="1:55">
      <c r="A592" s="20" t="s">
        <v>73</v>
      </c>
      <c r="B592" s="21"/>
      <c r="C592" s="20"/>
      <c r="D592" s="22"/>
      <c r="E592" s="22"/>
      <c r="F592" s="21"/>
      <c r="G592" s="23"/>
      <c r="H592" s="24"/>
      <c r="I592" s="22"/>
      <c r="J592" s="22"/>
      <c r="K592" s="22"/>
      <c r="L592" s="21"/>
      <c r="M592" s="20"/>
      <c r="N592" s="20"/>
      <c r="O592" s="23"/>
      <c r="P592" s="21"/>
      <c r="Q592" s="20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1"/>
      <c r="AU592" s="25" t="str">
        <f t="shared" si="18"/>
        <v>1Q42</v>
      </c>
      <c r="AV592" t="str">
        <f t="shared" si="19"/>
        <v>1Q42</v>
      </c>
      <c r="BA592">
        <f ca="1">IF(COUNTBLANK(C592)=0,COUNTA(INDIRECT(CONCATENATE("Area!",LEFT(ADDRESS(1,MATCH(C592,Area!$1:$1,0),4),1),"2:",LEFT(ADDRESS(1,MATCH(C592,Area!$1:$1,0),4),1),"99"))),0)</f>
        <v>0</v>
      </c>
      <c r="BB592">
        <f ca="1">IF(COUNTBLANK(D592)=0,COUNTA(INDIRECT(CONCATENATE("Setup!",LEFT(ADDRESS(1,MATCH(CONCATENATE(C592,":",D592),Setup!$1:$1,0),4),1),"2:",LEFT(ADDRESS(1,MATCH(CONCATENATE(C592,":",D592),Setup!$1:$1,0),4),1),"99"))),0)</f>
        <v>0</v>
      </c>
      <c r="BC592">
        <f ca="1">IF(COUNTBLANK(E592)=0,COUNTA(INDIRECT(CONCATENATE("Comp!",SUBSTITUTE(ADDRESS(1,MATCH(CONCATENATE(C592,":",D592,":",E592),Comp!$1:$1,0),4),"1",""),"2:",SUBSTITUTE(ADDRESS(1,MATCH(CONCATENATE(C592,":",D592,":",E592),Comp!$1:$1,0),4),"1",""),"99"))),0)</f>
        <v>0</v>
      </c>
    </row>
    <row r="593" spans="1:55">
      <c r="A593" s="20" t="s">
        <v>73</v>
      </c>
      <c r="B593" s="21"/>
      <c r="C593" s="20"/>
      <c r="D593" s="22"/>
      <c r="E593" s="22"/>
      <c r="F593" s="21"/>
      <c r="G593" s="23"/>
      <c r="H593" s="24"/>
      <c r="I593" s="22"/>
      <c r="J593" s="22"/>
      <c r="K593" s="22"/>
      <c r="L593" s="21"/>
      <c r="M593" s="20"/>
      <c r="N593" s="20"/>
      <c r="O593" s="23"/>
      <c r="P593" s="21"/>
      <c r="Q593" s="20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1"/>
      <c r="AU593" s="25" t="str">
        <f t="shared" si="18"/>
        <v>1Q42</v>
      </c>
      <c r="AV593" t="str">
        <f t="shared" si="19"/>
        <v>1Q42</v>
      </c>
      <c r="BA593">
        <f ca="1">IF(COUNTBLANK(C593)=0,COUNTA(INDIRECT(CONCATENATE("Area!",LEFT(ADDRESS(1,MATCH(C593,Area!$1:$1,0),4),1),"2:",LEFT(ADDRESS(1,MATCH(C593,Area!$1:$1,0),4),1),"99"))),0)</f>
        <v>0</v>
      </c>
      <c r="BB593">
        <f ca="1">IF(COUNTBLANK(D593)=0,COUNTA(INDIRECT(CONCATENATE("Setup!",LEFT(ADDRESS(1,MATCH(CONCATENATE(C593,":",D593),Setup!$1:$1,0),4),1),"2:",LEFT(ADDRESS(1,MATCH(CONCATENATE(C593,":",D593),Setup!$1:$1,0),4),1),"99"))),0)</f>
        <v>0</v>
      </c>
      <c r="BC593">
        <f ca="1">IF(COUNTBLANK(E593)=0,COUNTA(INDIRECT(CONCATENATE("Comp!",SUBSTITUTE(ADDRESS(1,MATCH(CONCATENATE(C593,":",D593,":",E593),Comp!$1:$1,0),4),"1",""),"2:",SUBSTITUTE(ADDRESS(1,MATCH(CONCATENATE(C593,":",D593,":",E593),Comp!$1:$1,0),4),"1",""),"99"))),0)</f>
        <v>0</v>
      </c>
    </row>
    <row r="594" spans="1:55">
      <c r="A594" s="20" t="s">
        <v>73</v>
      </c>
      <c r="B594" s="21"/>
      <c r="C594" s="20"/>
      <c r="D594" s="22"/>
      <c r="E594" s="22"/>
      <c r="F594" s="21"/>
      <c r="G594" s="23"/>
      <c r="H594" s="24"/>
      <c r="I594" s="22"/>
      <c r="J594" s="22"/>
      <c r="K594" s="22"/>
      <c r="L594" s="21"/>
      <c r="M594" s="20"/>
      <c r="N594" s="20"/>
      <c r="O594" s="23"/>
      <c r="P594" s="21"/>
      <c r="Q594" s="20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1"/>
      <c r="AU594" s="25" t="str">
        <f t="shared" si="18"/>
        <v>1Q42</v>
      </c>
      <c r="AV594" t="str">
        <f t="shared" si="19"/>
        <v>1Q42</v>
      </c>
      <c r="BA594">
        <f ca="1">IF(COUNTBLANK(C594)=0,COUNTA(INDIRECT(CONCATENATE("Area!",LEFT(ADDRESS(1,MATCH(C594,Area!$1:$1,0),4),1),"2:",LEFT(ADDRESS(1,MATCH(C594,Area!$1:$1,0),4),1),"99"))),0)</f>
        <v>0</v>
      </c>
      <c r="BB594">
        <f ca="1">IF(COUNTBLANK(D594)=0,COUNTA(INDIRECT(CONCATENATE("Setup!",LEFT(ADDRESS(1,MATCH(CONCATENATE(C594,":",D594),Setup!$1:$1,0),4),1),"2:",LEFT(ADDRESS(1,MATCH(CONCATENATE(C594,":",D594),Setup!$1:$1,0),4),1),"99"))),0)</f>
        <v>0</v>
      </c>
      <c r="BC594">
        <f ca="1">IF(COUNTBLANK(E594)=0,COUNTA(INDIRECT(CONCATENATE("Comp!",SUBSTITUTE(ADDRESS(1,MATCH(CONCATENATE(C594,":",D594,":",E594),Comp!$1:$1,0),4),"1",""),"2:",SUBSTITUTE(ADDRESS(1,MATCH(CONCATENATE(C594,":",D594,":",E594),Comp!$1:$1,0),4),"1",""),"99"))),0)</f>
        <v>0</v>
      </c>
    </row>
    <row r="595" spans="1:55">
      <c r="A595" s="20" t="s">
        <v>73</v>
      </c>
      <c r="B595" s="21"/>
      <c r="C595" s="20"/>
      <c r="D595" s="22"/>
      <c r="E595" s="22"/>
      <c r="F595" s="21"/>
      <c r="G595" s="23"/>
      <c r="H595" s="24"/>
      <c r="I595" s="22"/>
      <c r="J595" s="22"/>
      <c r="K595" s="22"/>
      <c r="L595" s="21"/>
      <c r="M595" s="20"/>
      <c r="N595" s="20"/>
      <c r="O595" s="23"/>
      <c r="P595" s="21"/>
      <c r="Q595" s="20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1"/>
      <c r="AU595" s="25" t="str">
        <f t="shared" si="18"/>
        <v>1Q42</v>
      </c>
      <c r="AV595" t="str">
        <f t="shared" si="19"/>
        <v>1Q42</v>
      </c>
      <c r="BA595">
        <f ca="1">IF(COUNTBLANK(C595)=0,COUNTA(INDIRECT(CONCATENATE("Area!",LEFT(ADDRESS(1,MATCH(C595,Area!$1:$1,0),4),1),"2:",LEFT(ADDRESS(1,MATCH(C595,Area!$1:$1,0),4),1),"99"))),0)</f>
        <v>0</v>
      </c>
      <c r="BB595">
        <f ca="1">IF(COUNTBLANK(D595)=0,COUNTA(INDIRECT(CONCATENATE("Setup!",LEFT(ADDRESS(1,MATCH(CONCATENATE(C595,":",D595),Setup!$1:$1,0),4),1),"2:",LEFT(ADDRESS(1,MATCH(CONCATENATE(C595,":",D595),Setup!$1:$1,0),4),1),"99"))),0)</f>
        <v>0</v>
      </c>
      <c r="BC595">
        <f ca="1">IF(COUNTBLANK(E595)=0,COUNTA(INDIRECT(CONCATENATE("Comp!",SUBSTITUTE(ADDRESS(1,MATCH(CONCATENATE(C595,":",D595,":",E595),Comp!$1:$1,0),4),"1",""),"2:",SUBSTITUTE(ADDRESS(1,MATCH(CONCATENATE(C595,":",D595,":",E595),Comp!$1:$1,0),4),"1",""),"99"))),0)</f>
        <v>0</v>
      </c>
    </row>
    <row r="596" spans="1:55">
      <c r="A596" s="20" t="s">
        <v>73</v>
      </c>
      <c r="B596" s="21"/>
      <c r="C596" s="20"/>
      <c r="D596" s="22"/>
      <c r="E596" s="22"/>
      <c r="F596" s="21"/>
      <c r="G596" s="23"/>
      <c r="H596" s="24"/>
      <c r="I596" s="22"/>
      <c r="J596" s="22"/>
      <c r="K596" s="22"/>
      <c r="L596" s="21"/>
      <c r="M596" s="20"/>
      <c r="N596" s="20"/>
      <c r="O596" s="23"/>
      <c r="P596" s="21"/>
      <c r="Q596" s="20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1"/>
      <c r="AU596" s="25" t="str">
        <f t="shared" si="18"/>
        <v>1Q42</v>
      </c>
      <c r="AV596" t="str">
        <f t="shared" si="19"/>
        <v>1Q42</v>
      </c>
      <c r="BA596">
        <f ca="1">IF(COUNTBLANK(C596)=0,COUNTA(INDIRECT(CONCATENATE("Area!",LEFT(ADDRESS(1,MATCH(C596,Area!$1:$1,0),4),1),"2:",LEFT(ADDRESS(1,MATCH(C596,Area!$1:$1,0),4),1),"99"))),0)</f>
        <v>0</v>
      </c>
      <c r="BB596">
        <f ca="1">IF(COUNTBLANK(D596)=0,COUNTA(INDIRECT(CONCATENATE("Setup!",LEFT(ADDRESS(1,MATCH(CONCATENATE(C596,":",D596),Setup!$1:$1,0),4),1),"2:",LEFT(ADDRESS(1,MATCH(CONCATENATE(C596,":",D596),Setup!$1:$1,0),4),1),"99"))),0)</f>
        <v>0</v>
      </c>
      <c r="BC596">
        <f ca="1">IF(COUNTBLANK(E596)=0,COUNTA(INDIRECT(CONCATENATE("Comp!",SUBSTITUTE(ADDRESS(1,MATCH(CONCATENATE(C596,":",D596,":",E596),Comp!$1:$1,0),4),"1",""),"2:",SUBSTITUTE(ADDRESS(1,MATCH(CONCATENATE(C596,":",D596,":",E596),Comp!$1:$1,0),4),"1",""),"99"))),0)</f>
        <v>0</v>
      </c>
    </row>
    <row r="597" spans="1:55">
      <c r="A597" s="20" t="s">
        <v>73</v>
      </c>
      <c r="B597" s="21"/>
      <c r="C597" s="20"/>
      <c r="D597" s="22"/>
      <c r="E597" s="22"/>
      <c r="F597" s="21"/>
      <c r="G597" s="23"/>
      <c r="H597" s="24"/>
      <c r="I597" s="22"/>
      <c r="J597" s="22"/>
      <c r="K597" s="22"/>
      <c r="L597" s="21"/>
      <c r="M597" s="20"/>
      <c r="N597" s="20"/>
      <c r="O597" s="23"/>
      <c r="P597" s="21"/>
      <c r="Q597" s="20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1"/>
      <c r="AU597" s="25" t="str">
        <f t="shared" si="18"/>
        <v>1Q42</v>
      </c>
      <c r="AV597" t="str">
        <f t="shared" si="19"/>
        <v>1Q42</v>
      </c>
      <c r="BA597">
        <f ca="1">IF(COUNTBLANK(C597)=0,COUNTA(INDIRECT(CONCATENATE("Area!",LEFT(ADDRESS(1,MATCH(C597,Area!$1:$1,0),4),1),"2:",LEFT(ADDRESS(1,MATCH(C597,Area!$1:$1,0),4),1),"99"))),0)</f>
        <v>0</v>
      </c>
      <c r="BB597">
        <f ca="1">IF(COUNTBLANK(D597)=0,COUNTA(INDIRECT(CONCATENATE("Setup!",LEFT(ADDRESS(1,MATCH(CONCATENATE(C597,":",D597),Setup!$1:$1,0),4),1),"2:",LEFT(ADDRESS(1,MATCH(CONCATENATE(C597,":",D597),Setup!$1:$1,0),4),1),"99"))),0)</f>
        <v>0</v>
      </c>
      <c r="BC597">
        <f ca="1">IF(COUNTBLANK(E597)=0,COUNTA(INDIRECT(CONCATENATE("Comp!",SUBSTITUTE(ADDRESS(1,MATCH(CONCATENATE(C597,":",D597,":",E597),Comp!$1:$1,0),4),"1",""),"2:",SUBSTITUTE(ADDRESS(1,MATCH(CONCATENATE(C597,":",D597,":",E597),Comp!$1:$1,0),4),"1",""),"99"))),0)</f>
        <v>0</v>
      </c>
    </row>
    <row r="598" spans="1:55">
      <c r="A598" s="20" t="s">
        <v>73</v>
      </c>
      <c r="B598" s="21"/>
      <c r="C598" s="20"/>
      <c r="D598" s="22"/>
      <c r="E598" s="22"/>
      <c r="F598" s="21"/>
      <c r="G598" s="23"/>
      <c r="H598" s="24"/>
      <c r="I598" s="22"/>
      <c r="J598" s="22"/>
      <c r="K598" s="22"/>
      <c r="L598" s="21"/>
      <c r="M598" s="20"/>
      <c r="N598" s="20"/>
      <c r="O598" s="23"/>
      <c r="P598" s="21"/>
      <c r="Q598" s="20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1"/>
      <c r="AU598" s="25" t="str">
        <f t="shared" si="18"/>
        <v>1Q42</v>
      </c>
      <c r="AV598" t="str">
        <f t="shared" si="19"/>
        <v>1Q42</v>
      </c>
      <c r="BA598">
        <f ca="1">IF(COUNTBLANK(C598)=0,COUNTA(INDIRECT(CONCATENATE("Area!",LEFT(ADDRESS(1,MATCH(C598,Area!$1:$1,0),4),1),"2:",LEFT(ADDRESS(1,MATCH(C598,Area!$1:$1,0),4),1),"99"))),0)</f>
        <v>0</v>
      </c>
      <c r="BB598">
        <f ca="1">IF(COUNTBLANK(D598)=0,COUNTA(INDIRECT(CONCATENATE("Setup!",LEFT(ADDRESS(1,MATCH(CONCATENATE(C598,":",D598),Setup!$1:$1,0),4),1),"2:",LEFT(ADDRESS(1,MATCH(CONCATENATE(C598,":",D598),Setup!$1:$1,0),4),1),"99"))),0)</f>
        <v>0</v>
      </c>
      <c r="BC598">
        <f ca="1">IF(COUNTBLANK(E598)=0,COUNTA(INDIRECT(CONCATENATE("Comp!",SUBSTITUTE(ADDRESS(1,MATCH(CONCATENATE(C598,":",D598,":",E598),Comp!$1:$1,0),4),"1",""),"2:",SUBSTITUTE(ADDRESS(1,MATCH(CONCATENATE(C598,":",D598,":",E598),Comp!$1:$1,0),4),"1",""),"99"))),0)</f>
        <v>0</v>
      </c>
    </row>
    <row r="599" spans="1:55">
      <c r="A599" s="20" t="s">
        <v>73</v>
      </c>
      <c r="B599" s="21"/>
      <c r="C599" s="20"/>
      <c r="D599" s="22"/>
      <c r="E599" s="22"/>
      <c r="F599" s="21"/>
      <c r="G599" s="23"/>
      <c r="H599" s="24"/>
      <c r="I599" s="22"/>
      <c r="J599" s="22"/>
      <c r="K599" s="22"/>
      <c r="L599" s="21"/>
      <c r="M599" s="20"/>
      <c r="N599" s="20"/>
      <c r="O599" s="23"/>
      <c r="P599" s="21"/>
      <c r="Q599" s="20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1"/>
      <c r="AU599" s="25" t="str">
        <f t="shared" si="18"/>
        <v>1Q42</v>
      </c>
      <c r="AV599" t="str">
        <f t="shared" si="19"/>
        <v>1Q42</v>
      </c>
      <c r="BA599">
        <f ca="1">IF(COUNTBLANK(C599)=0,COUNTA(INDIRECT(CONCATENATE("Area!",LEFT(ADDRESS(1,MATCH(C599,Area!$1:$1,0),4),1),"2:",LEFT(ADDRESS(1,MATCH(C599,Area!$1:$1,0),4),1),"99"))),0)</f>
        <v>0</v>
      </c>
      <c r="BB599">
        <f ca="1">IF(COUNTBLANK(D599)=0,COUNTA(INDIRECT(CONCATENATE("Setup!",LEFT(ADDRESS(1,MATCH(CONCATENATE(C599,":",D599),Setup!$1:$1,0),4),1),"2:",LEFT(ADDRESS(1,MATCH(CONCATENATE(C599,":",D599),Setup!$1:$1,0),4),1),"99"))),0)</f>
        <v>0</v>
      </c>
      <c r="BC599">
        <f ca="1">IF(COUNTBLANK(E599)=0,COUNTA(INDIRECT(CONCATENATE("Comp!",SUBSTITUTE(ADDRESS(1,MATCH(CONCATENATE(C599,":",D599,":",E599),Comp!$1:$1,0),4),"1",""),"2:",SUBSTITUTE(ADDRESS(1,MATCH(CONCATENATE(C599,":",D599,":",E599),Comp!$1:$1,0),4),"1",""),"99"))),0)</f>
        <v>0</v>
      </c>
    </row>
    <row r="600" spans="1:55">
      <c r="A600" s="20" t="s">
        <v>73</v>
      </c>
      <c r="B600" s="21"/>
      <c r="C600" s="20"/>
      <c r="D600" s="22"/>
      <c r="E600" s="22"/>
      <c r="F600" s="21"/>
      <c r="G600" s="23"/>
      <c r="H600" s="24"/>
      <c r="I600" s="22"/>
      <c r="J600" s="22"/>
      <c r="K600" s="22"/>
      <c r="L600" s="21"/>
      <c r="M600" s="20"/>
      <c r="N600" s="20"/>
      <c r="O600" s="23"/>
      <c r="P600" s="21"/>
      <c r="Q600" s="20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1"/>
      <c r="AU600" s="25" t="str">
        <f t="shared" si="18"/>
        <v>1Q42</v>
      </c>
      <c r="AV600" t="str">
        <f t="shared" si="19"/>
        <v>1Q42</v>
      </c>
      <c r="BA600">
        <f ca="1">IF(COUNTBLANK(C600)=0,COUNTA(INDIRECT(CONCATENATE("Area!",LEFT(ADDRESS(1,MATCH(C600,Area!$1:$1,0),4),1),"2:",LEFT(ADDRESS(1,MATCH(C600,Area!$1:$1,0),4),1),"99"))),0)</f>
        <v>0</v>
      </c>
      <c r="BB600">
        <f ca="1">IF(COUNTBLANK(D600)=0,COUNTA(INDIRECT(CONCATENATE("Setup!",LEFT(ADDRESS(1,MATCH(CONCATENATE(C600,":",D600),Setup!$1:$1,0),4),1),"2:",LEFT(ADDRESS(1,MATCH(CONCATENATE(C600,":",D600),Setup!$1:$1,0),4),1),"99"))),0)</f>
        <v>0</v>
      </c>
      <c r="BC600">
        <f ca="1">IF(COUNTBLANK(E600)=0,COUNTA(INDIRECT(CONCATENATE("Comp!",SUBSTITUTE(ADDRESS(1,MATCH(CONCATENATE(C600,":",D600,":",E600),Comp!$1:$1,0),4),"1",""),"2:",SUBSTITUTE(ADDRESS(1,MATCH(CONCATENATE(C600,":",D600,":",E600),Comp!$1:$1,0),4),"1",""),"99"))),0)</f>
        <v>0</v>
      </c>
    </row>
    <row r="601" spans="1:55">
      <c r="A601" s="20" t="s">
        <v>73</v>
      </c>
      <c r="B601" s="21"/>
      <c r="C601" s="20"/>
      <c r="D601" s="22"/>
      <c r="E601" s="22"/>
      <c r="F601" s="21"/>
      <c r="G601" s="23"/>
      <c r="H601" s="24"/>
      <c r="I601" s="22"/>
      <c r="J601" s="22"/>
      <c r="K601" s="22"/>
      <c r="L601" s="21"/>
      <c r="M601" s="20"/>
      <c r="N601" s="20"/>
      <c r="O601" s="23"/>
      <c r="P601" s="21"/>
      <c r="Q601" s="20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1"/>
      <c r="AU601" s="25" t="str">
        <f t="shared" si="18"/>
        <v>1Q42</v>
      </c>
      <c r="AV601" t="str">
        <f t="shared" si="19"/>
        <v>1Q42</v>
      </c>
      <c r="BA601">
        <f ca="1">IF(COUNTBLANK(C601)=0,COUNTA(INDIRECT(CONCATENATE("Area!",LEFT(ADDRESS(1,MATCH(C601,Area!$1:$1,0),4),1),"2:",LEFT(ADDRESS(1,MATCH(C601,Area!$1:$1,0),4),1),"99"))),0)</f>
        <v>0</v>
      </c>
      <c r="BB601">
        <f ca="1">IF(COUNTBLANK(D601)=0,COUNTA(INDIRECT(CONCATENATE("Setup!",LEFT(ADDRESS(1,MATCH(CONCATENATE(C601,":",D601),Setup!$1:$1,0),4),1),"2:",LEFT(ADDRESS(1,MATCH(CONCATENATE(C601,":",D601),Setup!$1:$1,0),4),1),"99"))),0)</f>
        <v>0</v>
      </c>
      <c r="BC601">
        <f ca="1">IF(COUNTBLANK(E601)=0,COUNTA(INDIRECT(CONCATENATE("Comp!",SUBSTITUTE(ADDRESS(1,MATCH(CONCATENATE(C601,":",D601,":",E601),Comp!$1:$1,0),4),"1",""),"2:",SUBSTITUTE(ADDRESS(1,MATCH(CONCATENATE(C601,":",D601,":",E601),Comp!$1:$1,0),4),"1",""),"99"))),0)</f>
        <v>0</v>
      </c>
    </row>
    <row r="602" spans="1:55">
      <c r="A602" s="20" t="s">
        <v>73</v>
      </c>
      <c r="B602" s="21"/>
      <c r="C602" s="20"/>
      <c r="D602" s="22"/>
      <c r="E602" s="22"/>
      <c r="F602" s="21"/>
      <c r="G602" s="23"/>
      <c r="H602" s="24"/>
      <c r="I602" s="22"/>
      <c r="J602" s="22"/>
      <c r="K602" s="22"/>
      <c r="L602" s="21"/>
      <c r="M602" s="20"/>
      <c r="N602" s="20"/>
      <c r="O602" s="23"/>
      <c r="P602" s="21"/>
      <c r="Q602" s="20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1"/>
      <c r="AU602" s="25" t="str">
        <f t="shared" si="18"/>
        <v>1Q42</v>
      </c>
      <c r="AV602" t="str">
        <f t="shared" si="19"/>
        <v>1Q42</v>
      </c>
      <c r="BA602">
        <f ca="1">IF(COUNTBLANK(C602)=0,COUNTA(INDIRECT(CONCATENATE("Area!",LEFT(ADDRESS(1,MATCH(C602,Area!$1:$1,0),4),1),"2:",LEFT(ADDRESS(1,MATCH(C602,Area!$1:$1,0),4),1),"99"))),0)</f>
        <v>0</v>
      </c>
      <c r="BB602">
        <f ca="1">IF(COUNTBLANK(D602)=0,COUNTA(INDIRECT(CONCATENATE("Setup!",LEFT(ADDRESS(1,MATCH(CONCATENATE(C602,":",D602),Setup!$1:$1,0),4),1),"2:",LEFT(ADDRESS(1,MATCH(CONCATENATE(C602,":",D602),Setup!$1:$1,0),4),1),"99"))),0)</f>
        <v>0</v>
      </c>
      <c r="BC602">
        <f ca="1">IF(COUNTBLANK(E602)=0,COUNTA(INDIRECT(CONCATENATE("Comp!",SUBSTITUTE(ADDRESS(1,MATCH(CONCATENATE(C602,":",D602,":",E602),Comp!$1:$1,0),4),"1",""),"2:",SUBSTITUTE(ADDRESS(1,MATCH(CONCATENATE(C602,":",D602,":",E602),Comp!$1:$1,0),4),"1",""),"99"))),0)</f>
        <v>0</v>
      </c>
    </row>
    <row r="603" spans="1:55">
      <c r="A603" s="20" t="s">
        <v>73</v>
      </c>
      <c r="B603" s="21"/>
      <c r="C603" s="20"/>
      <c r="D603" s="22"/>
      <c r="E603" s="22"/>
      <c r="F603" s="21"/>
      <c r="G603" s="23"/>
      <c r="H603" s="24"/>
      <c r="I603" s="22"/>
      <c r="J603" s="22"/>
      <c r="K603" s="22"/>
      <c r="L603" s="21"/>
      <c r="M603" s="20"/>
      <c r="N603" s="20"/>
      <c r="O603" s="23"/>
      <c r="P603" s="21"/>
      <c r="Q603" s="20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1"/>
      <c r="AU603" s="25" t="str">
        <f t="shared" si="18"/>
        <v>1Q42</v>
      </c>
      <c r="AV603" t="str">
        <f t="shared" si="19"/>
        <v>1Q42</v>
      </c>
      <c r="BA603">
        <f ca="1">IF(COUNTBLANK(C603)=0,COUNTA(INDIRECT(CONCATENATE("Area!",LEFT(ADDRESS(1,MATCH(C603,Area!$1:$1,0),4),1),"2:",LEFT(ADDRESS(1,MATCH(C603,Area!$1:$1,0),4),1),"99"))),0)</f>
        <v>0</v>
      </c>
      <c r="BB603">
        <f ca="1">IF(COUNTBLANK(D603)=0,COUNTA(INDIRECT(CONCATENATE("Setup!",LEFT(ADDRESS(1,MATCH(CONCATENATE(C603,":",D603),Setup!$1:$1,0),4),1),"2:",LEFT(ADDRESS(1,MATCH(CONCATENATE(C603,":",D603),Setup!$1:$1,0),4),1),"99"))),0)</f>
        <v>0</v>
      </c>
      <c r="BC603">
        <f ca="1">IF(COUNTBLANK(E603)=0,COUNTA(INDIRECT(CONCATENATE("Comp!",SUBSTITUTE(ADDRESS(1,MATCH(CONCATENATE(C603,":",D603,":",E603),Comp!$1:$1,0),4),"1",""),"2:",SUBSTITUTE(ADDRESS(1,MATCH(CONCATENATE(C603,":",D603,":",E603),Comp!$1:$1,0),4),"1",""),"99"))),0)</f>
        <v>0</v>
      </c>
    </row>
    <row r="604" spans="1:55">
      <c r="A604" s="20" t="s">
        <v>73</v>
      </c>
      <c r="B604" s="21"/>
      <c r="C604" s="20"/>
      <c r="D604" s="22"/>
      <c r="E604" s="22"/>
      <c r="F604" s="21"/>
      <c r="G604" s="23"/>
      <c r="H604" s="24"/>
      <c r="I604" s="22"/>
      <c r="J604" s="22"/>
      <c r="K604" s="22"/>
      <c r="L604" s="21"/>
      <c r="M604" s="20"/>
      <c r="N604" s="20"/>
      <c r="O604" s="23"/>
      <c r="P604" s="21"/>
      <c r="Q604" s="20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1"/>
      <c r="AU604" s="25" t="str">
        <f t="shared" si="18"/>
        <v>1Q42</v>
      </c>
      <c r="AV604" t="str">
        <f t="shared" si="19"/>
        <v>1Q42</v>
      </c>
      <c r="BA604">
        <f ca="1">IF(COUNTBLANK(C604)=0,COUNTA(INDIRECT(CONCATENATE("Area!",LEFT(ADDRESS(1,MATCH(C604,Area!$1:$1,0),4),1),"2:",LEFT(ADDRESS(1,MATCH(C604,Area!$1:$1,0),4),1),"99"))),0)</f>
        <v>0</v>
      </c>
      <c r="BB604">
        <f ca="1">IF(COUNTBLANK(D604)=0,COUNTA(INDIRECT(CONCATENATE("Setup!",LEFT(ADDRESS(1,MATCH(CONCATENATE(C604,":",D604),Setup!$1:$1,0),4),1),"2:",LEFT(ADDRESS(1,MATCH(CONCATENATE(C604,":",D604),Setup!$1:$1,0),4),1),"99"))),0)</f>
        <v>0</v>
      </c>
      <c r="BC604">
        <f ca="1">IF(COUNTBLANK(E604)=0,COUNTA(INDIRECT(CONCATENATE("Comp!",SUBSTITUTE(ADDRESS(1,MATCH(CONCATENATE(C604,":",D604,":",E604),Comp!$1:$1,0),4),"1",""),"2:",SUBSTITUTE(ADDRESS(1,MATCH(CONCATENATE(C604,":",D604,":",E604),Comp!$1:$1,0),4),"1",""),"99"))),0)</f>
        <v>0</v>
      </c>
    </row>
    <row r="605" spans="1:55">
      <c r="A605" s="20" t="s">
        <v>73</v>
      </c>
      <c r="B605" s="21"/>
      <c r="C605" s="20"/>
      <c r="D605" s="22"/>
      <c r="E605" s="22"/>
      <c r="F605" s="21"/>
      <c r="G605" s="23"/>
      <c r="H605" s="24"/>
      <c r="I605" s="22"/>
      <c r="J605" s="22"/>
      <c r="K605" s="22"/>
      <c r="L605" s="21"/>
      <c r="M605" s="20"/>
      <c r="N605" s="20"/>
      <c r="O605" s="23"/>
      <c r="P605" s="21"/>
      <c r="Q605" s="20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1"/>
      <c r="AU605" s="25" t="str">
        <f t="shared" si="18"/>
        <v>1Q42</v>
      </c>
      <c r="AV605" t="str">
        <f t="shared" si="19"/>
        <v>1Q42</v>
      </c>
      <c r="BA605">
        <f ca="1">IF(COUNTBLANK(C605)=0,COUNTA(INDIRECT(CONCATENATE("Area!",LEFT(ADDRESS(1,MATCH(C605,Area!$1:$1,0),4),1),"2:",LEFT(ADDRESS(1,MATCH(C605,Area!$1:$1,0),4),1),"99"))),0)</f>
        <v>0</v>
      </c>
      <c r="BB605">
        <f ca="1">IF(COUNTBLANK(D605)=0,COUNTA(INDIRECT(CONCATENATE("Setup!",LEFT(ADDRESS(1,MATCH(CONCATENATE(C605,":",D605),Setup!$1:$1,0),4),1),"2:",LEFT(ADDRESS(1,MATCH(CONCATENATE(C605,":",D605),Setup!$1:$1,0),4),1),"99"))),0)</f>
        <v>0</v>
      </c>
      <c r="BC605">
        <f ca="1">IF(COUNTBLANK(E605)=0,COUNTA(INDIRECT(CONCATENATE("Comp!",SUBSTITUTE(ADDRESS(1,MATCH(CONCATENATE(C605,":",D605,":",E605),Comp!$1:$1,0),4),"1",""),"2:",SUBSTITUTE(ADDRESS(1,MATCH(CONCATENATE(C605,":",D605,":",E605),Comp!$1:$1,0),4),"1",""),"99"))),0)</f>
        <v>0</v>
      </c>
    </row>
    <row r="606" spans="1:55">
      <c r="A606" s="20" t="s">
        <v>73</v>
      </c>
      <c r="B606" s="21"/>
      <c r="C606" s="20"/>
      <c r="D606" s="22"/>
      <c r="E606" s="22"/>
      <c r="F606" s="21"/>
      <c r="G606" s="23"/>
      <c r="H606" s="24"/>
      <c r="I606" s="22"/>
      <c r="J606" s="22"/>
      <c r="K606" s="22"/>
      <c r="L606" s="21"/>
      <c r="M606" s="20"/>
      <c r="N606" s="20"/>
      <c r="O606" s="23"/>
      <c r="P606" s="21"/>
      <c r="Q606" s="20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1"/>
      <c r="AU606" s="25" t="str">
        <f t="shared" si="18"/>
        <v>1Q42</v>
      </c>
      <c r="AV606" t="str">
        <f t="shared" si="19"/>
        <v>1Q42</v>
      </c>
      <c r="BA606">
        <f ca="1">IF(COUNTBLANK(C606)=0,COUNTA(INDIRECT(CONCATENATE("Area!",LEFT(ADDRESS(1,MATCH(C606,Area!$1:$1,0),4),1),"2:",LEFT(ADDRESS(1,MATCH(C606,Area!$1:$1,0),4),1),"99"))),0)</f>
        <v>0</v>
      </c>
      <c r="BB606">
        <f ca="1">IF(COUNTBLANK(D606)=0,COUNTA(INDIRECT(CONCATENATE("Setup!",LEFT(ADDRESS(1,MATCH(CONCATENATE(C606,":",D606),Setup!$1:$1,0),4),1),"2:",LEFT(ADDRESS(1,MATCH(CONCATENATE(C606,":",D606),Setup!$1:$1,0),4),1),"99"))),0)</f>
        <v>0</v>
      </c>
      <c r="BC606">
        <f ca="1">IF(COUNTBLANK(E606)=0,COUNTA(INDIRECT(CONCATENATE("Comp!",SUBSTITUTE(ADDRESS(1,MATCH(CONCATENATE(C606,":",D606,":",E606),Comp!$1:$1,0),4),"1",""),"2:",SUBSTITUTE(ADDRESS(1,MATCH(CONCATENATE(C606,":",D606,":",E606),Comp!$1:$1,0),4),"1",""),"99"))),0)</f>
        <v>0</v>
      </c>
    </row>
    <row r="607" spans="1:55">
      <c r="A607" s="20" t="s">
        <v>73</v>
      </c>
      <c r="B607" s="21"/>
      <c r="C607" s="20"/>
      <c r="D607" s="22"/>
      <c r="E607" s="22"/>
      <c r="F607" s="21"/>
      <c r="G607" s="23"/>
      <c r="H607" s="24"/>
      <c r="I607" s="22"/>
      <c r="J607" s="22"/>
      <c r="K607" s="22"/>
      <c r="L607" s="21"/>
      <c r="M607" s="20"/>
      <c r="N607" s="20"/>
      <c r="O607" s="23"/>
      <c r="P607" s="21"/>
      <c r="Q607" s="20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1"/>
      <c r="AU607" s="25" t="str">
        <f t="shared" si="18"/>
        <v>1Q42</v>
      </c>
      <c r="AV607" t="str">
        <f t="shared" si="19"/>
        <v>1Q42</v>
      </c>
      <c r="BA607">
        <f ca="1">IF(COUNTBLANK(C607)=0,COUNTA(INDIRECT(CONCATENATE("Area!",LEFT(ADDRESS(1,MATCH(C607,Area!$1:$1,0),4),1),"2:",LEFT(ADDRESS(1,MATCH(C607,Area!$1:$1,0),4),1),"99"))),0)</f>
        <v>0</v>
      </c>
      <c r="BB607">
        <f ca="1">IF(COUNTBLANK(D607)=0,COUNTA(INDIRECT(CONCATENATE("Setup!",LEFT(ADDRESS(1,MATCH(CONCATENATE(C607,":",D607),Setup!$1:$1,0),4),1),"2:",LEFT(ADDRESS(1,MATCH(CONCATENATE(C607,":",D607),Setup!$1:$1,0),4),1),"99"))),0)</f>
        <v>0</v>
      </c>
      <c r="BC607">
        <f ca="1">IF(COUNTBLANK(E607)=0,COUNTA(INDIRECT(CONCATENATE("Comp!",SUBSTITUTE(ADDRESS(1,MATCH(CONCATENATE(C607,":",D607,":",E607),Comp!$1:$1,0),4),"1",""),"2:",SUBSTITUTE(ADDRESS(1,MATCH(CONCATENATE(C607,":",D607,":",E607),Comp!$1:$1,0),4),"1",""),"99"))),0)</f>
        <v>0</v>
      </c>
    </row>
    <row r="608" spans="1:55">
      <c r="A608" s="20" t="s">
        <v>73</v>
      </c>
      <c r="B608" s="21"/>
      <c r="C608" s="20"/>
      <c r="D608" s="22"/>
      <c r="E608" s="22"/>
      <c r="F608" s="21"/>
      <c r="G608" s="23"/>
      <c r="H608" s="24"/>
      <c r="I608" s="22"/>
      <c r="J608" s="22"/>
      <c r="K608" s="22"/>
      <c r="L608" s="21"/>
      <c r="M608" s="20"/>
      <c r="N608" s="20"/>
      <c r="O608" s="23"/>
      <c r="P608" s="21"/>
      <c r="Q608" s="20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1"/>
      <c r="AU608" s="25" t="str">
        <f t="shared" si="18"/>
        <v>1Q42</v>
      </c>
      <c r="AV608" t="str">
        <f t="shared" si="19"/>
        <v>1Q42</v>
      </c>
      <c r="BA608">
        <f ca="1">IF(COUNTBLANK(C608)=0,COUNTA(INDIRECT(CONCATENATE("Area!",LEFT(ADDRESS(1,MATCH(C608,Area!$1:$1,0),4),1),"2:",LEFT(ADDRESS(1,MATCH(C608,Area!$1:$1,0),4),1),"99"))),0)</f>
        <v>0</v>
      </c>
      <c r="BB608">
        <f ca="1">IF(COUNTBLANK(D608)=0,COUNTA(INDIRECT(CONCATENATE("Setup!",LEFT(ADDRESS(1,MATCH(CONCATENATE(C608,":",D608),Setup!$1:$1,0),4),1),"2:",LEFT(ADDRESS(1,MATCH(CONCATENATE(C608,":",D608),Setup!$1:$1,0),4),1),"99"))),0)</f>
        <v>0</v>
      </c>
      <c r="BC608">
        <f ca="1">IF(COUNTBLANK(E608)=0,COUNTA(INDIRECT(CONCATENATE("Comp!",SUBSTITUTE(ADDRESS(1,MATCH(CONCATENATE(C608,":",D608,":",E608),Comp!$1:$1,0),4),"1",""),"2:",SUBSTITUTE(ADDRESS(1,MATCH(CONCATENATE(C608,":",D608,":",E608),Comp!$1:$1,0),4),"1",""),"99"))),0)</f>
        <v>0</v>
      </c>
    </row>
    <row r="609" spans="1:55">
      <c r="A609" s="20" t="s">
        <v>73</v>
      </c>
      <c r="B609" s="21"/>
      <c r="C609" s="20"/>
      <c r="D609" s="22"/>
      <c r="E609" s="22"/>
      <c r="F609" s="21"/>
      <c r="G609" s="23"/>
      <c r="H609" s="24"/>
      <c r="I609" s="22"/>
      <c r="J609" s="22"/>
      <c r="K609" s="22"/>
      <c r="L609" s="21"/>
      <c r="M609" s="20"/>
      <c r="N609" s="20"/>
      <c r="O609" s="23"/>
      <c r="P609" s="21"/>
      <c r="Q609" s="20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1"/>
      <c r="AU609" s="25" t="str">
        <f t="shared" si="18"/>
        <v>1Q42</v>
      </c>
      <c r="AV609" t="str">
        <f t="shared" si="19"/>
        <v>1Q42</v>
      </c>
      <c r="BA609">
        <f ca="1">IF(COUNTBLANK(C609)=0,COUNTA(INDIRECT(CONCATENATE("Area!",LEFT(ADDRESS(1,MATCH(C609,Area!$1:$1,0),4),1),"2:",LEFT(ADDRESS(1,MATCH(C609,Area!$1:$1,0),4),1),"99"))),0)</f>
        <v>0</v>
      </c>
      <c r="BB609">
        <f ca="1">IF(COUNTBLANK(D609)=0,COUNTA(INDIRECT(CONCATENATE("Setup!",LEFT(ADDRESS(1,MATCH(CONCATENATE(C609,":",D609),Setup!$1:$1,0),4),1),"2:",LEFT(ADDRESS(1,MATCH(CONCATENATE(C609,":",D609),Setup!$1:$1,0),4),1),"99"))),0)</f>
        <v>0</v>
      </c>
      <c r="BC609">
        <f ca="1">IF(COUNTBLANK(E609)=0,COUNTA(INDIRECT(CONCATENATE("Comp!",SUBSTITUTE(ADDRESS(1,MATCH(CONCATENATE(C609,":",D609,":",E609),Comp!$1:$1,0),4),"1",""),"2:",SUBSTITUTE(ADDRESS(1,MATCH(CONCATENATE(C609,":",D609,":",E609),Comp!$1:$1,0),4),"1",""),"99"))),0)</f>
        <v>0</v>
      </c>
    </row>
    <row r="610" spans="1:55">
      <c r="A610" s="20" t="s">
        <v>73</v>
      </c>
      <c r="B610" s="21"/>
      <c r="C610" s="20"/>
      <c r="D610" s="22"/>
      <c r="E610" s="22"/>
      <c r="F610" s="21"/>
      <c r="G610" s="23"/>
      <c r="H610" s="24"/>
      <c r="I610" s="22"/>
      <c r="J610" s="22"/>
      <c r="K610" s="22"/>
      <c r="L610" s="21"/>
      <c r="M610" s="20"/>
      <c r="N610" s="20"/>
      <c r="O610" s="23"/>
      <c r="P610" s="21"/>
      <c r="Q610" s="20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1"/>
      <c r="AU610" s="25" t="str">
        <f t="shared" si="18"/>
        <v>1Q42</v>
      </c>
      <c r="AV610" t="str">
        <f t="shared" si="19"/>
        <v>1Q42</v>
      </c>
      <c r="BA610">
        <f ca="1">IF(COUNTBLANK(C610)=0,COUNTA(INDIRECT(CONCATENATE("Area!",LEFT(ADDRESS(1,MATCH(C610,Area!$1:$1,0),4),1),"2:",LEFT(ADDRESS(1,MATCH(C610,Area!$1:$1,0),4),1),"99"))),0)</f>
        <v>0</v>
      </c>
      <c r="BB610">
        <f ca="1">IF(COUNTBLANK(D610)=0,COUNTA(INDIRECT(CONCATENATE("Setup!",LEFT(ADDRESS(1,MATCH(CONCATENATE(C610,":",D610),Setup!$1:$1,0),4),1),"2:",LEFT(ADDRESS(1,MATCH(CONCATENATE(C610,":",D610),Setup!$1:$1,0),4),1),"99"))),0)</f>
        <v>0</v>
      </c>
      <c r="BC610">
        <f ca="1">IF(COUNTBLANK(E610)=0,COUNTA(INDIRECT(CONCATENATE("Comp!",SUBSTITUTE(ADDRESS(1,MATCH(CONCATENATE(C610,":",D610,":",E610),Comp!$1:$1,0),4),"1",""),"2:",SUBSTITUTE(ADDRESS(1,MATCH(CONCATENATE(C610,":",D610,":",E610),Comp!$1:$1,0),4),"1",""),"99"))),0)</f>
        <v>0</v>
      </c>
    </row>
    <row r="611" spans="1:55">
      <c r="A611" s="20" t="s">
        <v>73</v>
      </c>
      <c r="B611" s="21"/>
      <c r="C611" s="20"/>
      <c r="D611" s="22"/>
      <c r="E611" s="22"/>
      <c r="F611" s="21"/>
      <c r="G611" s="23"/>
      <c r="H611" s="24"/>
      <c r="I611" s="22"/>
      <c r="J611" s="22"/>
      <c r="K611" s="22"/>
      <c r="L611" s="21"/>
      <c r="M611" s="20"/>
      <c r="N611" s="20"/>
      <c r="O611" s="23"/>
      <c r="P611" s="21"/>
      <c r="Q611" s="20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1"/>
      <c r="AU611" s="25" t="str">
        <f t="shared" si="18"/>
        <v>1Q42</v>
      </c>
      <c r="AV611" t="str">
        <f t="shared" si="19"/>
        <v>1Q42</v>
      </c>
      <c r="BA611">
        <f ca="1">IF(COUNTBLANK(C611)=0,COUNTA(INDIRECT(CONCATENATE("Area!",LEFT(ADDRESS(1,MATCH(C611,Area!$1:$1,0),4),1),"2:",LEFT(ADDRESS(1,MATCH(C611,Area!$1:$1,0),4),1),"99"))),0)</f>
        <v>0</v>
      </c>
      <c r="BB611">
        <f ca="1">IF(COUNTBLANK(D611)=0,COUNTA(INDIRECT(CONCATENATE("Setup!",LEFT(ADDRESS(1,MATCH(CONCATENATE(C611,":",D611),Setup!$1:$1,0),4),1),"2:",LEFT(ADDRESS(1,MATCH(CONCATENATE(C611,":",D611),Setup!$1:$1,0),4),1),"99"))),0)</f>
        <v>0</v>
      </c>
      <c r="BC611">
        <f ca="1">IF(COUNTBLANK(E611)=0,COUNTA(INDIRECT(CONCATENATE("Comp!",SUBSTITUTE(ADDRESS(1,MATCH(CONCATENATE(C611,":",D611,":",E611),Comp!$1:$1,0),4),"1",""),"2:",SUBSTITUTE(ADDRESS(1,MATCH(CONCATENATE(C611,":",D611,":",E611),Comp!$1:$1,0),4),"1",""),"99"))),0)</f>
        <v>0</v>
      </c>
    </row>
    <row r="612" spans="1:55">
      <c r="A612" s="20" t="s">
        <v>73</v>
      </c>
      <c r="B612" s="21"/>
      <c r="C612" s="20"/>
      <c r="D612" s="22"/>
      <c r="E612" s="22"/>
      <c r="F612" s="21"/>
      <c r="G612" s="23"/>
      <c r="H612" s="24"/>
      <c r="I612" s="22"/>
      <c r="J612" s="22"/>
      <c r="K612" s="22"/>
      <c r="L612" s="21"/>
      <c r="M612" s="20"/>
      <c r="N612" s="20"/>
      <c r="O612" s="23"/>
      <c r="P612" s="21"/>
      <c r="Q612" s="20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1"/>
      <c r="AU612" s="25" t="str">
        <f t="shared" si="18"/>
        <v>1Q42</v>
      </c>
      <c r="AV612" t="str">
        <f t="shared" si="19"/>
        <v>1Q42</v>
      </c>
      <c r="BA612">
        <f ca="1">IF(COUNTBLANK(C612)=0,COUNTA(INDIRECT(CONCATENATE("Area!",LEFT(ADDRESS(1,MATCH(C612,Area!$1:$1,0),4),1),"2:",LEFT(ADDRESS(1,MATCH(C612,Area!$1:$1,0),4),1),"99"))),0)</f>
        <v>0</v>
      </c>
      <c r="BB612">
        <f ca="1">IF(COUNTBLANK(D612)=0,COUNTA(INDIRECT(CONCATENATE("Setup!",LEFT(ADDRESS(1,MATCH(CONCATENATE(C612,":",D612),Setup!$1:$1,0),4),1),"2:",LEFT(ADDRESS(1,MATCH(CONCATENATE(C612,":",D612),Setup!$1:$1,0),4),1),"99"))),0)</f>
        <v>0</v>
      </c>
      <c r="BC612">
        <f ca="1">IF(COUNTBLANK(E612)=0,COUNTA(INDIRECT(CONCATENATE("Comp!",SUBSTITUTE(ADDRESS(1,MATCH(CONCATENATE(C612,":",D612,":",E612),Comp!$1:$1,0),4),"1",""),"2:",SUBSTITUTE(ADDRESS(1,MATCH(CONCATENATE(C612,":",D612,":",E612),Comp!$1:$1,0),4),"1",""),"99"))),0)</f>
        <v>0</v>
      </c>
    </row>
    <row r="613" spans="1:55">
      <c r="A613" s="20" t="s">
        <v>73</v>
      </c>
      <c r="B613" s="21"/>
      <c r="C613" s="20"/>
      <c r="D613" s="22"/>
      <c r="E613" s="22"/>
      <c r="F613" s="21"/>
      <c r="G613" s="23"/>
      <c r="H613" s="24"/>
      <c r="I613" s="22"/>
      <c r="J613" s="22"/>
      <c r="K613" s="22"/>
      <c r="L613" s="21"/>
      <c r="M613" s="20"/>
      <c r="N613" s="20"/>
      <c r="O613" s="23"/>
      <c r="P613" s="21"/>
      <c r="Q613" s="20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1"/>
      <c r="AU613" s="25" t="str">
        <f t="shared" si="18"/>
        <v>1Q42</v>
      </c>
      <c r="AV613" t="str">
        <f t="shared" si="19"/>
        <v>1Q42</v>
      </c>
      <c r="BA613">
        <f ca="1">IF(COUNTBLANK(C613)=0,COUNTA(INDIRECT(CONCATENATE("Area!",LEFT(ADDRESS(1,MATCH(C613,Area!$1:$1,0),4),1),"2:",LEFT(ADDRESS(1,MATCH(C613,Area!$1:$1,0),4),1),"99"))),0)</f>
        <v>0</v>
      </c>
      <c r="BB613">
        <f ca="1">IF(COUNTBLANK(D613)=0,COUNTA(INDIRECT(CONCATENATE("Setup!",LEFT(ADDRESS(1,MATCH(CONCATENATE(C613,":",D613),Setup!$1:$1,0),4),1),"2:",LEFT(ADDRESS(1,MATCH(CONCATENATE(C613,":",D613),Setup!$1:$1,0),4),1),"99"))),0)</f>
        <v>0</v>
      </c>
      <c r="BC613">
        <f ca="1">IF(COUNTBLANK(E613)=0,COUNTA(INDIRECT(CONCATENATE("Comp!",SUBSTITUTE(ADDRESS(1,MATCH(CONCATENATE(C613,":",D613,":",E613),Comp!$1:$1,0),4),"1",""),"2:",SUBSTITUTE(ADDRESS(1,MATCH(CONCATENATE(C613,":",D613,":",E613),Comp!$1:$1,0),4),"1",""),"99"))),0)</f>
        <v>0</v>
      </c>
    </row>
    <row r="614" spans="1:55">
      <c r="A614" s="20" t="s">
        <v>73</v>
      </c>
      <c r="B614" s="21"/>
      <c r="C614" s="20"/>
      <c r="D614" s="22"/>
      <c r="E614" s="22"/>
      <c r="F614" s="21"/>
      <c r="G614" s="23"/>
      <c r="H614" s="24"/>
      <c r="I614" s="22"/>
      <c r="J614" s="22"/>
      <c r="K614" s="22"/>
      <c r="L614" s="21"/>
      <c r="M614" s="20"/>
      <c r="N614" s="20"/>
      <c r="O614" s="23"/>
      <c r="P614" s="21"/>
      <c r="Q614" s="20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1"/>
      <c r="AU614" s="25" t="str">
        <f t="shared" si="18"/>
        <v>1Q42</v>
      </c>
      <c r="AV614" t="str">
        <f t="shared" si="19"/>
        <v>1Q42</v>
      </c>
      <c r="BA614">
        <f ca="1">IF(COUNTBLANK(C614)=0,COUNTA(INDIRECT(CONCATENATE("Area!",LEFT(ADDRESS(1,MATCH(C614,Area!$1:$1,0),4),1),"2:",LEFT(ADDRESS(1,MATCH(C614,Area!$1:$1,0),4),1),"99"))),0)</f>
        <v>0</v>
      </c>
      <c r="BB614">
        <f ca="1">IF(COUNTBLANK(D614)=0,COUNTA(INDIRECT(CONCATENATE("Setup!",LEFT(ADDRESS(1,MATCH(CONCATENATE(C614,":",D614),Setup!$1:$1,0),4),1),"2:",LEFT(ADDRESS(1,MATCH(CONCATENATE(C614,":",D614),Setup!$1:$1,0),4),1),"99"))),0)</f>
        <v>0</v>
      </c>
      <c r="BC614">
        <f ca="1">IF(COUNTBLANK(E614)=0,COUNTA(INDIRECT(CONCATENATE("Comp!",SUBSTITUTE(ADDRESS(1,MATCH(CONCATENATE(C614,":",D614,":",E614),Comp!$1:$1,0),4),"1",""),"2:",SUBSTITUTE(ADDRESS(1,MATCH(CONCATENATE(C614,":",D614,":",E614),Comp!$1:$1,0),4),"1",""),"99"))),0)</f>
        <v>0</v>
      </c>
    </row>
    <row r="615" spans="1:55">
      <c r="A615" s="20" t="s">
        <v>73</v>
      </c>
      <c r="B615" s="21"/>
      <c r="C615" s="20"/>
      <c r="D615" s="22"/>
      <c r="E615" s="22"/>
      <c r="F615" s="21"/>
      <c r="G615" s="23"/>
      <c r="H615" s="24"/>
      <c r="I615" s="22"/>
      <c r="J615" s="22"/>
      <c r="K615" s="22"/>
      <c r="L615" s="21"/>
      <c r="M615" s="20"/>
      <c r="N615" s="20"/>
      <c r="O615" s="23"/>
      <c r="P615" s="21"/>
      <c r="Q615" s="20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1"/>
      <c r="AU615" s="25" t="str">
        <f t="shared" si="18"/>
        <v>1Q42</v>
      </c>
      <c r="AV615" t="str">
        <f t="shared" si="19"/>
        <v>1Q42</v>
      </c>
      <c r="BA615">
        <f ca="1">IF(COUNTBLANK(C615)=0,COUNTA(INDIRECT(CONCATENATE("Area!",LEFT(ADDRESS(1,MATCH(C615,Area!$1:$1,0),4),1),"2:",LEFT(ADDRESS(1,MATCH(C615,Area!$1:$1,0),4),1),"99"))),0)</f>
        <v>0</v>
      </c>
      <c r="BB615">
        <f ca="1">IF(COUNTBLANK(D615)=0,COUNTA(INDIRECT(CONCATENATE("Setup!",LEFT(ADDRESS(1,MATCH(CONCATENATE(C615,":",D615),Setup!$1:$1,0),4),1),"2:",LEFT(ADDRESS(1,MATCH(CONCATENATE(C615,":",D615),Setup!$1:$1,0),4),1),"99"))),0)</f>
        <v>0</v>
      </c>
      <c r="BC615">
        <f ca="1">IF(COUNTBLANK(E615)=0,COUNTA(INDIRECT(CONCATENATE("Comp!",SUBSTITUTE(ADDRESS(1,MATCH(CONCATENATE(C615,":",D615,":",E615),Comp!$1:$1,0),4),"1",""),"2:",SUBSTITUTE(ADDRESS(1,MATCH(CONCATENATE(C615,":",D615,":",E615),Comp!$1:$1,0),4),"1",""),"99"))),0)</f>
        <v>0</v>
      </c>
    </row>
    <row r="616" spans="1:55">
      <c r="A616" s="20" t="s">
        <v>73</v>
      </c>
      <c r="B616" s="21"/>
      <c r="C616" s="20"/>
      <c r="D616" s="22"/>
      <c r="E616" s="22"/>
      <c r="F616" s="21"/>
      <c r="G616" s="23"/>
      <c r="H616" s="24"/>
      <c r="I616" s="22"/>
      <c r="J616" s="22"/>
      <c r="K616" s="22"/>
      <c r="L616" s="21"/>
      <c r="M616" s="20"/>
      <c r="N616" s="20"/>
      <c r="O616" s="23"/>
      <c r="P616" s="21"/>
      <c r="Q616" s="20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1"/>
      <c r="AU616" s="25" t="str">
        <f t="shared" si="18"/>
        <v>1Q42</v>
      </c>
      <c r="AV616" t="str">
        <f t="shared" si="19"/>
        <v>1Q42</v>
      </c>
      <c r="BA616">
        <f ca="1">IF(COUNTBLANK(C616)=0,COUNTA(INDIRECT(CONCATENATE("Area!",LEFT(ADDRESS(1,MATCH(C616,Area!$1:$1,0),4),1),"2:",LEFT(ADDRESS(1,MATCH(C616,Area!$1:$1,0),4),1),"99"))),0)</f>
        <v>0</v>
      </c>
      <c r="BB616">
        <f ca="1">IF(COUNTBLANK(D616)=0,COUNTA(INDIRECT(CONCATENATE("Setup!",LEFT(ADDRESS(1,MATCH(CONCATENATE(C616,":",D616),Setup!$1:$1,0),4),1),"2:",LEFT(ADDRESS(1,MATCH(CONCATENATE(C616,":",D616),Setup!$1:$1,0),4),1),"99"))),0)</f>
        <v>0</v>
      </c>
      <c r="BC616">
        <f ca="1">IF(COUNTBLANK(E616)=0,COUNTA(INDIRECT(CONCATENATE("Comp!",SUBSTITUTE(ADDRESS(1,MATCH(CONCATENATE(C616,":",D616,":",E616),Comp!$1:$1,0),4),"1",""),"2:",SUBSTITUTE(ADDRESS(1,MATCH(CONCATENATE(C616,":",D616,":",E616),Comp!$1:$1,0),4),"1",""),"99"))),0)</f>
        <v>0</v>
      </c>
    </row>
    <row r="617" spans="1:55">
      <c r="A617" s="20" t="s">
        <v>73</v>
      </c>
      <c r="B617" s="21"/>
      <c r="C617" s="20"/>
      <c r="D617" s="22"/>
      <c r="E617" s="22"/>
      <c r="F617" s="21"/>
      <c r="G617" s="23"/>
      <c r="H617" s="24"/>
      <c r="I617" s="22"/>
      <c r="J617" s="22"/>
      <c r="K617" s="22"/>
      <c r="L617" s="21"/>
      <c r="M617" s="20"/>
      <c r="N617" s="20"/>
      <c r="O617" s="23"/>
      <c r="P617" s="21"/>
      <c r="Q617" s="20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1"/>
      <c r="AU617" s="25" t="str">
        <f t="shared" si="18"/>
        <v>1Q42</v>
      </c>
      <c r="AV617" t="str">
        <f t="shared" si="19"/>
        <v>1Q42</v>
      </c>
      <c r="BA617">
        <f ca="1">IF(COUNTBLANK(C617)=0,COUNTA(INDIRECT(CONCATENATE("Area!",LEFT(ADDRESS(1,MATCH(C617,Area!$1:$1,0),4),1),"2:",LEFT(ADDRESS(1,MATCH(C617,Area!$1:$1,0),4),1),"99"))),0)</f>
        <v>0</v>
      </c>
      <c r="BB617">
        <f ca="1">IF(COUNTBLANK(D617)=0,COUNTA(INDIRECT(CONCATENATE("Setup!",LEFT(ADDRESS(1,MATCH(CONCATENATE(C617,":",D617),Setup!$1:$1,0),4),1),"2:",LEFT(ADDRESS(1,MATCH(CONCATENATE(C617,":",D617),Setup!$1:$1,0),4),1),"99"))),0)</f>
        <v>0</v>
      </c>
      <c r="BC617">
        <f ca="1">IF(COUNTBLANK(E617)=0,COUNTA(INDIRECT(CONCATENATE("Comp!",SUBSTITUTE(ADDRESS(1,MATCH(CONCATENATE(C617,":",D617,":",E617),Comp!$1:$1,0),4),"1",""),"2:",SUBSTITUTE(ADDRESS(1,MATCH(CONCATENATE(C617,":",D617,":",E617),Comp!$1:$1,0),4),"1",""),"99"))),0)</f>
        <v>0</v>
      </c>
    </row>
    <row r="618" spans="1:55">
      <c r="A618" s="20" t="s">
        <v>73</v>
      </c>
      <c r="B618" s="21"/>
      <c r="C618" s="20"/>
      <c r="D618" s="22"/>
      <c r="E618" s="22"/>
      <c r="F618" s="21"/>
      <c r="G618" s="23"/>
      <c r="H618" s="24"/>
      <c r="I618" s="22"/>
      <c r="J618" s="22"/>
      <c r="K618" s="22"/>
      <c r="L618" s="21"/>
      <c r="M618" s="20"/>
      <c r="N618" s="20"/>
      <c r="O618" s="23"/>
      <c r="P618" s="21"/>
      <c r="Q618" s="20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1"/>
      <c r="AU618" s="25" t="str">
        <f t="shared" si="18"/>
        <v>1Q42</v>
      </c>
      <c r="AV618" t="str">
        <f t="shared" si="19"/>
        <v>1Q42</v>
      </c>
      <c r="BA618">
        <f ca="1">IF(COUNTBLANK(C618)=0,COUNTA(INDIRECT(CONCATENATE("Area!",LEFT(ADDRESS(1,MATCH(C618,Area!$1:$1,0),4),1),"2:",LEFT(ADDRESS(1,MATCH(C618,Area!$1:$1,0),4),1),"99"))),0)</f>
        <v>0</v>
      </c>
      <c r="BB618">
        <f ca="1">IF(COUNTBLANK(D618)=0,COUNTA(INDIRECT(CONCATENATE("Setup!",LEFT(ADDRESS(1,MATCH(CONCATENATE(C618,":",D618),Setup!$1:$1,0),4),1),"2:",LEFT(ADDRESS(1,MATCH(CONCATENATE(C618,":",D618),Setup!$1:$1,0),4),1),"99"))),0)</f>
        <v>0</v>
      </c>
      <c r="BC618">
        <f ca="1">IF(COUNTBLANK(E618)=0,COUNTA(INDIRECT(CONCATENATE("Comp!",SUBSTITUTE(ADDRESS(1,MATCH(CONCATENATE(C618,":",D618,":",E618),Comp!$1:$1,0),4),"1",""),"2:",SUBSTITUTE(ADDRESS(1,MATCH(CONCATENATE(C618,":",D618,":",E618),Comp!$1:$1,0),4),"1",""),"99"))),0)</f>
        <v>0</v>
      </c>
    </row>
    <row r="619" spans="1:55">
      <c r="A619" s="20" t="s">
        <v>73</v>
      </c>
      <c r="B619" s="21"/>
      <c r="C619" s="20"/>
      <c r="D619" s="22"/>
      <c r="E619" s="22"/>
      <c r="F619" s="21"/>
      <c r="G619" s="23"/>
      <c r="H619" s="24"/>
      <c r="I619" s="22"/>
      <c r="J619" s="22"/>
      <c r="K619" s="22"/>
      <c r="L619" s="21"/>
      <c r="M619" s="20"/>
      <c r="N619" s="20"/>
      <c r="O619" s="23"/>
      <c r="P619" s="21"/>
      <c r="Q619" s="20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1"/>
      <c r="AU619" s="25" t="str">
        <f t="shared" si="18"/>
        <v>1Q42</v>
      </c>
      <c r="AV619" t="str">
        <f t="shared" si="19"/>
        <v>1Q42</v>
      </c>
      <c r="BA619">
        <f ca="1">IF(COUNTBLANK(C619)=0,COUNTA(INDIRECT(CONCATENATE("Area!",LEFT(ADDRESS(1,MATCH(C619,Area!$1:$1,0),4),1),"2:",LEFT(ADDRESS(1,MATCH(C619,Area!$1:$1,0),4),1),"99"))),0)</f>
        <v>0</v>
      </c>
      <c r="BB619">
        <f ca="1">IF(COUNTBLANK(D619)=0,COUNTA(INDIRECT(CONCATENATE("Setup!",LEFT(ADDRESS(1,MATCH(CONCATENATE(C619,":",D619),Setup!$1:$1,0),4),1),"2:",LEFT(ADDRESS(1,MATCH(CONCATENATE(C619,":",D619),Setup!$1:$1,0),4),1),"99"))),0)</f>
        <v>0</v>
      </c>
      <c r="BC619">
        <f ca="1">IF(COUNTBLANK(E619)=0,COUNTA(INDIRECT(CONCATENATE("Comp!",SUBSTITUTE(ADDRESS(1,MATCH(CONCATENATE(C619,":",D619,":",E619),Comp!$1:$1,0),4),"1",""),"2:",SUBSTITUTE(ADDRESS(1,MATCH(CONCATENATE(C619,":",D619,":",E619),Comp!$1:$1,0),4),"1",""),"99"))),0)</f>
        <v>0</v>
      </c>
    </row>
    <row r="620" spans="1:55">
      <c r="A620" s="20" t="s">
        <v>73</v>
      </c>
      <c r="B620" s="21"/>
      <c r="C620" s="20"/>
      <c r="D620" s="22"/>
      <c r="E620" s="22"/>
      <c r="F620" s="21"/>
      <c r="G620" s="23"/>
      <c r="H620" s="24"/>
      <c r="I620" s="22"/>
      <c r="J620" s="22"/>
      <c r="K620" s="22"/>
      <c r="L620" s="21"/>
      <c r="M620" s="20"/>
      <c r="N620" s="20"/>
      <c r="O620" s="23"/>
      <c r="P620" s="21"/>
      <c r="Q620" s="20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1"/>
      <c r="AU620" s="25" t="str">
        <f t="shared" si="18"/>
        <v>1Q42</v>
      </c>
      <c r="AV620" t="str">
        <f t="shared" si="19"/>
        <v>1Q42</v>
      </c>
      <c r="BA620">
        <f ca="1">IF(COUNTBLANK(C620)=0,COUNTA(INDIRECT(CONCATENATE("Area!",LEFT(ADDRESS(1,MATCH(C620,Area!$1:$1,0),4),1),"2:",LEFT(ADDRESS(1,MATCH(C620,Area!$1:$1,0),4),1),"99"))),0)</f>
        <v>0</v>
      </c>
      <c r="BB620">
        <f ca="1">IF(COUNTBLANK(D620)=0,COUNTA(INDIRECT(CONCATENATE("Setup!",LEFT(ADDRESS(1,MATCH(CONCATENATE(C620,":",D620),Setup!$1:$1,0),4),1),"2:",LEFT(ADDRESS(1,MATCH(CONCATENATE(C620,":",D620),Setup!$1:$1,0),4),1),"99"))),0)</f>
        <v>0</v>
      </c>
      <c r="BC620">
        <f ca="1">IF(COUNTBLANK(E620)=0,COUNTA(INDIRECT(CONCATENATE("Comp!",SUBSTITUTE(ADDRESS(1,MATCH(CONCATENATE(C620,":",D620,":",E620),Comp!$1:$1,0),4),"1",""),"2:",SUBSTITUTE(ADDRESS(1,MATCH(CONCATENATE(C620,":",D620,":",E620),Comp!$1:$1,0),4),"1",""),"99"))),0)</f>
        <v>0</v>
      </c>
    </row>
    <row r="621" spans="1:55">
      <c r="A621" s="20" t="s">
        <v>73</v>
      </c>
      <c r="B621" s="21"/>
      <c r="C621" s="20"/>
      <c r="D621" s="22"/>
      <c r="E621" s="22"/>
      <c r="F621" s="21"/>
      <c r="G621" s="23"/>
      <c r="H621" s="24"/>
      <c r="I621" s="22"/>
      <c r="J621" s="22"/>
      <c r="K621" s="22"/>
      <c r="L621" s="21"/>
      <c r="M621" s="20"/>
      <c r="N621" s="20"/>
      <c r="O621" s="23"/>
      <c r="P621" s="21"/>
      <c r="Q621" s="20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1"/>
      <c r="AU621" s="25" t="str">
        <f t="shared" si="18"/>
        <v>1Q42</v>
      </c>
      <c r="AV621" t="str">
        <f t="shared" si="19"/>
        <v>1Q42</v>
      </c>
      <c r="BA621">
        <f ca="1">IF(COUNTBLANK(C621)=0,COUNTA(INDIRECT(CONCATENATE("Area!",LEFT(ADDRESS(1,MATCH(C621,Area!$1:$1,0),4),1),"2:",LEFT(ADDRESS(1,MATCH(C621,Area!$1:$1,0),4),1),"99"))),0)</f>
        <v>0</v>
      </c>
      <c r="BB621">
        <f ca="1">IF(COUNTBLANK(D621)=0,COUNTA(INDIRECT(CONCATENATE("Setup!",LEFT(ADDRESS(1,MATCH(CONCATENATE(C621,":",D621),Setup!$1:$1,0),4),1),"2:",LEFT(ADDRESS(1,MATCH(CONCATENATE(C621,":",D621),Setup!$1:$1,0),4),1),"99"))),0)</f>
        <v>0</v>
      </c>
      <c r="BC621">
        <f ca="1">IF(COUNTBLANK(E621)=0,COUNTA(INDIRECT(CONCATENATE("Comp!",SUBSTITUTE(ADDRESS(1,MATCH(CONCATENATE(C621,":",D621,":",E621),Comp!$1:$1,0),4),"1",""),"2:",SUBSTITUTE(ADDRESS(1,MATCH(CONCATENATE(C621,":",D621,":",E621),Comp!$1:$1,0),4),"1",""),"99"))),0)</f>
        <v>0</v>
      </c>
    </row>
    <row r="622" spans="1:55">
      <c r="A622" s="20" t="s">
        <v>73</v>
      </c>
      <c r="B622" s="21"/>
      <c r="C622" s="20"/>
      <c r="D622" s="22"/>
      <c r="E622" s="22"/>
      <c r="F622" s="21"/>
      <c r="G622" s="23"/>
      <c r="H622" s="24"/>
      <c r="I622" s="22"/>
      <c r="J622" s="22"/>
      <c r="K622" s="22"/>
      <c r="L622" s="21"/>
      <c r="M622" s="20"/>
      <c r="N622" s="20"/>
      <c r="O622" s="23"/>
      <c r="P622" s="21"/>
      <c r="Q622" s="20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1"/>
      <c r="AU622" s="25" t="str">
        <f t="shared" si="18"/>
        <v>1Q42</v>
      </c>
      <c r="AV622" t="str">
        <f t="shared" si="19"/>
        <v>1Q42</v>
      </c>
      <c r="BA622">
        <f ca="1">IF(COUNTBLANK(C622)=0,COUNTA(INDIRECT(CONCATENATE("Area!",LEFT(ADDRESS(1,MATCH(C622,Area!$1:$1,0),4),1),"2:",LEFT(ADDRESS(1,MATCH(C622,Area!$1:$1,0),4),1),"99"))),0)</f>
        <v>0</v>
      </c>
      <c r="BB622">
        <f ca="1">IF(COUNTBLANK(D622)=0,COUNTA(INDIRECT(CONCATENATE("Setup!",LEFT(ADDRESS(1,MATCH(CONCATENATE(C622,":",D622),Setup!$1:$1,0),4),1),"2:",LEFT(ADDRESS(1,MATCH(CONCATENATE(C622,":",D622),Setup!$1:$1,0),4),1),"99"))),0)</f>
        <v>0</v>
      </c>
      <c r="BC622">
        <f ca="1">IF(COUNTBLANK(E622)=0,COUNTA(INDIRECT(CONCATENATE("Comp!",SUBSTITUTE(ADDRESS(1,MATCH(CONCATENATE(C622,":",D622,":",E622),Comp!$1:$1,0),4),"1",""),"2:",SUBSTITUTE(ADDRESS(1,MATCH(CONCATENATE(C622,":",D622,":",E622),Comp!$1:$1,0),4),"1",""),"99"))),0)</f>
        <v>0</v>
      </c>
    </row>
    <row r="623" spans="1:55">
      <c r="A623" s="20" t="s">
        <v>73</v>
      </c>
      <c r="B623" s="21"/>
      <c r="C623" s="20"/>
      <c r="D623" s="22"/>
      <c r="E623" s="22"/>
      <c r="F623" s="21"/>
      <c r="G623" s="23"/>
      <c r="H623" s="24"/>
      <c r="I623" s="22"/>
      <c r="J623" s="22"/>
      <c r="K623" s="22"/>
      <c r="L623" s="21"/>
      <c r="M623" s="20"/>
      <c r="N623" s="20"/>
      <c r="O623" s="23"/>
      <c r="P623" s="21"/>
      <c r="Q623" s="20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1"/>
      <c r="AU623" s="25" t="str">
        <f t="shared" si="18"/>
        <v>1Q42</v>
      </c>
      <c r="AV623" t="str">
        <f t="shared" si="19"/>
        <v>1Q42</v>
      </c>
      <c r="BA623">
        <f ca="1">IF(COUNTBLANK(C623)=0,COUNTA(INDIRECT(CONCATENATE("Area!",LEFT(ADDRESS(1,MATCH(C623,Area!$1:$1,0),4),1),"2:",LEFT(ADDRESS(1,MATCH(C623,Area!$1:$1,0),4),1),"99"))),0)</f>
        <v>0</v>
      </c>
      <c r="BB623">
        <f ca="1">IF(COUNTBLANK(D623)=0,COUNTA(INDIRECT(CONCATENATE("Setup!",LEFT(ADDRESS(1,MATCH(CONCATENATE(C623,":",D623),Setup!$1:$1,0),4),1),"2:",LEFT(ADDRESS(1,MATCH(CONCATENATE(C623,":",D623),Setup!$1:$1,0),4),1),"99"))),0)</f>
        <v>0</v>
      </c>
      <c r="BC623">
        <f ca="1">IF(COUNTBLANK(E623)=0,COUNTA(INDIRECT(CONCATENATE("Comp!",SUBSTITUTE(ADDRESS(1,MATCH(CONCATENATE(C623,":",D623,":",E623),Comp!$1:$1,0),4),"1",""),"2:",SUBSTITUTE(ADDRESS(1,MATCH(CONCATENATE(C623,":",D623,":",E623),Comp!$1:$1,0),4),"1",""),"99"))),0)</f>
        <v>0</v>
      </c>
    </row>
    <row r="624" spans="1:55">
      <c r="A624" s="20" t="s">
        <v>73</v>
      </c>
      <c r="B624" s="21"/>
      <c r="C624" s="20"/>
      <c r="D624" s="22"/>
      <c r="E624" s="22"/>
      <c r="F624" s="21"/>
      <c r="G624" s="23"/>
      <c r="H624" s="24"/>
      <c r="I624" s="22"/>
      <c r="J624" s="22"/>
      <c r="K624" s="22"/>
      <c r="L624" s="21"/>
      <c r="M624" s="20"/>
      <c r="N624" s="20"/>
      <c r="O624" s="23"/>
      <c r="P624" s="21"/>
      <c r="Q624" s="20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1"/>
      <c r="AU624" s="25" t="str">
        <f t="shared" si="18"/>
        <v>1Q42</v>
      </c>
      <c r="AV624" t="str">
        <f t="shared" si="19"/>
        <v>1Q42</v>
      </c>
      <c r="BA624">
        <f ca="1">IF(COUNTBLANK(C624)=0,COUNTA(INDIRECT(CONCATENATE("Area!",LEFT(ADDRESS(1,MATCH(C624,Area!$1:$1,0),4),1),"2:",LEFT(ADDRESS(1,MATCH(C624,Area!$1:$1,0),4),1),"99"))),0)</f>
        <v>0</v>
      </c>
      <c r="BB624">
        <f ca="1">IF(COUNTBLANK(D624)=0,COUNTA(INDIRECT(CONCATENATE("Setup!",LEFT(ADDRESS(1,MATCH(CONCATENATE(C624,":",D624),Setup!$1:$1,0),4),1),"2:",LEFT(ADDRESS(1,MATCH(CONCATENATE(C624,":",D624),Setup!$1:$1,0),4),1),"99"))),0)</f>
        <v>0</v>
      </c>
      <c r="BC624">
        <f ca="1">IF(COUNTBLANK(E624)=0,COUNTA(INDIRECT(CONCATENATE("Comp!",SUBSTITUTE(ADDRESS(1,MATCH(CONCATENATE(C624,":",D624,":",E624),Comp!$1:$1,0),4),"1",""),"2:",SUBSTITUTE(ADDRESS(1,MATCH(CONCATENATE(C624,":",D624,":",E624),Comp!$1:$1,0),4),"1",""),"99"))),0)</f>
        <v>0</v>
      </c>
    </row>
    <row r="625" spans="1:55">
      <c r="A625" s="20" t="s">
        <v>73</v>
      </c>
      <c r="B625" s="21"/>
      <c r="C625" s="20"/>
      <c r="D625" s="22"/>
      <c r="E625" s="22"/>
      <c r="F625" s="21"/>
      <c r="G625" s="23"/>
      <c r="H625" s="24"/>
      <c r="I625" s="22"/>
      <c r="J625" s="22"/>
      <c r="K625" s="22"/>
      <c r="L625" s="21"/>
      <c r="M625" s="20"/>
      <c r="N625" s="20"/>
      <c r="O625" s="23"/>
      <c r="P625" s="21"/>
      <c r="Q625" s="20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1"/>
      <c r="AU625" s="25" t="str">
        <f t="shared" si="18"/>
        <v>1Q42</v>
      </c>
      <c r="AV625" t="str">
        <f t="shared" si="19"/>
        <v>1Q42</v>
      </c>
      <c r="BA625">
        <f ca="1">IF(COUNTBLANK(C625)=0,COUNTA(INDIRECT(CONCATENATE("Area!",LEFT(ADDRESS(1,MATCH(C625,Area!$1:$1,0),4),1),"2:",LEFT(ADDRESS(1,MATCH(C625,Area!$1:$1,0),4),1),"99"))),0)</f>
        <v>0</v>
      </c>
      <c r="BB625">
        <f ca="1">IF(COUNTBLANK(D625)=0,COUNTA(INDIRECT(CONCATENATE("Setup!",LEFT(ADDRESS(1,MATCH(CONCATENATE(C625,":",D625),Setup!$1:$1,0),4),1),"2:",LEFT(ADDRESS(1,MATCH(CONCATENATE(C625,":",D625),Setup!$1:$1,0),4),1),"99"))),0)</f>
        <v>0</v>
      </c>
      <c r="BC625">
        <f ca="1">IF(COUNTBLANK(E625)=0,COUNTA(INDIRECT(CONCATENATE("Comp!",SUBSTITUTE(ADDRESS(1,MATCH(CONCATENATE(C625,":",D625,":",E625),Comp!$1:$1,0),4),"1",""),"2:",SUBSTITUTE(ADDRESS(1,MATCH(CONCATENATE(C625,":",D625,":",E625),Comp!$1:$1,0),4),"1",""),"99"))),0)</f>
        <v>0</v>
      </c>
    </row>
    <row r="626" spans="1:55">
      <c r="A626" s="20" t="s">
        <v>73</v>
      </c>
      <c r="B626" s="21"/>
      <c r="C626" s="20"/>
      <c r="D626" s="22"/>
      <c r="E626" s="22"/>
      <c r="F626" s="21"/>
      <c r="G626" s="23"/>
      <c r="H626" s="24"/>
      <c r="I626" s="22"/>
      <c r="J626" s="22"/>
      <c r="K626" s="22"/>
      <c r="L626" s="21"/>
      <c r="M626" s="20"/>
      <c r="N626" s="20"/>
      <c r="O626" s="23"/>
      <c r="P626" s="21"/>
      <c r="Q626" s="20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1"/>
      <c r="AU626" s="25" t="str">
        <f t="shared" si="18"/>
        <v>1Q42</v>
      </c>
      <c r="AV626" t="str">
        <f t="shared" si="19"/>
        <v>1Q42</v>
      </c>
      <c r="BA626">
        <f ca="1">IF(COUNTBLANK(C626)=0,COUNTA(INDIRECT(CONCATENATE("Area!",LEFT(ADDRESS(1,MATCH(C626,Area!$1:$1,0),4),1),"2:",LEFT(ADDRESS(1,MATCH(C626,Area!$1:$1,0),4),1),"99"))),0)</f>
        <v>0</v>
      </c>
      <c r="BB626">
        <f ca="1">IF(COUNTBLANK(D626)=0,COUNTA(INDIRECT(CONCATENATE("Setup!",LEFT(ADDRESS(1,MATCH(CONCATENATE(C626,":",D626),Setup!$1:$1,0),4),1),"2:",LEFT(ADDRESS(1,MATCH(CONCATENATE(C626,":",D626),Setup!$1:$1,0),4),1),"99"))),0)</f>
        <v>0</v>
      </c>
      <c r="BC626">
        <f ca="1">IF(COUNTBLANK(E626)=0,COUNTA(INDIRECT(CONCATENATE("Comp!",SUBSTITUTE(ADDRESS(1,MATCH(CONCATENATE(C626,":",D626,":",E626),Comp!$1:$1,0),4),"1",""),"2:",SUBSTITUTE(ADDRESS(1,MATCH(CONCATENATE(C626,":",D626,":",E626),Comp!$1:$1,0),4),"1",""),"99"))),0)</f>
        <v>0</v>
      </c>
    </row>
    <row r="627" spans="1:55">
      <c r="A627" s="20" t="s">
        <v>73</v>
      </c>
      <c r="B627" s="21"/>
      <c r="C627" s="20"/>
      <c r="D627" s="22"/>
      <c r="E627" s="22"/>
      <c r="F627" s="21"/>
      <c r="G627" s="23"/>
      <c r="H627" s="24"/>
      <c r="I627" s="22"/>
      <c r="J627" s="22"/>
      <c r="K627" s="22"/>
      <c r="L627" s="21"/>
      <c r="M627" s="20"/>
      <c r="N627" s="20"/>
      <c r="O627" s="23"/>
      <c r="P627" s="21"/>
      <c r="Q627" s="20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1"/>
      <c r="AU627" s="25" t="str">
        <f t="shared" si="18"/>
        <v>1Q42</v>
      </c>
      <c r="AV627" t="str">
        <f t="shared" si="19"/>
        <v>1Q42</v>
      </c>
      <c r="BA627">
        <f ca="1">IF(COUNTBLANK(C627)=0,COUNTA(INDIRECT(CONCATENATE("Area!",LEFT(ADDRESS(1,MATCH(C627,Area!$1:$1,0),4),1),"2:",LEFT(ADDRESS(1,MATCH(C627,Area!$1:$1,0),4),1),"99"))),0)</f>
        <v>0</v>
      </c>
      <c r="BB627">
        <f ca="1">IF(COUNTBLANK(D627)=0,COUNTA(INDIRECT(CONCATENATE("Setup!",LEFT(ADDRESS(1,MATCH(CONCATENATE(C627,":",D627),Setup!$1:$1,0),4),1),"2:",LEFT(ADDRESS(1,MATCH(CONCATENATE(C627,":",D627),Setup!$1:$1,0),4),1),"99"))),0)</f>
        <v>0</v>
      </c>
      <c r="BC627">
        <f ca="1">IF(COUNTBLANK(E627)=0,COUNTA(INDIRECT(CONCATENATE("Comp!",SUBSTITUTE(ADDRESS(1,MATCH(CONCATENATE(C627,":",D627,":",E627),Comp!$1:$1,0),4),"1",""),"2:",SUBSTITUTE(ADDRESS(1,MATCH(CONCATENATE(C627,":",D627,":",E627),Comp!$1:$1,0),4),"1",""),"99"))),0)</f>
        <v>0</v>
      </c>
    </row>
    <row r="628" spans="1:55">
      <c r="A628" s="20" t="s">
        <v>73</v>
      </c>
      <c r="B628" s="21"/>
      <c r="C628" s="20"/>
      <c r="D628" s="22"/>
      <c r="E628" s="22"/>
      <c r="F628" s="21"/>
      <c r="G628" s="23"/>
      <c r="H628" s="24"/>
      <c r="I628" s="22"/>
      <c r="J628" s="22"/>
      <c r="K628" s="22"/>
      <c r="L628" s="21"/>
      <c r="M628" s="20"/>
      <c r="N628" s="20"/>
      <c r="O628" s="23"/>
      <c r="P628" s="21"/>
      <c r="Q628" s="20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1"/>
      <c r="AU628" s="25" t="str">
        <f t="shared" si="18"/>
        <v>1Q42</v>
      </c>
      <c r="AV628" t="str">
        <f t="shared" si="19"/>
        <v>1Q42</v>
      </c>
      <c r="BA628">
        <f ca="1">IF(COUNTBLANK(C628)=0,COUNTA(INDIRECT(CONCATENATE("Area!",LEFT(ADDRESS(1,MATCH(C628,Area!$1:$1,0),4),1),"2:",LEFT(ADDRESS(1,MATCH(C628,Area!$1:$1,0),4),1),"99"))),0)</f>
        <v>0</v>
      </c>
      <c r="BB628">
        <f ca="1">IF(COUNTBLANK(D628)=0,COUNTA(INDIRECT(CONCATENATE("Setup!",LEFT(ADDRESS(1,MATCH(CONCATENATE(C628,":",D628),Setup!$1:$1,0),4),1),"2:",LEFT(ADDRESS(1,MATCH(CONCATENATE(C628,":",D628),Setup!$1:$1,0),4),1),"99"))),0)</f>
        <v>0</v>
      </c>
      <c r="BC628">
        <f ca="1">IF(COUNTBLANK(E628)=0,COUNTA(INDIRECT(CONCATENATE("Comp!",SUBSTITUTE(ADDRESS(1,MATCH(CONCATENATE(C628,":",D628,":",E628),Comp!$1:$1,0),4),"1",""),"2:",SUBSTITUTE(ADDRESS(1,MATCH(CONCATENATE(C628,":",D628,":",E628),Comp!$1:$1,0),4),"1",""),"99"))),0)</f>
        <v>0</v>
      </c>
    </row>
    <row r="629" spans="1:55">
      <c r="A629" s="20" t="s">
        <v>73</v>
      </c>
      <c r="B629" s="21"/>
      <c r="C629" s="20"/>
      <c r="D629" s="22"/>
      <c r="E629" s="22"/>
      <c r="F629" s="21"/>
      <c r="G629" s="23"/>
      <c r="H629" s="24"/>
      <c r="I629" s="22"/>
      <c r="J629" s="22"/>
      <c r="K629" s="22"/>
      <c r="L629" s="21"/>
      <c r="M629" s="20"/>
      <c r="N629" s="20"/>
      <c r="O629" s="23"/>
      <c r="P629" s="21"/>
      <c r="Q629" s="20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1"/>
      <c r="AU629" s="25" t="str">
        <f t="shared" si="18"/>
        <v>1Q42</v>
      </c>
      <c r="AV629" t="str">
        <f t="shared" si="19"/>
        <v>1Q42</v>
      </c>
      <c r="BA629">
        <f ca="1">IF(COUNTBLANK(C629)=0,COUNTA(INDIRECT(CONCATENATE("Area!",LEFT(ADDRESS(1,MATCH(C629,Area!$1:$1,0),4),1),"2:",LEFT(ADDRESS(1,MATCH(C629,Area!$1:$1,0),4),1),"99"))),0)</f>
        <v>0</v>
      </c>
      <c r="BB629">
        <f ca="1">IF(COUNTBLANK(D629)=0,COUNTA(INDIRECT(CONCATENATE("Setup!",LEFT(ADDRESS(1,MATCH(CONCATENATE(C629,":",D629),Setup!$1:$1,0),4),1),"2:",LEFT(ADDRESS(1,MATCH(CONCATENATE(C629,":",D629),Setup!$1:$1,0),4),1),"99"))),0)</f>
        <v>0</v>
      </c>
      <c r="BC629">
        <f ca="1">IF(COUNTBLANK(E629)=0,COUNTA(INDIRECT(CONCATENATE("Comp!",SUBSTITUTE(ADDRESS(1,MATCH(CONCATENATE(C629,":",D629,":",E629),Comp!$1:$1,0),4),"1",""),"2:",SUBSTITUTE(ADDRESS(1,MATCH(CONCATENATE(C629,":",D629,":",E629),Comp!$1:$1,0),4),"1",""),"99"))),0)</f>
        <v>0</v>
      </c>
    </row>
    <row r="630" spans="1:55">
      <c r="A630" s="20" t="s">
        <v>73</v>
      </c>
      <c r="B630" s="21"/>
      <c r="C630" s="20"/>
      <c r="D630" s="22"/>
      <c r="E630" s="22"/>
      <c r="F630" s="21"/>
      <c r="G630" s="23"/>
      <c r="H630" s="24"/>
      <c r="I630" s="22"/>
      <c r="J630" s="22"/>
      <c r="K630" s="22"/>
      <c r="L630" s="21"/>
      <c r="M630" s="20"/>
      <c r="N630" s="20"/>
      <c r="O630" s="23"/>
      <c r="P630" s="21"/>
      <c r="Q630" s="20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1"/>
      <c r="AU630" s="25" t="str">
        <f t="shared" si="18"/>
        <v>1Q42</v>
      </c>
      <c r="AV630" t="str">
        <f t="shared" si="19"/>
        <v>1Q42</v>
      </c>
      <c r="BA630">
        <f ca="1">IF(COUNTBLANK(C630)=0,COUNTA(INDIRECT(CONCATENATE("Area!",LEFT(ADDRESS(1,MATCH(C630,Area!$1:$1,0),4),1),"2:",LEFT(ADDRESS(1,MATCH(C630,Area!$1:$1,0),4),1),"99"))),0)</f>
        <v>0</v>
      </c>
      <c r="BB630">
        <f ca="1">IF(COUNTBLANK(D630)=0,COUNTA(INDIRECT(CONCATENATE("Setup!",LEFT(ADDRESS(1,MATCH(CONCATENATE(C630,":",D630),Setup!$1:$1,0),4),1),"2:",LEFT(ADDRESS(1,MATCH(CONCATENATE(C630,":",D630),Setup!$1:$1,0),4),1),"99"))),0)</f>
        <v>0</v>
      </c>
      <c r="BC630">
        <f ca="1">IF(COUNTBLANK(E630)=0,COUNTA(INDIRECT(CONCATENATE("Comp!",SUBSTITUTE(ADDRESS(1,MATCH(CONCATENATE(C630,":",D630,":",E630),Comp!$1:$1,0),4),"1",""),"2:",SUBSTITUTE(ADDRESS(1,MATCH(CONCATENATE(C630,":",D630,":",E630),Comp!$1:$1,0),4),"1",""),"99"))),0)</f>
        <v>0</v>
      </c>
    </row>
    <row r="631" spans="1:55">
      <c r="A631" s="20" t="s">
        <v>73</v>
      </c>
      <c r="B631" s="21"/>
      <c r="C631" s="20"/>
      <c r="D631" s="22"/>
      <c r="E631" s="22"/>
      <c r="F631" s="21"/>
      <c r="G631" s="23"/>
      <c r="H631" s="24"/>
      <c r="I631" s="22"/>
      <c r="J631" s="22"/>
      <c r="K631" s="22"/>
      <c r="L631" s="21"/>
      <c r="M631" s="20"/>
      <c r="N631" s="20"/>
      <c r="O631" s="23"/>
      <c r="P631" s="21"/>
      <c r="Q631" s="20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1"/>
      <c r="AU631" s="25" t="str">
        <f t="shared" si="18"/>
        <v>1Q42</v>
      </c>
      <c r="AV631" t="str">
        <f t="shared" si="19"/>
        <v>1Q42</v>
      </c>
      <c r="BA631">
        <f ca="1">IF(COUNTBLANK(C631)=0,COUNTA(INDIRECT(CONCATENATE("Area!",LEFT(ADDRESS(1,MATCH(C631,Area!$1:$1,0),4),1),"2:",LEFT(ADDRESS(1,MATCH(C631,Area!$1:$1,0),4),1),"99"))),0)</f>
        <v>0</v>
      </c>
      <c r="BB631">
        <f ca="1">IF(COUNTBLANK(D631)=0,COUNTA(INDIRECT(CONCATENATE("Setup!",LEFT(ADDRESS(1,MATCH(CONCATENATE(C631,":",D631),Setup!$1:$1,0),4),1),"2:",LEFT(ADDRESS(1,MATCH(CONCATENATE(C631,":",D631),Setup!$1:$1,0),4),1),"99"))),0)</f>
        <v>0</v>
      </c>
      <c r="BC631">
        <f ca="1">IF(COUNTBLANK(E631)=0,COUNTA(INDIRECT(CONCATENATE("Comp!",SUBSTITUTE(ADDRESS(1,MATCH(CONCATENATE(C631,":",D631,":",E631),Comp!$1:$1,0),4),"1",""),"2:",SUBSTITUTE(ADDRESS(1,MATCH(CONCATENATE(C631,":",D631,":",E631),Comp!$1:$1,0),4),"1",""),"99"))),0)</f>
        <v>0</v>
      </c>
    </row>
    <row r="632" spans="1:55">
      <c r="A632" s="20" t="s">
        <v>73</v>
      </c>
      <c r="B632" s="21"/>
      <c r="C632" s="20"/>
      <c r="D632" s="22"/>
      <c r="E632" s="22"/>
      <c r="F632" s="21"/>
      <c r="G632" s="23"/>
      <c r="H632" s="24"/>
      <c r="I632" s="22"/>
      <c r="J632" s="22"/>
      <c r="K632" s="22"/>
      <c r="L632" s="21"/>
      <c r="M632" s="20"/>
      <c r="N632" s="20"/>
      <c r="O632" s="23"/>
      <c r="P632" s="21"/>
      <c r="Q632" s="20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1"/>
      <c r="AU632" s="25" t="str">
        <f t="shared" si="18"/>
        <v>1Q42</v>
      </c>
      <c r="AV632" t="str">
        <f t="shared" si="19"/>
        <v>1Q42</v>
      </c>
      <c r="BA632">
        <f ca="1">IF(COUNTBLANK(C632)=0,COUNTA(INDIRECT(CONCATENATE("Area!",LEFT(ADDRESS(1,MATCH(C632,Area!$1:$1,0),4),1),"2:",LEFT(ADDRESS(1,MATCH(C632,Area!$1:$1,0),4),1),"99"))),0)</f>
        <v>0</v>
      </c>
      <c r="BB632">
        <f ca="1">IF(COUNTBLANK(D632)=0,COUNTA(INDIRECT(CONCATENATE("Setup!",LEFT(ADDRESS(1,MATCH(CONCATENATE(C632,":",D632),Setup!$1:$1,0),4),1),"2:",LEFT(ADDRESS(1,MATCH(CONCATENATE(C632,":",D632),Setup!$1:$1,0),4),1),"99"))),0)</f>
        <v>0</v>
      </c>
      <c r="BC632">
        <f ca="1">IF(COUNTBLANK(E632)=0,COUNTA(INDIRECT(CONCATENATE("Comp!",SUBSTITUTE(ADDRESS(1,MATCH(CONCATENATE(C632,":",D632,":",E632),Comp!$1:$1,0),4),"1",""),"2:",SUBSTITUTE(ADDRESS(1,MATCH(CONCATENATE(C632,":",D632,":",E632),Comp!$1:$1,0),4),"1",""),"99"))),0)</f>
        <v>0</v>
      </c>
    </row>
    <row r="633" spans="1:55">
      <c r="A633" s="20" t="s">
        <v>73</v>
      </c>
      <c r="B633" s="21"/>
      <c r="C633" s="20"/>
      <c r="D633" s="22"/>
      <c r="E633" s="22"/>
      <c r="F633" s="21"/>
      <c r="G633" s="23"/>
      <c r="H633" s="24"/>
      <c r="I633" s="22"/>
      <c r="J633" s="22"/>
      <c r="K633" s="22"/>
      <c r="L633" s="21"/>
      <c r="M633" s="20"/>
      <c r="N633" s="20"/>
      <c r="O633" s="23"/>
      <c r="P633" s="21"/>
      <c r="Q633" s="20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1"/>
      <c r="AU633" s="25" t="str">
        <f t="shared" si="18"/>
        <v>1Q42</v>
      </c>
      <c r="AV633" t="str">
        <f t="shared" si="19"/>
        <v>1Q42</v>
      </c>
      <c r="BA633">
        <f ca="1">IF(COUNTBLANK(C633)=0,COUNTA(INDIRECT(CONCATENATE("Area!",LEFT(ADDRESS(1,MATCH(C633,Area!$1:$1,0),4),1),"2:",LEFT(ADDRESS(1,MATCH(C633,Area!$1:$1,0),4),1),"99"))),0)</f>
        <v>0</v>
      </c>
      <c r="BB633">
        <f ca="1">IF(COUNTBLANK(D633)=0,COUNTA(INDIRECT(CONCATENATE("Setup!",LEFT(ADDRESS(1,MATCH(CONCATENATE(C633,":",D633),Setup!$1:$1,0),4),1),"2:",LEFT(ADDRESS(1,MATCH(CONCATENATE(C633,":",D633),Setup!$1:$1,0),4),1),"99"))),0)</f>
        <v>0</v>
      </c>
      <c r="BC633">
        <f ca="1">IF(COUNTBLANK(E633)=0,COUNTA(INDIRECT(CONCATENATE("Comp!",SUBSTITUTE(ADDRESS(1,MATCH(CONCATENATE(C633,":",D633,":",E633),Comp!$1:$1,0),4),"1",""),"2:",SUBSTITUTE(ADDRESS(1,MATCH(CONCATENATE(C633,":",D633,":",E633),Comp!$1:$1,0),4),"1",""),"99"))),0)</f>
        <v>0</v>
      </c>
    </row>
    <row r="634" spans="1:55">
      <c r="A634" s="20" t="s">
        <v>73</v>
      </c>
      <c r="B634" s="21"/>
      <c r="C634" s="20"/>
      <c r="D634" s="22"/>
      <c r="E634" s="22"/>
      <c r="F634" s="21"/>
      <c r="G634" s="23"/>
      <c r="H634" s="24"/>
      <c r="I634" s="22"/>
      <c r="J634" s="22"/>
      <c r="K634" s="22"/>
      <c r="L634" s="21"/>
      <c r="M634" s="20"/>
      <c r="N634" s="20"/>
      <c r="O634" s="23"/>
      <c r="P634" s="21"/>
      <c r="Q634" s="20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1"/>
      <c r="AU634" s="25" t="str">
        <f t="shared" si="18"/>
        <v>1Q42</v>
      </c>
      <c r="AV634" t="str">
        <f t="shared" si="19"/>
        <v>1Q42</v>
      </c>
      <c r="BA634">
        <f ca="1">IF(COUNTBLANK(C634)=0,COUNTA(INDIRECT(CONCATENATE("Area!",LEFT(ADDRESS(1,MATCH(C634,Area!$1:$1,0),4),1),"2:",LEFT(ADDRESS(1,MATCH(C634,Area!$1:$1,0),4),1),"99"))),0)</f>
        <v>0</v>
      </c>
      <c r="BB634">
        <f ca="1">IF(COUNTBLANK(D634)=0,COUNTA(INDIRECT(CONCATENATE("Setup!",LEFT(ADDRESS(1,MATCH(CONCATENATE(C634,":",D634),Setup!$1:$1,0),4),1),"2:",LEFT(ADDRESS(1,MATCH(CONCATENATE(C634,":",D634),Setup!$1:$1,0),4),1),"99"))),0)</f>
        <v>0</v>
      </c>
      <c r="BC634">
        <f ca="1">IF(COUNTBLANK(E634)=0,COUNTA(INDIRECT(CONCATENATE("Comp!",SUBSTITUTE(ADDRESS(1,MATCH(CONCATENATE(C634,":",D634,":",E634),Comp!$1:$1,0),4),"1",""),"2:",SUBSTITUTE(ADDRESS(1,MATCH(CONCATENATE(C634,":",D634,":",E634),Comp!$1:$1,0),4),"1",""),"99"))),0)</f>
        <v>0</v>
      </c>
    </row>
    <row r="635" spans="1:55">
      <c r="A635" s="20" t="s">
        <v>73</v>
      </c>
      <c r="B635" s="21"/>
      <c r="C635" s="20"/>
      <c r="D635" s="22"/>
      <c r="E635" s="22"/>
      <c r="F635" s="21"/>
      <c r="G635" s="23"/>
      <c r="H635" s="24"/>
      <c r="I635" s="22"/>
      <c r="J635" s="22"/>
      <c r="K635" s="22"/>
      <c r="L635" s="21"/>
      <c r="M635" s="20"/>
      <c r="N635" s="20"/>
      <c r="O635" s="23"/>
      <c r="P635" s="21"/>
      <c r="Q635" s="20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1"/>
      <c r="AU635" s="25" t="str">
        <f t="shared" si="18"/>
        <v>1Q42</v>
      </c>
      <c r="AV635" t="str">
        <f t="shared" si="19"/>
        <v>1Q42</v>
      </c>
      <c r="BA635">
        <f ca="1">IF(COUNTBLANK(C635)=0,COUNTA(INDIRECT(CONCATENATE("Area!",LEFT(ADDRESS(1,MATCH(C635,Area!$1:$1,0),4),1),"2:",LEFT(ADDRESS(1,MATCH(C635,Area!$1:$1,0),4),1),"99"))),0)</f>
        <v>0</v>
      </c>
      <c r="BB635">
        <f ca="1">IF(COUNTBLANK(D635)=0,COUNTA(INDIRECT(CONCATENATE("Setup!",LEFT(ADDRESS(1,MATCH(CONCATENATE(C635,":",D635),Setup!$1:$1,0),4),1),"2:",LEFT(ADDRESS(1,MATCH(CONCATENATE(C635,":",D635),Setup!$1:$1,0),4),1),"99"))),0)</f>
        <v>0</v>
      </c>
      <c r="BC635">
        <f ca="1">IF(COUNTBLANK(E635)=0,COUNTA(INDIRECT(CONCATENATE("Comp!",SUBSTITUTE(ADDRESS(1,MATCH(CONCATENATE(C635,":",D635,":",E635),Comp!$1:$1,0),4),"1",""),"2:",SUBSTITUTE(ADDRESS(1,MATCH(CONCATENATE(C635,":",D635,":",E635),Comp!$1:$1,0),4),"1",""),"99"))),0)</f>
        <v>0</v>
      </c>
    </row>
    <row r="636" spans="1:55">
      <c r="A636" s="20" t="s">
        <v>73</v>
      </c>
      <c r="B636" s="21"/>
      <c r="C636" s="20"/>
      <c r="D636" s="22"/>
      <c r="E636" s="22"/>
      <c r="F636" s="21"/>
      <c r="G636" s="23"/>
      <c r="H636" s="24"/>
      <c r="I636" s="22"/>
      <c r="J636" s="22"/>
      <c r="K636" s="22"/>
      <c r="L636" s="21"/>
      <c r="M636" s="20"/>
      <c r="N636" s="20"/>
      <c r="O636" s="23"/>
      <c r="P636" s="21"/>
      <c r="Q636" s="20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1"/>
      <c r="AU636" s="25" t="str">
        <f t="shared" si="18"/>
        <v>1Q42</v>
      </c>
      <c r="AV636" t="str">
        <f t="shared" si="19"/>
        <v>1Q42</v>
      </c>
      <c r="BA636">
        <f ca="1">IF(COUNTBLANK(C636)=0,COUNTA(INDIRECT(CONCATENATE("Area!",LEFT(ADDRESS(1,MATCH(C636,Area!$1:$1,0),4),1),"2:",LEFT(ADDRESS(1,MATCH(C636,Area!$1:$1,0),4),1),"99"))),0)</f>
        <v>0</v>
      </c>
      <c r="BB636">
        <f ca="1">IF(COUNTBLANK(D636)=0,COUNTA(INDIRECT(CONCATENATE("Setup!",LEFT(ADDRESS(1,MATCH(CONCATENATE(C636,":",D636),Setup!$1:$1,0),4),1),"2:",LEFT(ADDRESS(1,MATCH(CONCATENATE(C636,":",D636),Setup!$1:$1,0),4),1),"99"))),0)</f>
        <v>0</v>
      </c>
      <c r="BC636">
        <f ca="1">IF(COUNTBLANK(E636)=0,COUNTA(INDIRECT(CONCATENATE("Comp!",SUBSTITUTE(ADDRESS(1,MATCH(CONCATENATE(C636,":",D636,":",E636),Comp!$1:$1,0),4),"1",""),"2:",SUBSTITUTE(ADDRESS(1,MATCH(CONCATENATE(C636,":",D636,":",E636),Comp!$1:$1,0),4),"1",""),"99"))),0)</f>
        <v>0</v>
      </c>
    </row>
    <row r="637" spans="1:55">
      <c r="A637" s="20" t="s">
        <v>73</v>
      </c>
      <c r="B637" s="21"/>
      <c r="C637" s="20"/>
      <c r="D637" s="22"/>
      <c r="E637" s="22"/>
      <c r="F637" s="21"/>
      <c r="G637" s="23"/>
      <c r="H637" s="24"/>
      <c r="I637" s="22"/>
      <c r="J637" s="22"/>
      <c r="K637" s="22"/>
      <c r="L637" s="21"/>
      <c r="M637" s="20"/>
      <c r="N637" s="20"/>
      <c r="O637" s="23"/>
      <c r="P637" s="21"/>
      <c r="Q637" s="20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1"/>
      <c r="AU637" s="25" t="str">
        <f t="shared" si="18"/>
        <v>1Q42</v>
      </c>
      <c r="AV637" t="str">
        <f t="shared" si="19"/>
        <v>1Q42</v>
      </c>
      <c r="BA637">
        <f ca="1">IF(COUNTBLANK(C637)=0,COUNTA(INDIRECT(CONCATENATE("Area!",LEFT(ADDRESS(1,MATCH(C637,Area!$1:$1,0),4),1),"2:",LEFT(ADDRESS(1,MATCH(C637,Area!$1:$1,0),4),1),"99"))),0)</f>
        <v>0</v>
      </c>
      <c r="BB637">
        <f ca="1">IF(COUNTBLANK(D637)=0,COUNTA(INDIRECT(CONCATENATE("Setup!",LEFT(ADDRESS(1,MATCH(CONCATENATE(C637,":",D637),Setup!$1:$1,0),4),1),"2:",LEFT(ADDRESS(1,MATCH(CONCATENATE(C637,":",D637),Setup!$1:$1,0),4),1),"99"))),0)</f>
        <v>0</v>
      </c>
      <c r="BC637">
        <f ca="1">IF(COUNTBLANK(E637)=0,COUNTA(INDIRECT(CONCATENATE("Comp!",SUBSTITUTE(ADDRESS(1,MATCH(CONCATENATE(C637,":",D637,":",E637),Comp!$1:$1,0),4),"1",""),"2:",SUBSTITUTE(ADDRESS(1,MATCH(CONCATENATE(C637,":",D637,":",E637),Comp!$1:$1,0),4),"1",""),"99"))),0)</f>
        <v>0</v>
      </c>
    </row>
    <row r="638" spans="1:55">
      <c r="A638" s="20" t="s">
        <v>73</v>
      </c>
      <c r="B638" s="21"/>
      <c r="C638" s="20"/>
      <c r="D638" s="22"/>
      <c r="E638" s="22"/>
      <c r="F638" s="21"/>
      <c r="G638" s="23"/>
      <c r="H638" s="24"/>
      <c r="I638" s="22"/>
      <c r="J638" s="22"/>
      <c r="K638" s="22"/>
      <c r="L638" s="21"/>
      <c r="M638" s="20"/>
      <c r="N638" s="20"/>
      <c r="O638" s="23"/>
      <c r="P638" s="21"/>
      <c r="Q638" s="20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1"/>
      <c r="AU638" s="25" t="str">
        <f t="shared" si="18"/>
        <v>1Q42</v>
      </c>
      <c r="AV638" t="str">
        <f t="shared" si="19"/>
        <v>1Q42</v>
      </c>
      <c r="BA638">
        <f ca="1">IF(COUNTBLANK(C638)=0,COUNTA(INDIRECT(CONCATENATE("Area!",LEFT(ADDRESS(1,MATCH(C638,Area!$1:$1,0),4),1),"2:",LEFT(ADDRESS(1,MATCH(C638,Area!$1:$1,0),4),1),"99"))),0)</f>
        <v>0</v>
      </c>
      <c r="BB638">
        <f ca="1">IF(COUNTBLANK(D638)=0,COUNTA(INDIRECT(CONCATENATE("Setup!",LEFT(ADDRESS(1,MATCH(CONCATENATE(C638,":",D638),Setup!$1:$1,0),4),1),"2:",LEFT(ADDRESS(1,MATCH(CONCATENATE(C638,":",D638),Setup!$1:$1,0),4),1),"99"))),0)</f>
        <v>0</v>
      </c>
      <c r="BC638">
        <f ca="1">IF(COUNTBLANK(E638)=0,COUNTA(INDIRECT(CONCATENATE("Comp!",SUBSTITUTE(ADDRESS(1,MATCH(CONCATENATE(C638,":",D638,":",E638),Comp!$1:$1,0),4),"1",""),"2:",SUBSTITUTE(ADDRESS(1,MATCH(CONCATENATE(C638,":",D638,":",E638),Comp!$1:$1,0),4),"1",""),"99"))),0)</f>
        <v>0</v>
      </c>
    </row>
    <row r="639" spans="1:55">
      <c r="A639" s="20" t="s">
        <v>73</v>
      </c>
      <c r="B639" s="21"/>
      <c r="C639" s="20"/>
      <c r="D639" s="22"/>
      <c r="E639" s="22"/>
      <c r="F639" s="21"/>
      <c r="G639" s="23"/>
      <c r="H639" s="24"/>
      <c r="I639" s="22"/>
      <c r="J639" s="22"/>
      <c r="K639" s="22"/>
      <c r="L639" s="21"/>
      <c r="M639" s="20"/>
      <c r="N639" s="20"/>
      <c r="O639" s="23"/>
      <c r="P639" s="21"/>
      <c r="Q639" s="20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1"/>
      <c r="AU639" s="25" t="str">
        <f t="shared" si="18"/>
        <v>1Q42</v>
      </c>
      <c r="AV639" t="str">
        <f t="shared" si="19"/>
        <v>1Q42</v>
      </c>
      <c r="BA639">
        <f ca="1">IF(COUNTBLANK(C639)=0,COUNTA(INDIRECT(CONCATENATE("Area!",LEFT(ADDRESS(1,MATCH(C639,Area!$1:$1,0),4),1),"2:",LEFT(ADDRESS(1,MATCH(C639,Area!$1:$1,0),4),1),"99"))),0)</f>
        <v>0</v>
      </c>
      <c r="BB639">
        <f ca="1">IF(COUNTBLANK(D639)=0,COUNTA(INDIRECT(CONCATENATE("Setup!",LEFT(ADDRESS(1,MATCH(CONCATENATE(C639,":",D639),Setup!$1:$1,0),4),1),"2:",LEFT(ADDRESS(1,MATCH(CONCATENATE(C639,":",D639),Setup!$1:$1,0),4),1),"99"))),0)</f>
        <v>0</v>
      </c>
      <c r="BC639">
        <f ca="1">IF(COUNTBLANK(E639)=0,COUNTA(INDIRECT(CONCATENATE("Comp!",SUBSTITUTE(ADDRESS(1,MATCH(CONCATENATE(C639,":",D639,":",E639),Comp!$1:$1,0),4),"1",""),"2:",SUBSTITUTE(ADDRESS(1,MATCH(CONCATENATE(C639,":",D639,":",E639),Comp!$1:$1,0),4),"1",""),"99"))),0)</f>
        <v>0</v>
      </c>
    </row>
    <row r="640" spans="1:55">
      <c r="A640" s="20" t="s">
        <v>73</v>
      </c>
      <c r="B640" s="21"/>
      <c r="C640" s="20"/>
      <c r="D640" s="22"/>
      <c r="E640" s="22"/>
      <c r="F640" s="21"/>
      <c r="G640" s="23"/>
      <c r="H640" s="24"/>
      <c r="I640" s="22"/>
      <c r="J640" s="22"/>
      <c r="K640" s="22"/>
      <c r="L640" s="21"/>
      <c r="M640" s="20"/>
      <c r="N640" s="20"/>
      <c r="O640" s="23"/>
      <c r="P640" s="21"/>
      <c r="Q640" s="20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1"/>
      <c r="AU640" s="25" t="str">
        <f t="shared" si="18"/>
        <v>1Q42</v>
      </c>
      <c r="AV640" t="str">
        <f t="shared" si="19"/>
        <v>1Q42</v>
      </c>
      <c r="BA640">
        <f ca="1">IF(COUNTBLANK(C640)=0,COUNTA(INDIRECT(CONCATENATE("Area!",LEFT(ADDRESS(1,MATCH(C640,Area!$1:$1,0),4),1),"2:",LEFT(ADDRESS(1,MATCH(C640,Area!$1:$1,0),4),1),"99"))),0)</f>
        <v>0</v>
      </c>
      <c r="BB640">
        <f ca="1">IF(COUNTBLANK(D640)=0,COUNTA(INDIRECT(CONCATENATE("Setup!",LEFT(ADDRESS(1,MATCH(CONCATENATE(C640,":",D640),Setup!$1:$1,0),4),1),"2:",LEFT(ADDRESS(1,MATCH(CONCATENATE(C640,":",D640),Setup!$1:$1,0),4),1),"99"))),0)</f>
        <v>0</v>
      </c>
      <c r="BC640">
        <f ca="1">IF(COUNTBLANK(E640)=0,COUNTA(INDIRECT(CONCATENATE("Comp!",SUBSTITUTE(ADDRESS(1,MATCH(CONCATENATE(C640,":",D640,":",E640),Comp!$1:$1,0),4),"1",""),"2:",SUBSTITUTE(ADDRESS(1,MATCH(CONCATENATE(C640,":",D640,":",E640),Comp!$1:$1,0),4),"1",""),"99"))),0)</f>
        <v>0</v>
      </c>
    </row>
    <row r="641" spans="1:55">
      <c r="A641" s="20" t="s">
        <v>73</v>
      </c>
      <c r="B641" s="21"/>
      <c r="C641" s="20"/>
      <c r="D641" s="22"/>
      <c r="E641" s="22"/>
      <c r="F641" s="21"/>
      <c r="G641" s="23"/>
      <c r="H641" s="24"/>
      <c r="I641" s="22"/>
      <c r="J641" s="22"/>
      <c r="K641" s="22"/>
      <c r="L641" s="21"/>
      <c r="M641" s="20"/>
      <c r="N641" s="20"/>
      <c r="O641" s="23"/>
      <c r="P641" s="21"/>
      <c r="Q641" s="20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1"/>
      <c r="AU641" s="25" t="str">
        <f t="shared" si="18"/>
        <v>1Q42</v>
      </c>
      <c r="AV641" t="str">
        <f t="shared" si="19"/>
        <v>1Q42</v>
      </c>
      <c r="BA641">
        <f ca="1">IF(COUNTBLANK(C641)=0,COUNTA(INDIRECT(CONCATENATE("Area!",LEFT(ADDRESS(1,MATCH(C641,Area!$1:$1,0),4),1),"2:",LEFT(ADDRESS(1,MATCH(C641,Area!$1:$1,0),4),1),"99"))),0)</f>
        <v>0</v>
      </c>
      <c r="BB641">
        <f ca="1">IF(COUNTBLANK(D641)=0,COUNTA(INDIRECT(CONCATENATE("Setup!",LEFT(ADDRESS(1,MATCH(CONCATENATE(C641,":",D641),Setup!$1:$1,0),4),1),"2:",LEFT(ADDRESS(1,MATCH(CONCATENATE(C641,":",D641),Setup!$1:$1,0),4),1),"99"))),0)</f>
        <v>0</v>
      </c>
      <c r="BC641">
        <f ca="1">IF(COUNTBLANK(E641)=0,COUNTA(INDIRECT(CONCATENATE("Comp!",SUBSTITUTE(ADDRESS(1,MATCH(CONCATENATE(C641,":",D641,":",E641),Comp!$1:$1,0),4),"1",""),"2:",SUBSTITUTE(ADDRESS(1,MATCH(CONCATENATE(C641,":",D641,":",E641),Comp!$1:$1,0),4),"1",""),"99"))),0)</f>
        <v>0</v>
      </c>
    </row>
    <row r="642" spans="1:55">
      <c r="A642" s="20" t="s">
        <v>73</v>
      </c>
      <c r="B642" s="21"/>
      <c r="C642" s="20"/>
      <c r="D642" s="22"/>
      <c r="E642" s="22"/>
      <c r="F642" s="21"/>
      <c r="G642" s="23"/>
      <c r="H642" s="24"/>
      <c r="I642" s="22"/>
      <c r="J642" s="22"/>
      <c r="K642" s="22"/>
      <c r="L642" s="21"/>
      <c r="M642" s="20"/>
      <c r="N642" s="20"/>
      <c r="O642" s="23"/>
      <c r="P642" s="21"/>
      <c r="Q642" s="20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1"/>
      <c r="AU642" s="25" t="str">
        <f t="shared" si="18"/>
        <v>1Q42</v>
      </c>
      <c r="AV642" t="str">
        <f t="shared" si="19"/>
        <v>1Q42</v>
      </c>
      <c r="BA642">
        <f ca="1">IF(COUNTBLANK(C642)=0,COUNTA(INDIRECT(CONCATENATE("Area!",LEFT(ADDRESS(1,MATCH(C642,Area!$1:$1,0),4),1),"2:",LEFT(ADDRESS(1,MATCH(C642,Area!$1:$1,0),4),1),"99"))),0)</f>
        <v>0</v>
      </c>
      <c r="BB642">
        <f ca="1">IF(COUNTBLANK(D642)=0,COUNTA(INDIRECT(CONCATENATE("Setup!",LEFT(ADDRESS(1,MATCH(CONCATENATE(C642,":",D642),Setup!$1:$1,0),4),1),"2:",LEFT(ADDRESS(1,MATCH(CONCATENATE(C642,":",D642),Setup!$1:$1,0),4),1),"99"))),0)</f>
        <v>0</v>
      </c>
      <c r="BC642">
        <f ca="1">IF(COUNTBLANK(E642)=0,COUNTA(INDIRECT(CONCATENATE("Comp!",SUBSTITUTE(ADDRESS(1,MATCH(CONCATENATE(C642,":",D642,":",E642),Comp!$1:$1,0),4),"1",""),"2:",SUBSTITUTE(ADDRESS(1,MATCH(CONCATENATE(C642,":",D642,":",E642),Comp!$1:$1,0),4),"1",""),"99"))),0)</f>
        <v>0</v>
      </c>
    </row>
    <row r="643" spans="1:55">
      <c r="A643" s="20" t="s">
        <v>73</v>
      </c>
      <c r="B643" s="21"/>
      <c r="C643" s="20"/>
      <c r="D643" s="22"/>
      <c r="E643" s="22"/>
      <c r="F643" s="21"/>
      <c r="G643" s="23"/>
      <c r="H643" s="24"/>
      <c r="I643" s="22"/>
      <c r="J643" s="22"/>
      <c r="K643" s="22"/>
      <c r="L643" s="21"/>
      <c r="M643" s="20"/>
      <c r="N643" s="20"/>
      <c r="O643" s="23"/>
      <c r="P643" s="21"/>
      <c r="Q643" s="20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1"/>
      <c r="AU643" s="25" t="str">
        <f t="shared" si="18"/>
        <v>1Q42</v>
      </c>
      <c r="AV643" t="str">
        <f t="shared" si="19"/>
        <v>1Q42</v>
      </c>
      <c r="BA643">
        <f ca="1">IF(COUNTBLANK(C643)=0,COUNTA(INDIRECT(CONCATENATE("Area!",LEFT(ADDRESS(1,MATCH(C643,Area!$1:$1,0),4),1),"2:",LEFT(ADDRESS(1,MATCH(C643,Area!$1:$1,0),4),1),"99"))),0)</f>
        <v>0</v>
      </c>
      <c r="BB643">
        <f ca="1">IF(COUNTBLANK(D643)=0,COUNTA(INDIRECT(CONCATENATE("Setup!",LEFT(ADDRESS(1,MATCH(CONCATENATE(C643,":",D643),Setup!$1:$1,0),4),1),"2:",LEFT(ADDRESS(1,MATCH(CONCATENATE(C643,":",D643),Setup!$1:$1,0),4),1),"99"))),0)</f>
        <v>0</v>
      </c>
      <c r="BC643">
        <f ca="1">IF(COUNTBLANK(E643)=0,COUNTA(INDIRECT(CONCATENATE("Comp!",SUBSTITUTE(ADDRESS(1,MATCH(CONCATENATE(C643,":",D643,":",E643),Comp!$1:$1,0),4),"1",""),"2:",SUBSTITUTE(ADDRESS(1,MATCH(CONCATENATE(C643,":",D643,":",E643),Comp!$1:$1,0),4),"1",""),"99"))),0)</f>
        <v>0</v>
      </c>
    </row>
    <row r="644" spans="1:55">
      <c r="A644" s="20" t="s">
        <v>73</v>
      </c>
      <c r="B644" s="21"/>
      <c r="C644" s="20"/>
      <c r="D644" s="22"/>
      <c r="E644" s="22"/>
      <c r="F644" s="21"/>
      <c r="G644" s="23"/>
      <c r="H644" s="24"/>
      <c r="I644" s="22"/>
      <c r="J644" s="22"/>
      <c r="K644" s="22"/>
      <c r="L644" s="21"/>
      <c r="M644" s="20"/>
      <c r="N644" s="20"/>
      <c r="O644" s="23"/>
      <c r="P644" s="21"/>
      <c r="Q644" s="20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1"/>
      <c r="AU644" s="25" t="str">
        <f t="shared" si="18"/>
        <v>1Q42</v>
      </c>
      <c r="AV644" t="str">
        <f t="shared" si="19"/>
        <v>1Q42</v>
      </c>
      <c r="BA644">
        <f ca="1">IF(COUNTBLANK(C644)=0,COUNTA(INDIRECT(CONCATENATE("Area!",LEFT(ADDRESS(1,MATCH(C644,Area!$1:$1,0),4),1),"2:",LEFT(ADDRESS(1,MATCH(C644,Area!$1:$1,0),4),1),"99"))),0)</f>
        <v>0</v>
      </c>
      <c r="BB644">
        <f ca="1">IF(COUNTBLANK(D644)=0,COUNTA(INDIRECT(CONCATENATE("Setup!",LEFT(ADDRESS(1,MATCH(CONCATENATE(C644,":",D644),Setup!$1:$1,0),4),1),"2:",LEFT(ADDRESS(1,MATCH(CONCATENATE(C644,":",D644),Setup!$1:$1,0),4),1),"99"))),0)</f>
        <v>0</v>
      </c>
      <c r="BC644">
        <f ca="1">IF(COUNTBLANK(E644)=0,COUNTA(INDIRECT(CONCATENATE("Comp!",SUBSTITUTE(ADDRESS(1,MATCH(CONCATENATE(C644,":",D644,":",E644),Comp!$1:$1,0),4),"1",""),"2:",SUBSTITUTE(ADDRESS(1,MATCH(CONCATENATE(C644,":",D644,":",E644),Comp!$1:$1,0),4),"1",""),"99"))),0)</f>
        <v>0</v>
      </c>
    </row>
    <row r="645" spans="1:55">
      <c r="A645" s="20" t="s">
        <v>73</v>
      </c>
      <c r="B645" s="21"/>
      <c r="C645" s="20"/>
      <c r="D645" s="22"/>
      <c r="E645" s="22"/>
      <c r="F645" s="21"/>
      <c r="G645" s="23"/>
      <c r="H645" s="24"/>
      <c r="I645" s="22"/>
      <c r="J645" s="22"/>
      <c r="K645" s="22"/>
      <c r="L645" s="21"/>
      <c r="M645" s="20"/>
      <c r="N645" s="20"/>
      <c r="O645" s="23"/>
      <c r="P645" s="21"/>
      <c r="Q645" s="20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1"/>
      <c r="AU645" s="25" t="str">
        <f t="shared" si="18"/>
        <v>1Q42</v>
      </c>
      <c r="AV645" t="str">
        <f t="shared" si="19"/>
        <v>1Q42</v>
      </c>
      <c r="BA645">
        <f ca="1">IF(COUNTBLANK(C645)=0,COUNTA(INDIRECT(CONCATENATE("Area!",LEFT(ADDRESS(1,MATCH(C645,Area!$1:$1,0),4),1),"2:",LEFT(ADDRESS(1,MATCH(C645,Area!$1:$1,0),4),1),"99"))),0)</f>
        <v>0</v>
      </c>
      <c r="BB645">
        <f ca="1">IF(COUNTBLANK(D645)=0,COUNTA(INDIRECT(CONCATENATE("Setup!",LEFT(ADDRESS(1,MATCH(CONCATENATE(C645,":",D645),Setup!$1:$1,0),4),1),"2:",LEFT(ADDRESS(1,MATCH(CONCATENATE(C645,":",D645),Setup!$1:$1,0),4),1),"99"))),0)</f>
        <v>0</v>
      </c>
      <c r="BC645">
        <f ca="1">IF(COUNTBLANK(E645)=0,COUNTA(INDIRECT(CONCATENATE("Comp!",SUBSTITUTE(ADDRESS(1,MATCH(CONCATENATE(C645,":",D645,":",E645),Comp!$1:$1,0),4),"1",""),"2:",SUBSTITUTE(ADDRESS(1,MATCH(CONCATENATE(C645,":",D645,":",E645),Comp!$1:$1,0),4),"1",""),"99"))),0)</f>
        <v>0</v>
      </c>
    </row>
    <row r="646" spans="1:55">
      <c r="A646" s="20" t="s">
        <v>73</v>
      </c>
      <c r="B646" s="21"/>
      <c r="C646" s="20"/>
      <c r="D646" s="22"/>
      <c r="E646" s="22"/>
      <c r="F646" s="21"/>
      <c r="G646" s="23"/>
      <c r="H646" s="24"/>
      <c r="I646" s="22"/>
      <c r="J646" s="22"/>
      <c r="K646" s="22"/>
      <c r="L646" s="21"/>
      <c r="M646" s="20"/>
      <c r="N646" s="20"/>
      <c r="O646" s="23"/>
      <c r="P646" s="21"/>
      <c r="Q646" s="20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1"/>
      <c r="AU646" s="25" t="str">
        <f t="shared" si="18"/>
        <v>1Q42</v>
      </c>
      <c r="AV646" t="str">
        <f t="shared" si="19"/>
        <v>1Q42</v>
      </c>
      <c r="BA646">
        <f ca="1">IF(COUNTBLANK(C646)=0,COUNTA(INDIRECT(CONCATENATE("Area!",LEFT(ADDRESS(1,MATCH(C646,Area!$1:$1,0),4),1),"2:",LEFT(ADDRESS(1,MATCH(C646,Area!$1:$1,0),4),1),"99"))),0)</f>
        <v>0</v>
      </c>
      <c r="BB646">
        <f ca="1">IF(COUNTBLANK(D646)=0,COUNTA(INDIRECT(CONCATENATE("Setup!",LEFT(ADDRESS(1,MATCH(CONCATENATE(C646,":",D646),Setup!$1:$1,0),4),1),"2:",LEFT(ADDRESS(1,MATCH(CONCATENATE(C646,":",D646),Setup!$1:$1,0),4),1),"99"))),0)</f>
        <v>0</v>
      </c>
      <c r="BC646">
        <f ca="1">IF(COUNTBLANK(E646)=0,COUNTA(INDIRECT(CONCATENATE("Comp!",SUBSTITUTE(ADDRESS(1,MATCH(CONCATENATE(C646,":",D646,":",E646),Comp!$1:$1,0),4),"1",""),"2:",SUBSTITUTE(ADDRESS(1,MATCH(CONCATENATE(C646,":",D646,":",E646),Comp!$1:$1,0),4),"1",""),"99"))),0)</f>
        <v>0</v>
      </c>
    </row>
    <row r="647" spans="1:55">
      <c r="A647" s="20" t="s">
        <v>73</v>
      </c>
      <c r="B647" s="21"/>
      <c r="C647" s="20"/>
      <c r="D647" s="22"/>
      <c r="E647" s="22"/>
      <c r="F647" s="21"/>
      <c r="G647" s="23"/>
      <c r="H647" s="24"/>
      <c r="I647" s="22"/>
      <c r="J647" s="22"/>
      <c r="K647" s="22"/>
      <c r="L647" s="21"/>
      <c r="M647" s="20"/>
      <c r="N647" s="20"/>
      <c r="O647" s="23"/>
      <c r="P647" s="21"/>
      <c r="Q647" s="20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1"/>
      <c r="AU647" s="25" t="str">
        <f t="shared" si="18"/>
        <v>1Q42</v>
      </c>
      <c r="AV647" t="str">
        <f t="shared" si="19"/>
        <v>1Q42</v>
      </c>
      <c r="BA647">
        <f ca="1">IF(COUNTBLANK(C647)=0,COUNTA(INDIRECT(CONCATENATE("Area!",LEFT(ADDRESS(1,MATCH(C647,Area!$1:$1,0),4),1),"2:",LEFT(ADDRESS(1,MATCH(C647,Area!$1:$1,0),4),1),"99"))),0)</f>
        <v>0</v>
      </c>
      <c r="BB647">
        <f ca="1">IF(COUNTBLANK(D647)=0,COUNTA(INDIRECT(CONCATENATE("Setup!",LEFT(ADDRESS(1,MATCH(CONCATENATE(C647,":",D647),Setup!$1:$1,0),4),1),"2:",LEFT(ADDRESS(1,MATCH(CONCATENATE(C647,":",D647),Setup!$1:$1,0),4),1),"99"))),0)</f>
        <v>0</v>
      </c>
      <c r="BC647">
        <f ca="1">IF(COUNTBLANK(E647)=0,COUNTA(INDIRECT(CONCATENATE("Comp!",SUBSTITUTE(ADDRESS(1,MATCH(CONCATENATE(C647,":",D647,":",E647),Comp!$1:$1,0),4),"1",""),"2:",SUBSTITUTE(ADDRESS(1,MATCH(CONCATENATE(C647,":",D647,":",E647),Comp!$1:$1,0),4),"1",""),"99"))),0)</f>
        <v>0</v>
      </c>
    </row>
    <row r="648" spans="1:55">
      <c r="A648" s="20" t="s">
        <v>73</v>
      </c>
      <c r="B648" s="21"/>
      <c r="C648" s="20"/>
      <c r="D648" s="22"/>
      <c r="E648" s="22"/>
      <c r="F648" s="21"/>
      <c r="G648" s="23"/>
      <c r="H648" s="24"/>
      <c r="I648" s="22"/>
      <c r="J648" s="22"/>
      <c r="K648" s="22"/>
      <c r="L648" s="21"/>
      <c r="M648" s="20"/>
      <c r="N648" s="20"/>
      <c r="O648" s="23"/>
      <c r="P648" s="21"/>
      <c r="Q648" s="20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1"/>
      <c r="AU648" s="25" t="str">
        <f t="shared" si="18"/>
        <v>1Q42</v>
      </c>
      <c r="AV648" t="str">
        <f t="shared" si="19"/>
        <v>1Q42</v>
      </c>
      <c r="BA648">
        <f ca="1">IF(COUNTBLANK(C648)=0,COUNTA(INDIRECT(CONCATENATE("Area!",LEFT(ADDRESS(1,MATCH(C648,Area!$1:$1,0),4),1),"2:",LEFT(ADDRESS(1,MATCH(C648,Area!$1:$1,0),4),1),"99"))),0)</f>
        <v>0</v>
      </c>
      <c r="BB648">
        <f ca="1">IF(COUNTBLANK(D648)=0,COUNTA(INDIRECT(CONCATENATE("Setup!",LEFT(ADDRESS(1,MATCH(CONCATENATE(C648,":",D648),Setup!$1:$1,0),4),1),"2:",LEFT(ADDRESS(1,MATCH(CONCATENATE(C648,":",D648),Setup!$1:$1,0),4),1),"99"))),0)</f>
        <v>0</v>
      </c>
      <c r="BC648">
        <f ca="1">IF(COUNTBLANK(E648)=0,COUNTA(INDIRECT(CONCATENATE("Comp!",SUBSTITUTE(ADDRESS(1,MATCH(CONCATENATE(C648,":",D648,":",E648),Comp!$1:$1,0),4),"1",""),"2:",SUBSTITUTE(ADDRESS(1,MATCH(CONCATENATE(C648,":",D648,":",E648),Comp!$1:$1,0),4),"1",""),"99"))),0)</f>
        <v>0</v>
      </c>
    </row>
    <row r="649" spans="1:55">
      <c r="A649" s="20" t="s">
        <v>73</v>
      </c>
      <c r="B649" s="21"/>
      <c r="C649" s="20"/>
      <c r="D649" s="22"/>
      <c r="E649" s="22"/>
      <c r="F649" s="21"/>
      <c r="G649" s="23"/>
      <c r="H649" s="24"/>
      <c r="I649" s="22"/>
      <c r="J649" s="22"/>
      <c r="K649" s="22"/>
      <c r="L649" s="21"/>
      <c r="M649" s="20"/>
      <c r="N649" s="20"/>
      <c r="O649" s="23"/>
      <c r="P649" s="21"/>
      <c r="Q649" s="20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1"/>
      <c r="AU649" s="25" t="str">
        <f t="shared" ref="AU649:AU712" si="20">CONCATENATE(A649,B649)</f>
        <v>1Q42</v>
      </c>
      <c r="AV649" t="str">
        <f t="shared" ref="AV649:AV712" si="21">CONCATENATE(A649,B649)</f>
        <v>1Q42</v>
      </c>
      <c r="BA649">
        <f ca="1">IF(COUNTBLANK(C649)=0,COUNTA(INDIRECT(CONCATENATE("Area!",LEFT(ADDRESS(1,MATCH(C649,Area!$1:$1,0),4),1),"2:",LEFT(ADDRESS(1,MATCH(C649,Area!$1:$1,0),4),1),"99"))),0)</f>
        <v>0</v>
      </c>
      <c r="BB649">
        <f ca="1">IF(COUNTBLANK(D649)=0,COUNTA(INDIRECT(CONCATENATE("Setup!",LEFT(ADDRESS(1,MATCH(CONCATENATE(C649,":",D649),Setup!$1:$1,0),4),1),"2:",LEFT(ADDRESS(1,MATCH(CONCATENATE(C649,":",D649),Setup!$1:$1,0),4),1),"99"))),0)</f>
        <v>0</v>
      </c>
      <c r="BC649">
        <f ca="1">IF(COUNTBLANK(E649)=0,COUNTA(INDIRECT(CONCATENATE("Comp!",SUBSTITUTE(ADDRESS(1,MATCH(CONCATENATE(C649,":",D649,":",E649),Comp!$1:$1,0),4),"1",""),"2:",SUBSTITUTE(ADDRESS(1,MATCH(CONCATENATE(C649,":",D649,":",E649),Comp!$1:$1,0),4),"1",""),"99"))),0)</f>
        <v>0</v>
      </c>
    </row>
    <row r="650" spans="1:55">
      <c r="A650" s="20" t="s">
        <v>73</v>
      </c>
      <c r="B650" s="21"/>
      <c r="C650" s="20"/>
      <c r="D650" s="22"/>
      <c r="E650" s="22"/>
      <c r="F650" s="21"/>
      <c r="G650" s="23"/>
      <c r="H650" s="24"/>
      <c r="I650" s="22"/>
      <c r="J650" s="22"/>
      <c r="K650" s="22"/>
      <c r="L650" s="21"/>
      <c r="M650" s="20"/>
      <c r="N650" s="20"/>
      <c r="O650" s="23"/>
      <c r="P650" s="21"/>
      <c r="Q650" s="20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1"/>
      <c r="AU650" s="25" t="str">
        <f t="shared" si="20"/>
        <v>1Q42</v>
      </c>
      <c r="AV650" t="str">
        <f t="shared" si="21"/>
        <v>1Q42</v>
      </c>
      <c r="BA650">
        <f ca="1">IF(COUNTBLANK(C650)=0,COUNTA(INDIRECT(CONCATENATE("Area!",LEFT(ADDRESS(1,MATCH(C650,Area!$1:$1,0),4),1),"2:",LEFT(ADDRESS(1,MATCH(C650,Area!$1:$1,0),4),1),"99"))),0)</f>
        <v>0</v>
      </c>
      <c r="BB650">
        <f ca="1">IF(COUNTBLANK(D650)=0,COUNTA(INDIRECT(CONCATENATE("Setup!",LEFT(ADDRESS(1,MATCH(CONCATENATE(C650,":",D650),Setup!$1:$1,0),4),1),"2:",LEFT(ADDRESS(1,MATCH(CONCATENATE(C650,":",D650),Setup!$1:$1,0),4),1),"99"))),0)</f>
        <v>0</v>
      </c>
      <c r="BC650">
        <f ca="1">IF(COUNTBLANK(E650)=0,COUNTA(INDIRECT(CONCATENATE("Comp!",SUBSTITUTE(ADDRESS(1,MATCH(CONCATENATE(C650,":",D650,":",E650),Comp!$1:$1,0),4),"1",""),"2:",SUBSTITUTE(ADDRESS(1,MATCH(CONCATENATE(C650,":",D650,":",E650),Comp!$1:$1,0),4),"1",""),"99"))),0)</f>
        <v>0</v>
      </c>
    </row>
    <row r="651" spans="1:55">
      <c r="A651" s="20" t="s">
        <v>73</v>
      </c>
      <c r="B651" s="21"/>
      <c r="C651" s="20"/>
      <c r="D651" s="22"/>
      <c r="E651" s="22"/>
      <c r="F651" s="21"/>
      <c r="G651" s="23"/>
      <c r="H651" s="24"/>
      <c r="I651" s="22"/>
      <c r="J651" s="22"/>
      <c r="K651" s="22"/>
      <c r="L651" s="21"/>
      <c r="M651" s="20"/>
      <c r="N651" s="20"/>
      <c r="O651" s="23"/>
      <c r="P651" s="21"/>
      <c r="Q651" s="20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1"/>
      <c r="AU651" s="25" t="str">
        <f t="shared" si="20"/>
        <v>1Q42</v>
      </c>
      <c r="AV651" t="str">
        <f t="shared" si="21"/>
        <v>1Q42</v>
      </c>
      <c r="BA651">
        <f ca="1">IF(COUNTBLANK(C651)=0,COUNTA(INDIRECT(CONCATENATE("Area!",LEFT(ADDRESS(1,MATCH(C651,Area!$1:$1,0),4),1),"2:",LEFT(ADDRESS(1,MATCH(C651,Area!$1:$1,0),4),1),"99"))),0)</f>
        <v>0</v>
      </c>
      <c r="BB651">
        <f ca="1">IF(COUNTBLANK(D651)=0,COUNTA(INDIRECT(CONCATENATE("Setup!",LEFT(ADDRESS(1,MATCH(CONCATENATE(C651,":",D651),Setup!$1:$1,0),4),1),"2:",LEFT(ADDRESS(1,MATCH(CONCATENATE(C651,":",D651),Setup!$1:$1,0),4),1),"99"))),0)</f>
        <v>0</v>
      </c>
      <c r="BC651">
        <f ca="1">IF(COUNTBLANK(E651)=0,COUNTA(INDIRECT(CONCATENATE("Comp!",SUBSTITUTE(ADDRESS(1,MATCH(CONCATENATE(C651,":",D651,":",E651),Comp!$1:$1,0),4),"1",""),"2:",SUBSTITUTE(ADDRESS(1,MATCH(CONCATENATE(C651,":",D651,":",E651),Comp!$1:$1,0),4),"1",""),"99"))),0)</f>
        <v>0</v>
      </c>
    </row>
    <row r="652" spans="1:55">
      <c r="A652" s="20" t="s">
        <v>73</v>
      </c>
      <c r="B652" s="21"/>
      <c r="C652" s="20"/>
      <c r="D652" s="22"/>
      <c r="E652" s="22"/>
      <c r="F652" s="21"/>
      <c r="G652" s="23"/>
      <c r="H652" s="24"/>
      <c r="I652" s="22"/>
      <c r="J652" s="22"/>
      <c r="K652" s="22"/>
      <c r="L652" s="21"/>
      <c r="M652" s="20"/>
      <c r="N652" s="20"/>
      <c r="O652" s="23"/>
      <c r="P652" s="21"/>
      <c r="Q652" s="20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1"/>
      <c r="AU652" s="25" t="str">
        <f t="shared" si="20"/>
        <v>1Q42</v>
      </c>
      <c r="AV652" t="str">
        <f t="shared" si="21"/>
        <v>1Q42</v>
      </c>
      <c r="BA652">
        <f ca="1">IF(COUNTBLANK(C652)=0,COUNTA(INDIRECT(CONCATENATE("Area!",LEFT(ADDRESS(1,MATCH(C652,Area!$1:$1,0),4),1),"2:",LEFT(ADDRESS(1,MATCH(C652,Area!$1:$1,0),4),1),"99"))),0)</f>
        <v>0</v>
      </c>
      <c r="BB652">
        <f ca="1">IF(COUNTBLANK(D652)=0,COUNTA(INDIRECT(CONCATENATE("Setup!",LEFT(ADDRESS(1,MATCH(CONCATENATE(C652,":",D652),Setup!$1:$1,0),4),1),"2:",LEFT(ADDRESS(1,MATCH(CONCATENATE(C652,":",D652),Setup!$1:$1,0),4),1),"99"))),0)</f>
        <v>0</v>
      </c>
      <c r="BC652">
        <f ca="1">IF(COUNTBLANK(E652)=0,COUNTA(INDIRECT(CONCATENATE("Comp!",SUBSTITUTE(ADDRESS(1,MATCH(CONCATENATE(C652,":",D652,":",E652),Comp!$1:$1,0),4),"1",""),"2:",SUBSTITUTE(ADDRESS(1,MATCH(CONCATENATE(C652,":",D652,":",E652),Comp!$1:$1,0),4),"1",""),"99"))),0)</f>
        <v>0</v>
      </c>
    </row>
    <row r="653" spans="1:55">
      <c r="A653" s="20" t="s">
        <v>73</v>
      </c>
      <c r="B653" s="21"/>
      <c r="C653" s="20"/>
      <c r="D653" s="22"/>
      <c r="E653" s="22"/>
      <c r="F653" s="21"/>
      <c r="G653" s="23"/>
      <c r="H653" s="24"/>
      <c r="I653" s="22"/>
      <c r="J653" s="22"/>
      <c r="K653" s="22"/>
      <c r="L653" s="21"/>
      <c r="M653" s="20"/>
      <c r="N653" s="20"/>
      <c r="O653" s="23"/>
      <c r="P653" s="21"/>
      <c r="Q653" s="20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1"/>
      <c r="AU653" s="25" t="str">
        <f t="shared" si="20"/>
        <v>1Q42</v>
      </c>
      <c r="AV653" t="str">
        <f t="shared" si="21"/>
        <v>1Q42</v>
      </c>
      <c r="BA653">
        <f ca="1">IF(COUNTBLANK(C653)=0,COUNTA(INDIRECT(CONCATENATE("Area!",LEFT(ADDRESS(1,MATCH(C653,Area!$1:$1,0),4),1),"2:",LEFT(ADDRESS(1,MATCH(C653,Area!$1:$1,0),4),1),"99"))),0)</f>
        <v>0</v>
      </c>
      <c r="BB653">
        <f ca="1">IF(COUNTBLANK(D653)=0,COUNTA(INDIRECT(CONCATENATE("Setup!",LEFT(ADDRESS(1,MATCH(CONCATENATE(C653,":",D653),Setup!$1:$1,0),4),1),"2:",LEFT(ADDRESS(1,MATCH(CONCATENATE(C653,":",D653),Setup!$1:$1,0),4),1),"99"))),0)</f>
        <v>0</v>
      </c>
      <c r="BC653">
        <f ca="1">IF(COUNTBLANK(E653)=0,COUNTA(INDIRECT(CONCATENATE("Comp!",SUBSTITUTE(ADDRESS(1,MATCH(CONCATENATE(C653,":",D653,":",E653),Comp!$1:$1,0),4),"1",""),"2:",SUBSTITUTE(ADDRESS(1,MATCH(CONCATENATE(C653,":",D653,":",E653),Comp!$1:$1,0),4),"1",""),"99"))),0)</f>
        <v>0</v>
      </c>
    </row>
    <row r="654" spans="1:55">
      <c r="A654" s="20" t="s">
        <v>73</v>
      </c>
      <c r="B654" s="21"/>
      <c r="C654" s="20"/>
      <c r="D654" s="22"/>
      <c r="E654" s="22"/>
      <c r="F654" s="21"/>
      <c r="G654" s="23"/>
      <c r="H654" s="24"/>
      <c r="I654" s="22"/>
      <c r="J654" s="22"/>
      <c r="K654" s="22"/>
      <c r="L654" s="21"/>
      <c r="M654" s="20"/>
      <c r="N654" s="20"/>
      <c r="O654" s="23"/>
      <c r="P654" s="21"/>
      <c r="Q654" s="20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1"/>
      <c r="AU654" s="25" t="str">
        <f t="shared" si="20"/>
        <v>1Q42</v>
      </c>
      <c r="AV654" t="str">
        <f t="shared" si="21"/>
        <v>1Q42</v>
      </c>
      <c r="BA654">
        <f ca="1">IF(COUNTBLANK(C654)=0,COUNTA(INDIRECT(CONCATENATE("Area!",LEFT(ADDRESS(1,MATCH(C654,Area!$1:$1,0),4),1),"2:",LEFT(ADDRESS(1,MATCH(C654,Area!$1:$1,0),4),1),"99"))),0)</f>
        <v>0</v>
      </c>
      <c r="BB654">
        <f ca="1">IF(COUNTBLANK(D654)=0,COUNTA(INDIRECT(CONCATENATE("Setup!",LEFT(ADDRESS(1,MATCH(CONCATENATE(C654,":",D654),Setup!$1:$1,0),4),1),"2:",LEFT(ADDRESS(1,MATCH(CONCATENATE(C654,":",D654),Setup!$1:$1,0),4),1),"99"))),0)</f>
        <v>0</v>
      </c>
      <c r="BC654">
        <f ca="1">IF(COUNTBLANK(E654)=0,COUNTA(INDIRECT(CONCATENATE("Comp!",SUBSTITUTE(ADDRESS(1,MATCH(CONCATENATE(C654,":",D654,":",E654),Comp!$1:$1,0),4),"1",""),"2:",SUBSTITUTE(ADDRESS(1,MATCH(CONCATENATE(C654,":",D654,":",E654),Comp!$1:$1,0),4),"1",""),"99"))),0)</f>
        <v>0</v>
      </c>
    </row>
    <row r="655" spans="1:55">
      <c r="A655" s="20" t="s">
        <v>73</v>
      </c>
      <c r="B655" s="21"/>
      <c r="C655" s="20"/>
      <c r="D655" s="22"/>
      <c r="E655" s="22"/>
      <c r="F655" s="21"/>
      <c r="G655" s="23"/>
      <c r="H655" s="24"/>
      <c r="I655" s="22"/>
      <c r="J655" s="22"/>
      <c r="K655" s="22"/>
      <c r="L655" s="21"/>
      <c r="M655" s="20"/>
      <c r="N655" s="20"/>
      <c r="O655" s="23"/>
      <c r="P655" s="21"/>
      <c r="Q655" s="20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1"/>
      <c r="AU655" s="25" t="str">
        <f t="shared" si="20"/>
        <v>1Q42</v>
      </c>
      <c r="AV655" t="str">
        <f t="shared" si="21"/>
        <v>1Q42</v>
      </c>
      <c r="BA655">
        <f ca="1">IF(COUNTBLANK(C655)=0,COUNTA(INDIRECT(CONCATENATE("Area!",LEFT(ADDRESS(1,MATCH(C655,Area!$1:$1,0),4),1),"2:",LEFT(ADDRESS(1,MATCH(C655,Area!$1:$1,0),4),1),"99"))),0)</f>
        <v>0</v>
      </c>
      <c r="BB655">
        <f ca="1">IF(COUNTBLANK(D655)=0,COUNTA(INDIRECT(CONCATENATE("Setup!",LEFT(ADDRESS(1,MATCH(CONCATENATE(C655,":",D655),Setup!$1:$1,0),4),1),"2:",LEFT(ADDRESS(1,MATCH(CONCATENATE(C655,":",D655),Setup!$1:$1,0),4),1),"99"))),0)</f>
        <v>0</v>
      </c>
      <c r="BC655">
        <f ca="1">IF(COUNTBLANK(E655)=0,COUNTA(INDIRECT(CONCATENATE("Comp!",SUBSTITUTE(ADDRESS(1,MATCH(CONCATENATE(C655,":",D655,":",E655),Comp!$1:$1,0),4),"1",""),"2:",SUBSTITUTE(ADDRESS(1,MATCH(CONCATENATE(C655,":",D655,":",E655),Comp!$1:$1,0),4),"1",""),"99"))),0)</f>
        <v>0</v>
      </c>
    </row>
    <row r="656" spans="1:55">
      <c r="A656" s="20" t="s">
        <v>73</v>
      </c>
      <c r="B656" s="21"/>
      <c r="C656" s="20"/>
      <c r="D656" s="22"/>
      <c r="E656" s="22"/>
      <c r="F656" s="21"/>
      <c r="G656" s="23"/>
      <c r="H656" s="24"/>
      <c r="I656" s="22"/>
      <c r="J656" s="22"/>
      <c r="K656" s="22"/>
      <c r="L656" s="21"/>
      <c r="M656" s="20"/>
      <c r="N656" s="20"/>
      <c r="O656" s="23"/>
      <c r="P656" s="21"/>
      <c r="Q656" s="20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1"/>
      <c r="AU656" s="25" t="str">
        <f t="shared" si="20"/>
        <v>1Q42</v>
      </c>
      <c r="AV656" t="str">
        <f t="shared" si="21"/>
        <v>1Q42</v>
      </c>
      <c r="BA656">
        <f ca="1">IF(COUNTBLANK(C656)=0,COUNTA(INDIRECT(CONCATENATE("Area!",LEFT(ADDRESS(1,MATCH(C656,Area!$1:$1,0),4),1),"2:",LEFT(ADDRESS(1,MATCH(C656,Area!$1:$1,0),4),1),"99"))),0)</f>
        <v>0</v>
      </c>
      <c r="BB656">
        <f ca="1">IF(COUNTBLANK(D656)=0,COUNTA(INDIRECT(CONCATENATE("Setup!",LEFT(ADDRESS(1,MATCH(CONCATENATE(C656,":",D656),Setup!$1:$1,0),4),1),"2:",LEFT(ADDRESS(1,MATCH(CONCATENATE(C656,":",D656),Setup!$1:$1,0),4),1),"99"))),0)</f>
        <v>0</v>
      </c>
      <c r="BC656">
        <f ca="1">IF(COUNTBLANK(E656)=0,COUNTA(INDIRECT(CONCATENATE("Comp!",SUBSTITUTE(ADDRESS(1,MATCH(CONCATENATE(C656,":",D656,":",E656),Comp!$1:$1,0),4),"1",""),"2:",SUBSTITUTE(ADDRESS(1,MATCH(CONCATENATE(C656,":",D656,":",E656),Comp!$1:$1,0),4),"1",""),"99"))),0)</f>
        <v>0</v>
      </c>
    </row>
    <row r="657" spans="1:55">
      <c r="A657" s="20" t="s">
        <v>73</v>
      </c>
      <c r="B657" s="21"/>
      <c r="C657" s="20"/>
      <c r="D657" s="22"/>
      <c r="E657" s="22"/>
      <c r="F657" s="21"/>
      <c r="G657" s="23"/>
      <c r="H657" s="24"/>
      <c r="I657" s="22"/>
      <c r="J657" s="22"/>
      <c r="K657" s="22"/>
      <c r="L657" s="21"/>
      <c r="M657" s="20"/>
      <c r="N657" s="20"/>
      <c r="O657" s="23"/>
      <c r="P657" s="21"/>
      <c r="Q657" s="20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1"/>
      <c r="AU657" s="25" t="str">
        <f t="shared" si="20"/>
        <v>1Q42</v>
      </c>
      <c r="AV657" t="str">
        <f t="shared" si="21"/>
        <v>1Q42</v>
      </c>
      <c r="BA657">
        <f ca="1">IF(COUNTBLANK(C657)=0,COUNTA(INDIRECT(CONCATENATE("Area!",LEFT(ADDRESS(1,MATCH(C657,Area!$1:$1,0),4),1),"2:",LEFT(ADDRESS(1,MATCH(C657,Area!$1:$1,0),4),1),"99"))),0)</f>
        <v>0</v>
      </c>
      <c r="BB657">
        <f ca="1">IF(COUNTBLANK(D657)=0,COUNTA(INDIRECT(CONCATENATE("Setup!",LEFT(ADDRESS(1,MATCH(CONCATENATE(C657,":",D657),Setup!$1:$1,0),4),1),"2:",LEFT(ADDRESS(1,MATCH(CONCATENATE(C657,":",D657),Setup!$1:$1,0),4),1),"99"))),0)</f>
        <v>0</v>
      </c>
      <c r="BC657">
        <f ca="1">IF(COUNTBLANK(E657)=0,COUNTA(INDIRECT(CONCATENATE("Comp!",SUBSTITUTE(ADDRESS(1,MATCH(CONCATENATE(C657,":",D657,":",E657),Comp!$1:$1,0),4),"1",""),"2:",SUBSTITUTE(ADDRESS(1,MATCH(CONCATENATE(C657,":",D657,":",E657),Comp!$1:$1,0),4),"1",""),"99"))),0)</f>
        <v>0</v>
      </c>
    </row>
    <row r="658" spans="1:55">
      <c r="A658" s="20" t="s">
        <v>73</v>
      </c>
      <c r="B658" s="21"/>
      <c r="C658" s="20"/>
      <c r="D658" s="22"/>
      <c r="E658" s="22"/>
      <c r="F658" s="21"/>
      <c r="G658" s="23"/>
      <c r="H658" s="24"/>
      <c r="I658" s="22"/>
      <c r="J658" s="22"/>
      <c r="K658" s="22"/>
      <c r="L658" s="21"/>
      <c r="M658" s="20"/>
      <c r="N658" s="20"/>
      <c r="O658" s="23"/>
      <c r="P658" s="21"/>
      <c r="Q658" s="20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1"/>
      <c r="AU658" s="25" t="str">
        <f t="shared" si="20"/>
        <v>1Q42</v>
      </c>
      <c r="AV658" t="str">
        <f t="shared" si="21"/>
        <v>1Q42</v>
      </c>
      <c r="BA658">
        <f ca="1">IF(COUNTBLANK(C658)=0,COUNTA(INDIRECT(CONCATENATE("Area!",LEFT(ADDRESS(1,MATCH(C658,Area!$1:$1,0),4),1),"2:",LEFT(ADDRESS(1,MATCH(C658,Area!$1:$1,0),4),1),"99"))),0)</f>
        <v>0</v>
      </c>
      <c r="BB658">
        <f ca="1">IF(COUNTBLANK(D658)=0,COUNTA(INDIRECT(CONCATENATE("Setup!",LEFT(ADDRESS(1,MATCH(CONCATENATE(C658,":",D658),Setup!$1:$1,0),4),1),"2:",LEFT(ADDRESS(1,MATCH(CONCATENATE(C658,":",D658),Setup!$1:$1,0),4),1),"99"))),0)</f>
        <v>0</v>
      </c>
      <c r="BC658">
        <f ca="1">IF(COUNTBLANK(E658)=0,COUNTA(INDIRECT(CONCATENATE("Comp!",SUBSTITUTE(ADDRESS(1,MATCH(CONCATENATE(C658,":",D658,":",E658),Comp!$1:$1,0),4),"1",""),"2:",SUBSTITUTE(ADDRESS(1,MATCH(CONCATENATE(C658,":",D658,":",E658),Comp!$1:$1,0),4),"1",""),"99"))),0)</f>
        <v>0</v>
      </c>
    </row>
    <row r="659" spans="1:55">
      <c r="A659" s="20" t="s">
        <v>73</v>
      </c>
      <c r="B659" s="21"/>
      <c r="C659" s="20"/>
      <c r="D659" s="22"/>
      <c r="E659" s="22"/>
      <c r="F659" s="21"/>
      <c r="G659" s="23"/>
      <c r="H659" s="24"/>
      <c r="I659" s="22"/>
      <c r="J659" s="22"/>
      <c r="K659" s="22"/>
      <c r="L659" s="21"/>
      <c r="M659" s="20"/>
      <c r="N659" s="20"/>
      <c r="O659" s="23"/>
      <c r="P659" s="21"/>
      <c r="Q659" s="20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1"/>
      <c r="AU659" s="25" t="str">
        <f t="shared" si="20"/>
        <v>1Q42</v>
      </c>
      <c r="AV659" t="str">
        <f t="shared" si="21"/>
        <v>1Q42</v>
      </c>
      <c r="BA659">
        <f ca="1">IF(COUNTBLANK(C659)=0,COUNTA(INDIRECT(CONCATENATE("Area!",LEFT(ADDRESS(1,MATCH(C659,Area!$1:$1,0),4),1),"2:",LEFT(ADDRESS(1,MATCH(C659,Area!$1:$1,0),4),1),"99"))),0)</f>
        <v>0</v>
      </c>
      <c r="BB659">
        <f ca="1">IF(COUNTBLANK(D659)=0,COUNTA(INDIRECT(CONCATENATE("Setup!",LEFT(ADDRESS(1,MATCH(CONCATENATE(C659,":",D659),Setup!$1:$1,0),4),1),"2:",LEFT(ADDRESS(1,MATCH(CONCATENATE(C659,":",D659),Setup!$1:$1,0),4),1),"99"))),0)</f>
        <v>0</v>
      </c>
      <c r="BC659">
        <f ca="1">IF(COUNTBLANK(E659)=0,COUNTA(INDIRECT(CONCATENATE("Comp!",SUBSTITUTE(ADDRESS(1,MATCH(CONCATENATE(C659,":",D659,":",E659),Comp!$1:$1,0),4),"1",""),"2:",SUBSTITUTE(ADDRESS(1,MATCH(CONCATENATE(C659,":",D659,":",E659),Comp!$1:$1,0),4),"1",""),"99"))),0)</f>
        <v>0</v>
      </c>
    </row>
    <row r="660" spans="1:55">
      <c r="A660" s="20" t="s">
        <v>73</v>
      </c>
      <c r="B660" s="21"/>
      <c r="C660" s="20"/>
      <c r="D660" s="22"/>
      <c r="E660" s="22"/>
      <c r="F660" s="21"/>
      <c r="G660" s="23"/>
      <c r="H660" s="24"/>
      <c r="I660" s="22"/>
      <c r="J660" s="22"/>
      <c r="K660" s="22"/>
      <c r="L660" s="21"/>
      <c r="M660" s="20"/>
      <c r="N660" s="20"/>
      <c r="O660" s="23"/>
      <c r="P660" s="21"/>
      <c r="Q660" s="20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1"/>
      <c r="AU660" s="25" t="str">
        <f t="shared" si="20"/>
        <v>1Q42</v>
      </c>
      <c r="AV660" t="str">
        <f t="shared" si="21"/>
        <v>1Q42</v>
      </c>
      <c r="BA660">
        <f ca="1">IF(COUNTBLANK(C660)=0,COUNTA(INDIRECT(CONCATENATE("Area!",LEFT(ADDRESS(1,MATCH(C660,Area!$1:$1,0),4),1),"2:",LEFT(ADDRESS(1,MATCH(C660,Area!$1:$1,0),4),1),"99"))),0)</f>
        <v>0</v>
      </c>
      <c r="BB660">
        <f ca="1">IF(COUNTBLANK(D660)=0,COUNTA(INDIRECT(CONCATENATE("Setup!",LEFT(ADDRESS(1,MATCH(CONCATENATE(C660,":",D660),Setup!$1:$1,0),4),1),"2:",LEFT(ADDRESS(1,MATCH(CONCATENATE(C660,":",D660),Setup!$1:$1,0),4),1),"99"))),0)</f>
        <v>0</v>
      </c>
      <c r="BC660">
        <f ca="1">IF(COUNTBLANK(E660)=0,COUNTA(INDIRECT(CONCATENATE("Comp!",SUBSTITUTE(ADDRESS(1,MATCH(CONCATENATE(C660,":",D660,":",E660),Comp!$1:$1,0),4),"1",""),"2:",SUBSTITUTE(ADDRESS(1,MATCH(CONCATENATE(C660,":",D660,":",E660),Comp!$1:$1,0),4),"1",""),"99"))),0)</f>
        <v>0</v>
      </c>
    </row>
    <row r="661" spans="1:55">
      <c r="A661" s="20" t="s">
        <v>73</v>
      </c>
      <c r="B661" s="21"/>
      <c r="C661" s="20"/>
      <c r="D661" s="22"/>
      <c r="E661" s="22"/>
      <c r="F661" s="21"/>
      <c r="G661" s="23"/>
      <c r="H661" s="24"/>
      <c r="I661" s="22"/>
      <c r="J661" s="22"/>
      <c r="K661" s="22"/>
      <c r="L661" s="21"/>
      <c r="M661" s="20"/>
      <c r="N661" s="20"/>
      <c r="O661" s="23"/>
      <c r="P661" s="21"/>
      <c r="Q661" s="20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1"/>
      <c r="AU661" s="25" t="str">
        <f t="shared" si="20"/>
        <v>1Q42</v>
      </c>
      <c r="AV661" t="str">
        <f t="shared" si="21"/>
        <v>1Q42</v>
      </c>
      <c r="BA661">
        <f ca="1">IF(COUNTBLANK(C661)=0,COUNTA(INDIRECT(CONCATENATE("Area!",LEFT(ADDRESS(1,MATCH(C661,Area!$1:$1,0),4),1),"2:",LEFT(ADDRESS(1,MATCH(C661,Area!$1:$1,0),4),1),"99"))),0)</f>
        <v>0</v>
      </c>
      <c r="BB661">
        <f ca="1">IF(COUNTBLANK(D661)=0,COUNTA(INDIRECT(CONCATENATE("Setup!",LEFT(ADDRESS(1,MATCH(CONCATENATE(C661,":",D661),Setup!$1:$1,0),4),1),"2:",LEFT(ADDRESS(1,MATCH(CONCATENATE(C661,":",D661),Setup!$1:$1,0),4),1),"99"))),0)</f>
        <v>0</v>
      </c>
      <c r="BC661">
        <f ca="1">IF(COUNTBLANK(E661)=0,COUNTA(INDIRECT(CONCATENATE("Comp!",SUBSTITUTE(ADDRESS(1,MATCH(CONCATENATE(C661,":",D661,":",E661),Comp!$1:$1,0),4),"1",""),"2:",SUBSTITUTE(ADDRESS(1,MATCH(CONCATENATE(C661,":",D661,":",E661),Comp!$1:$1,0),4),"1",""),"99"))),0)</f>
        <v>0</v>
      </c>
    </row>
    <row r="662" spans="1:55">
      <c r="A662" s="20" t="s">
        <v>73</v>
      </c>
      <c r="B662" s="21"/>
      <c r="C662" s="20"/>
      <c r="D662" s="22"/>
      <c r="E662" s="22"/>
      <c r="F662" s="21"/>
      <c r="G662" s="23"/>
      <c r="H662" s="24"/>
      <c r="I662" s="22"/>
      <c r="J662" s="22"/>
      <c r="K662" s="22"/>
      <c r="L662" s="21"/>
      <c r="M662" s="20"/>
      <c r="N662" s="20"/>
      <c r="O662" s="23"/>
      <c r="P662" s="21"/>
      <c r="Q662" s="20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1"/>
      <c r="AU662" s="25" t="str">
        <f t="shared" si="20"/>
        <v>1Q42</v>
      </c>
      <c r="AV662" t="str">
        <f t="shared" si="21"/>
        <v>1Q42</v>
      </c>
      <c r="BA662">
        <f ca="1">IF(COUNTBLANK(C662)=0,COUNTA(INDIRECT(CONCATENATE("Area!",LEFT(ADDRESS(1,MATCH(C662,Area!$1:$1,0),4),1),"2:",LEFT(ADDRESS(1,MATCH(C662,Area!$1:$1,0),4),1),"99"))),0)</f>
        <v>0</v>
      </c>
      <c r="BB662">
        <f ca="1">IF(COUNTBLANK(D662)=0,COUNTA(INDIRECT(CONCATENATE("Setup!",LEFT(ADDRESS(1,MATCH(CONCATENATE(C662,":",D662),Setup!$1:$1,0),4),1),"2:",LEFT(ADDRESS(1,MATCH(CONCATENATE(C662,":",D662),Setup!$1:$1,0),4),1),"99"))),0)</f>
        <v>0</v>
      </c>
      <c r="BC662">
        <f ca="1">IF(COUNTBLANK(E662)=0,COUNTA(INDIRECT(CONCATENATE("Comp!",SUBSTITUTE(ADDRESS(1,MATCH(CONCATENATE(C662,":",D662,":",E662),Comp!$1:$1,0),4),"1",""),"2:",SUBSTITUTE(ADDRESS(1,MATCH(CONCATENATE(C662,":",D662,":",E662),Comp!$1:$1,0),4),"1",""),"99"))),0)</f>
        <v>0</v>
      </c>
    </row>
    <row r="663" spans="1:55">
      <c r="A663" s="20" t="s">
        <v>73</v>
      </c>
      <c r="B663" s="21"/>
      <c r="C663" s="20"/>
      <c r="D663" s="22"/>
      <c r="E663" s="22"/>
      <c r="F663" s="21"/>
      <c r="G663" s="23"/>
      <c r="H663" s="24"/>
      <c r="I663" s="22"/>
      <c r="J663" s="22"/>
      <c r="K663" s="22"/>
      <c r="L663" s="21"/>
      <c r="M663" s="20"/>
      <c r="N663" s="20"/>
      <c r="O663" s="23"/>
      <c r="P663" s="21"/>
      <c r="Q663" s="20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1"/>
      <c r="AU663" s="25" t="str">
        <f t="shared" si="20"/>
        <v>1Q42</v>
      </c>
      <c r="AV663" t="str">
        <f t="shared" si="21"/>
        <v>1Q42</v>
      </c>
      <c r="BA663">
        <f ca="1">IF(COUNTBLANK(C663)=0,COUNTA(INDIRECT(CONCATENATE("Area!",LEFT(ADDRESS(1,MATCH(C663,Area!$1:$1,0),4),1),"2:",LEFT(ADDRESS(1,MATCH(C663,Area!$1:$1,0),4),1),"99"))),0)</f>
        <v>0</v>
      </c>
      <c r="BB663">
        <f ca="1">IF(COUNTBLANK(D663)=0,COUNTA(INDIRECT(CONCATENATE("Setup!",LEFT(ADDRESS(1,MATCH(CONCATENATE(C663,":",D663),Setup!$1:$1,0),4),1),"2:",LEFT(ADDRESS(1,MATCH(CONCATENATE(C663,":",D663),Setup!$1:$1,0),4),1),"99"))),0)</f>
        <v>0</v>
      </c>
      <c r="BC663">
        <f ca="1">IF(COUNTBLANK(E663)=0,COUNTA(INDIRECT(CONCATENATE("Comp!",SUBSTITUTE(ADDRESS(1,MATCH(CONCATENATE(C663,":",D663,":",E663),Comp!$1:$1,0),4),"1",""),"2:",SUBSTITUTE(ADDRESS(1,MATCH(CONCATENATE(C663,":",D663,":",E663),Comp!$1:$1,0),4),"1",""),"99"))),0)</f>
        <v>0</v>
      </c>
    </row>
    <row r="664" spans="1:55">
      <c r="A664" s="20" t="s">
        <v>73</v>
      </c>
      <c r="B664" s="21"/>
      <c r="C664" s="20"/>
      <c r="D664" s="22"/>
      <c r="E664" s="22"/>
      <c r="F664" s="21"/>
      <c r="G664" s="23"/>
      <c r="H664" s="24"/>
      <c r="I664" s="22"/>
      <c r="J664" s="22"/>
      <c r="K664" s="22"/>
      <c r="L664" s="21"/>
      <c r="M664" s="20"/>
      <c r="N664" s="20"/>
      <c r="O664" s="23"/>
      <c r="P664" s="21"/>
      <c r="Q664" s="20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1"/>
      <c r="AU664" s="25" t="str">
        <f t="shared" si="20"/>
        <v>1Q42</v>
      </c>
      <c r="AV664" t="str">
        <f t="shared" si="21"/>
        <v>1Q42</v>
      </c>
      <c r="BA664">
        <f ca="1">IF(COUNTBLANK(C664)=0,COUNTA(INDIRECT(CONCATENATE("Area!",LEFT(ADDRESS(1,MATCH(C664,Area!$1:$1,0),4),1),"2:",LEFT(ADDRESS(1,MATCH(C664,Area!$1:$1,0),4),1),"99"))),0)</f>
        <v>0</v>
      </c>
      <c r="BB664">
        <f ca="1">IF(COUNTBLANK(D664)=0,COUNTA(INDIRECT(CONCATENATE("Setup!",LEFT(ADDRESS(1,MATCH(CONCATENATE(C664,":",D664),Setup!$1:$1,0),4),1),"2:",LEFT(ADDRESS(1,MATCH(CONCATENATE(C664,":",D664),Setup!$1:$1,0),4),1),"99"))),0)</f>
        <v>0</v>
      </c>
      <c r="BC664">
        <f ca="1">IF(COUNTBLANK(E664)=0,COUNTA(INDIRECT(CONCATENATE("Comp!",SUBSTITUTE(ADDRESS(1,MATCH(CONCATENATE(C664,":",D664,":",E664),Comp!$1:$1,0),4),"1",""),"2:",SUBSTITUTE(ADDRESS(1,MATCH(CONCATENATE(C664,":",D664,":",E664),Comp!$1:$1,0),4),"1",""),"99"))),0)</f>
        <v>0</v>
      </c>
    </row>
    <row r="665" spans="1:55">
      <c r="A665" s="20" t="s">
        <v>73</v>
      </c>
      <c r="B665" s="21"/>
      <c r="C665" s="20"/>
      <c r="D665" s="22"/>
      <c r="E665" s="22"/>
      <c r="F665" s="21"/>
      <c r="G665" s="23"/>
      <c r="H665" s="24"/>
      <c r="I665" s="22"/>
      <c r="J665" s="22"/>
      <c r="K665" s="22"/>
      <c r="L665" s="21"/>
      <c r="M665" s="20"/>
      <c r="N665" s="20"/>
      <c r="O665" s="23"/>
      <c r="P665" s="21"/>
      <c r="Q665" s="20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1"/>
      <c r="AU665" s="25" t="str">
        <f t="shared" si="20"/>
        <v>1Q42</v>
      </c>
      <c r="AV665" t="str">
        <f t="shared" si="21"/>
        <v>1Q42</v>
      </c>
      <c r="BA665">
        <f ca="1">IF(COUNTBLANK(C665)=0,COUNTA(INDIRECT(CONCATENATE("Area!",LEFT(ADDRESS(1,MATCH(C665,Area!$1:$1,0),4),1),"2:",LEFT(ADDRESS(1,MATCH(C665,Area!$1:$1,0),4),1),"99"))),0)</f>
        <v>0</v>
      </c>
      <c r="BB665">
        <f ca="1">IF(COUNTBLANK(D665)=0,COUNTA(INDIRECT(CONCATENATE("Setup!",LEFT(ADDRESS(1,MATCH(CONCATENATE(C665,":",D665),Setup!$1:$1,0),4),1),"2:",LEFT(ADDRESS(1,MATCH(CONCATENATE(C665,":",D665),Setup!$1:$1,0),4),1),"99"))),0)</f>
        <v>0</v>
      </c>
      <c r="BC665">
        <f ca="1">IF(COUNTBLANK(E665)=0,COUNTA(INDIRECT(CONCATENATE("Comp!",SUBSTITUTE(ADDRESS(1,MATCH(CONCATENATE(C665,":",D665,":",E665),Comp!$1:$1,0),4),"1",""),"2:",SUBSTITUTE(ADDRESS(1,MATCH(CONCATENATE(C665,":",D665,":",E665),Comp!$1:$1,0),4),"1",""),"99"))),0)</f>
        <v>0</v>
      </c>
    </row>
    <row r="666" spans="1:55">
      <c r="A666" s="20" t="s">
        <v>73</v>
      </c>
      <c r="B666" s="21"/>
      <c r="C666" s="20"/>
      <c r="D666" s="22"/>
      <c r="E666" s="22"/>
      <c r="F666" s="21"/>
      <c r="G666" s="23"/>
      <c r="H666" s="24"/>
      <c r="I666" s="22"/>
      <c r="J666" s="22"/>
      <c r="K666" s="22"/>
      <c r="L666" s="21"/>
      <c r="M666" s="20"/>
      <c r="N666" s="20"/>
      <c r="O666" s="23"/>
      <c r="P666" s="21"/>
      <c r="Q666" s="20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1"/>
      <c r="AU666" s="25" t="str">
        <f t="shared" si="20"/>
        <v>1Q42</v>
      </c>
      <c r="AV666" t="str">
        <f t="shared" si="21"/>
        <v>1Q42</v>
      </c>
      <c r="BA666">
        <f ca="1">IF(COUNTBLANK(C666)=0,COUNTA(INDIRECT(CONCATENATE("Area!",LEFT(ADDRESS(1,MATCH(C666,Area!$1:$1,0),4),1),"2:",LEFT(ADDRESS(1,MATCH(C666,Area!$1:$1,0),4),1),"99"))),0)</f>
        <v>0</v>
      </c>
      <c r="BB666">
        <f ca="1">IF(COUNTBLANK(D666)=0,COUNTA(INDIRECT(CONCATENATE("Setup!",LEFT(ADDRESS(1,MATCH(CONCATENATE(C666,":",D666),Setup!$1:$1,0),4),1),"2:",LEFT(ADDRESS(1,MATCH(CONCATENATE(C666,":",D666),Setup!$1:$1,0),4),1),"99"))),0)</f>
        <v>0</v>
      </c>
      <c r="BC666">
        <f ca="1">IF(COUNTBLANK(E666)=0,COUNTA(INDIRECT(CONCATENATE("Comp!",SUBSTITUTE(ADDRESS(1,MATCH(CONCATENATE(C666,":",D666,":",E666),Comp!$1:$1,0),4),"1",""),"2:",SUBSTITUTE(ADDRESS(1,MATCH(CONCATENATE(C666,":",D666,":",E666),Comp!$1:$1,0),4),"1",""),"99"))),0)</f>
        <v>0</v>
      </c>
    </row>
    <row r="667" spans="1:55">
      <c r="A667" s="20" t="s">
        <v>73</v>
      </c>
      <c r="B667" s="21"/>
      <c r="C667" s="20"/>
      <c r="D667" s="22"/>
      <c r="E667" s="22"/>
      <c r="F667" s="21"/>
      <c r="G667" s="23"/>
      <c r="H667" s="24"/>
      <c r="I667" s="22"/>
      <c r="J667" s="22"/>
      <c r="K667" s="22"/>
      <c r="L667" s="21"/>
      <c r="M667" s="20"/>
      <c r="N667" s="20"/>
      <c r="O667" s="23"/>
      <c r="P667" s="21"/>
      <c r="Q667" s="20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1"/>
      <c r="AU667" s="25" t="str">
        <f t="shared" si="20"/>
        <v>1Q42</v>
      </c>
      <c r="AV667" t="str">
        <f t="shared" si="21"/>
        <v>1Q42</v>
      </c>
      <c r="BA667">
        <f ca="1">IF(COUNTBLANK(C667)=0,COUNTA(INDIRECT(CONCATENATE("Area!",LEFT(ADDRESS(1,MATCH(C667,Area!$1:$1,0),4),1),"2:",LEFT(ADDRESS(1,MATCH(C667,Area!$1:$1,0),4),1),"99"))),0)</f>
        <v>0</v>
      </c>
      <c r="BB667">
        <f ca="1">IF(COUNTBLANK(D667)=0,COUNTA(INDIRECT(CONCATENATE("Setup!",LEFT(ADDRESS(1,MATCH(CONCATENATE(C667,":",D667),Setup!$1:$1,0),4),1),"2:",LEFT(ADDRESS(1,MATCH(CONCATENATE(C667,":",D667),Setup!$1:$1,0),4),1),"99"))),0)</f>
        <v>0</v>
      </c>
      <c r="BC667">
        <f ca="1">IF(COUNTBLANK(E667)=0,COUNTA(INDIRECT(CONCATENATE("Comp!",SUBSTITUTE(ADDRESS(1,MATCH(CONCATENATE(C667,":",D667,":",E667),Comp!$1:$1,0),4),"1",""),"2:",SUBSTITUTE(ADDRESS(1,MATCH(CONCATENATE(C667,":",D667,":",E667),Comp!$1:$1,0),4),"1",""),"99"))),0)</f>
        <v>0</v>
      </c>
    </row>
    <row r="668" spans="1:55">
      <c r="A668" s="20" t="s">
        <v>73</v>
      </c>
      <c r="B668" s="21"/>
      <c r="C668" s="20"/>
      <c r="D668" s="22"/>
      <c r="E668" s="22"/>
      <c r="F668" s="21"/>
      <c r="G668" s="23"/>
      <c r="H668" s="24"/>
      <c r="I668" s="22"/>
      <c r="J668" s="22"/>
      <c r="K668" s="22"/>
      <c r="L668" s="21"/>
      <c r="M668" s="20"/>
      <c r="N668" s="20"/>
      <c r="O668" s="23"/>
      <c r="P668" s="21"/>
      <c r="Q668" s="20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1"/>
      <c r="AU668" s="25" t="str">
        <f t="shared" si="20"/>
        <v>1Q42</v>
      </c>
      <c r="AV668" t="str">
        <f t="shared" si="21"/>
        <v>1Q42</v>
      </c>
      <c r="BA668">
        <f ca="1">IF(COUNTBLANK(C668)=0,COUNTA(INDIRECT(CONCATENATE("Area!",LEFT(ADDRESS(1,MATCH(C668,Area!$1:$1,0),4),1),"2:",LEFT(ADDRESS(1,MATCH(C668,Area!$1:$1,0),4),1),"99"))),0)</f>
        <v>0</v>
      </c>
      <c r="BB668">
        <f ca="1">IF(COUNTBLANK(D668)=0,COUNTA(INDIRECT(CONCATENATE("Setup!",LEFT(ADDRESS(1,MATCH(CONCATENATE(C668,":",D668),Setup!$1:$1,0),4),1),"2:",LEFT(ADDRESS(1,MATCH(CONCATENATE(C668,":",D668),Setup!$1:$1,0),4),1),"99"))),0)</f>
        <v>0</v>
      </c>
      <c r="BC668">
        <f ca="1">IF(COUNTBLANK(E668)=0,COUNTA(INDIRECT(CONCATENATE("Comp!",SUBSTITUTE(ADDRESS(1,MATCH(CONCATENATE(C668,":",D668,":",E668),Comp!$1:$1,0),4),"1",""),"2:",SUBSTITUTE(ADDRESS(1,MATCH(CONCATENATE(C668,":",D668,":",E668),Comp!$1:$1,0),4),"1",""),"99"))),0)</f>
        <v>0</v>
      </c>
    </row>
    <row r="669" spans="1:55">
      <c r="A669" s="20" t="s">
        <v>73</v>
      </c>
      <c r="B669" s="21"/>
      <c r="C669" s="20"/>
      <c r="D669" s="22"/>
      <c r="E669" s="22"/>
      <c r="F669" s="21"/>
      <c r="G669" s="23"/>
      <c r="H669" s="24"/>
      <c r="I669" s="22"/>
      <c r="J669" s="22"/>
      <c r="K669" s="22"/>
      <c r="L669" s="21"/>
      <c r="M669" s="20"/>
      <c r="N669" s="20"/>
      <c r="O669" s="23"/>
      <c r="P669" s="21"/>
      <c r="Q669" s="20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1"/>
      <c r="AU669" s="25" t="str">
        <f t="shared" si="20"/>
        <v>1Q42</v>
      </c>
      <c r="AV669" t="str">
        <f t="shared" si="21"/>
        <v>1Q42</v>
      </c>
      <c r="BA669">
        <f ca="1">IF(COUNTBLANK(C669)=0,COUNTA(INDIRECT(CONCATENATE("Area!",LEFT(ADDRESS(1,MATCH(C669,Area!$1:$1,0),4),1),"2:",LEFT(ADDRESS(1,MATCH(C669,Area!$1:$1,0),4),1),"99"))),0)</f>
        <v>0</v>
      </c>
      <c r="BB669">
        <f ca="1">IF(COUNTBLANK(D669)=0,COUNTA(INDIRECT(CONCATENATE("Setup!",LEFT(ADDRESS(1,MATCH(CONCATENATE(C669,":",D669),Setup!$1:$1,0),4),1),"2:",LEFT(ADDRESS(1,MATCH(CONCATENATE(C669,":",D669),Setup!$1:$1,0),4),1),"99"))),0)</f>
        <v>0</v>
      </c>
      <c r="BC669">
        <f ca="1">IF(COUNTBLANK(E669)=0,COUNTA(INDIRECT(CONCATENATE("Comp!",SUBSTITUTE(ADDRESS(1,MATCH(CONCATENATE(C669,":",D669,":",E669),Comp!$1:$1,0),4),"1",""),"2:",SUBSTITUTE(ADDRESS(1,MATCH(CONCATENATE(C669,":",D669,":",E669),Comp!$1:$1,0),4),"1",""),"99"))),0)</f>
        <v>0</v>
      </c>
    </row>
    <row r="670" spans="1:55">
      <c r="A670" s="20" t="s">
        <v>73</v>
      </c>
      <c r="B670" s="21"/>
      <c r="C670" s="20"/>
      <c r="D670" s="22"/>
      <c r="E670" s="22"/>
      <c r="F670" s="21"/>
      <c r="G670" s="23"/>
      <c r="H670" s="24"/>
      <c r="I670" s="22"/>
      <c r="J670" s="22"/>
      <c r="K670" s="22"/>
      <c r="L670" s="21"/>
      <c r="M670" s="20"/>
      <c r="N670" s="20"/>
      <c r="O670" s="23"/>
      <c r="P670" s="21"/>
      <c r="Q670" s="20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1"/>
      <c r="AU670" s="25" t="str">
        <f t="shared" si="20"/>
        <v>1Q42</v>
      </c>
      <c r="AV670" t="str">
        <f t="shared" si="21"/>
        <v>1Q42</v>
      </c>
      <c r="BA670">
        <f ca="1">IF(COUNTBLANK(C670)=0,COUNTA(INDIRECT(CONCATENATE("Area!",LEFT(ADDRESS(1,MATCH(C670,Area!$1:$1,0),4),1),"2:",LEFT(ADDRESS(1,MATCH(C670,Area!$1:$1,0),4),1),"99"))),0)</f>
        <v>0</v>
      </c>
      <c r="BB670">
        <f ca="1">IF(COUNTBLANK(D670)=0,COUNTA(INDIRECT(CONCATENATE("Setup!",LEFT(ADDRESS(1,MATCH(CONCATENATE(C670,":",D670),Setup!$1:$1,0),4),1),"2:",LEFT(ADDRESS(1,MATCH(CONCATENATE(C670,":",D670),Setup!$1:$1,0),4),1),"99"))),0)</f>
        <v>0</v>
      </c>
      <c r="BC670">
        <f ca="1">IF(COUNTBLANK(E670)=0,COUNTA(INDIRECT(CONCATENATE("Comp!",SUBSTITUTE(ADDRESS(1,MATCH(CONCATENATE(C670,":",D670,":",E670),Comp!$1:$1,0),4),"1",""),"2:",SUBSTITUTE(ADDRESS(1,MATCH(CONCATENATE(C670,":",D670,":",E670),Comp!$1:$1,0),4),"1",""),"99"))),0)</f>
        <v>0</v>
      </c>
    </row>
    <row r="671" spans="1:55">
      <c r="A671" s="20" t="s">
        <v>73</v>
      </c>
      <c r="B671" s="21"/>
      <c r="C671" s="20"/>
      <c r="D671" s="22"/>
      <c r="E671" s="22"/>
      <c r="F671" s="21"/>
      <c r="G671" s="23"/>
      <c r="H671" s="24"/>
      <c r="I671" s="22"/>
      <c r="J671" s="22"/>
      <c r="K671" s="22"/>
      <c r="L671" s="21"/>
      <c r="M671" s="20"/>
      <c r="N671" s="20"/>
      <c r="O671" s="23"/>
      <c r="P671" s="21"/>
      <c r="Q671" s="20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1"/>
      <c r="AU671" s="25" t="str">
        <f t="shared" si="20"/>
        <v>1Q42</v>
      </c>
      <c r="AV671" t="str">
        <f t="shared" si="21"/>
        <v>1Q42</v>
      </c>
      <c r="BA671">
        <f ca="1">IF(COUNTBLANK(C671)=0,COUNTA(INDIRECT(CONCATENATE("Area!",LEFT(ADDRESS(1,MATCH(C671,Area!$1:$1,0),4),1),"2:",LEFT(ADDRESS(1,MATCH(C671,Area!$1:$1,0),4),1),"99"))),0)</f>
        <v>0</v>
      </c>
      <c r="BB671">
        <f ca="1">IF(COUNTBLANK(D671)=0,COUNTA(INDIRECT(CONCATENATE("Setup!",LEFT(ADDRESS(1,MATCH(CONCATENATE(C671,":",D671),Setup!$1:$1,0),4),1),"2:",LEFT(ADDRESS(1,MATCH(CONCATENATE(C671,":",D671),Setup!$1:$1,0),4),1),"99"))),0)</f>
        <v>0</v>
      </c>
      <c r="BC671">
        <f ca="1">IF(COUNTBLANK(E671)=0,COUNTA(INDIRECT(CONCATENATE("Comp!",SUBSTITUTE(ADDRESS(1,MATCH(CONCATENATE(C671,":",D671,":",E671),Comp!$1:$1,0),4),"1",""),"2:",SUBSTITUTE(ADDRESS(1,MATCH(CONCATENATE(C671,":",D671,":",E671),Comp!$1:$1,0),4),"1",""),"99"))),0)</f>
        <v>0</v>
      </c>
    </row>
    <row r="672" spans="1:55">
      <c r="A672" s="20" t="s">
        <v>73</v>
      </c>
      <c r="B672" s="21"/>
      <c r="C672" s="20"/>
      <c r="D672" s="22"/>
      <c r="E672" s="22"/>
      <c r="F672" s="21"/>
      <c r="G672" s="23"/>
      <c r="H672" s="24"/>
      <c r="I672" s="22"/>
      <c r="J672" s="22"/>
      <c r="K672" s="22"/>
      <c r="L672" s="21"/>
      <c r="M672" s="20"/>
      <c r="N672" s="20"/>
      <c r="O672" s="23"/>
      <c r="P672" s="21"/>
      <c r="Q672" s="20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1"/>
      <c r="AU672" s="25" t="str">
        <f t="shared" si="20"/>
        <v>1Q42</v>
      </c>
      <c r="AV672" t="str">
        <f t="shared" si="21"/>
        <v>1Q42</v>
      </c>
      <c r="BA672">
        <f ca="1">IF(COUNTBLANK(C672)=0,COUNTA(INDIRECT(CONCATENATE("Area!",LEFT(ADDRESS(1,MATCH(C672,Area!$1:$1,0),4),1),"2:",LEFT(ADDRESS(1,MATCH(C672,Area!$1:$1,0),4),1),"99"))),0)</f>
        <v>0</v>
      </c>
      <c r="BB672">
        <f ca="1">IF(COUNTBLANK(D672)=0,COUNTA(INDIRECT(CONCATENATE("Setup!",LEFT(ADDRESS(1,MATCH(CONCATENATE(C672,":",D672),Setup!$1:$1,0),4),1),"2:",LEFT(ADDRESS(1,MATCH(CONCATENATE(C672,":",D672),Setup!$1:$1,0),4),1),"99"))),0)</f>
        <v>0</v>
      </c>
      <c r="BC672">
        <f ca="1">IF(COUNTBLANK(E672)=0,COUNTA(INDIRECT(CONCATENATE("Comp!",SUBSTITUTE(ADDRESS(1,MATCH(CONCATENATE(C672,":",D672,":",E672),Comp!$1:$1,0),4),"1",""),"2:",SUBSTITUTE(ADDRESS(1,MATCH(CONCATENATE(C672,":",D672,":",E672),Comp!$1:$1,0),4),"1",""),"99"))),0)</f>
        <v>0</v>
      </c>
    </row>
    <row r="673" spans="1:55">
      <c r="A673" s="20" t="s">
        <v>73</v>
      </c>
      <c r="B673" s="21"/>
      <c r="C673" s="20"/>
      <c r="D673" s="22"/>
      <c r="E673" s="22"/>
      <c r="F673" s="21"/>
      <c r="G673" s="23"/>
      <c r="H673" s="24"/>
      <c r="I673" s="22"/>
      <c r="J673" s="22"/>
      <c r="K673" s="22"/>
      <c r="L673" s="21"/>
      <c r="M673" s="20"/>
      <c r="N673" s="20"/>
      <c r="O673" s="23"/>
      <c r="P673" s="21"/>
      <c r="Q673" s="20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1"/>
      <c r="AU673" s="25" t="str">
        <f t="shared" si="20"/>
        <v>1Q42</v>
      </c>
      <c r="AV673" t="str">
        <f t="shared" si="21"/>
        <v>1Q42</v>
      </c>
      <c r="BA673">
        <f ca="1">IF(COUNTBLANK(C673)=0,COUNTA(INDIRECT(CONCATENATE("Area!",LEFT(ADDRESS(1,MATCH(C673,Area!$1:$1,0),4),1),"2:",LEFT(ADDRESS(1,MATCH(C673,Area!$1:$1,0),4),1),"99"))),0)</f>
        <v>0</v>
      </c>
      <c r="BB673">
        <f ca="1">IF(COUNTBLANK(D673)=0,COUNTA(INDIRECT(CONCATENATE("Setup!",LEFT(ADDRESS(1,MATCH(CONCATENATE(C673,":",D673),Setup!$1:$1,0),4),1),"2:",LEFT(ADDRESS(1,MATCH(CONCATENATE(C673,":",D673),Setup!$1:$1,0),4),1),"99"))),0)</f>
        <v>0</v>
      </c>
      <c r="BC673">
        <f ca="1">IF(COUNTBLANK(E673)=0,COUNTA(INDIRECT(CONCATENATE("Comp!",SUBSTITUTE(ADDRESS(1,MATCH(CONCATENATE(C673,":",D673,":",E673),Comp!$1:$1,0),4),"1",""),"2:",SUBSTITUTE(ADDRESS(1,MATCH(CONCATENATE(C673,":",D673,":",E673),Comp!$1:$1,0),4),"1",""),"99"))),0)</f>
        <v>0</v>
      </c>
    </row>
    <row r="674" spans="1:55">
      <c r="A674" s="20" t="s">
        <v>73</v>
      </c>
      <c r="B674" s="21"/>
      <c r="C674" s="20"/>
      <c r="D674" s="22"/>
      <c r="E674" s="22"/>
      <c r="F674" s="21"/>
      <c r="G674" s="23"/>
      <c r="H674" s="24"/>
      <c r="I674" s="22"/>
      <c r="J674" s="22"/>
      <c r="K674" s="22"/>
      <c r="L674" s="21"/>
      <c r="M674" s="20"/>
      <c r="N674" s="20"/>
      <c r="O674" s="23"/>
      <c r="P674" s="21"/>
      <c r="Q674" s="20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1"/>
      <c r="AU674" s="25" t="str">
        <f t="shared" si="20"/>
        <v>1Q42</v>
      </c>
      <c r="AV674" t="str">
        <f t="shared" si="21"/>
        <v>1Q42</v>
      </c>
      <c r="BA674">
        <f ca="1">IF(COUNTBLANK(C674)=0,COUNTA(INDIRECT(CONCATENATE("Area!",LEFT(ADDRESS(1,MATCH(C674,Area!$1:$1,0),4),1),"2:",LEFT(ADDRESS(1,MATCH(C674,Area!$1:$1,0),4),1),"99"))),0)</f>
        <v>0</v>
      </c>
      <c r="BB674">
        <f ca="1">IF(COUNTBLANK(D674)=0,COUNTA(INDIRECT(CONCATENATE("Setup!",LEFT(ADDRESS(1,MATCH(CONCATENATE(C674,":",D674),Setup!$1:$1,0),4),1),"2:",LEFT(ADDRESS(1,MATCH(CONCATENATE(C674,":",D674),Setup!$1:$1,0),4),1),"99"))),0)</f>
        <v>0</v>
      </c>
      <c r="BC674">
        <f ca="1">IF(COUNTBLANK(E674)=0,COUNTA(INDIRECT(CONCATENATE("Comp!",SUBSTITUTE(ADDRESS(1,MATCH(CONCATENATE(C674,":",D674,":",E674),Comp!$1:$1,0),4),"1",""),"2:",SUBSTITUTE(ADDRESS(1,MATCH(CONCATENATE(C674,":",D674,":",E674),Comp!$1:$1,0),4),"1",""),"99"))),0)</f>
        <v>0</v>
      </c>
    </row>
    <row r="675" spans="1:55">
      <c r="A675" s="20" t="s">
        <v>73</v>
      </c>
      <c r="B675" s="21"/>
      <c r="C675" s="20"/>
      <c r="D675" s="22"/>
      <c r="E675" s="22"/>
      <c r="F675" s="21"/>
      <c r="G675" s="23"/>
      <c r="H675" s="24"/>
      <c r="I675" s="22"/>
      <c r="J675" s="22"/>
      <c r="K675" s="22"/>
      <c r="L675" s="21"/>
      <c r="M675" s="20"/>
      <c r="N675" s="20"/>
      <c r="O675" s="23"/>
      <c r="P675" s="21"/>
      <c r="Q675" s="20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1"/>
      <c r="AU675" s="25" t="str">
        <f t="shared" si="20"/>
        <v>1Q42</v>
      </c>
      <c r="AV675" t="str">
        <f t="shared" si="21"/>
        <v>1Q42</v>
      </c>
      <c r="BA675">
        <f ca="1">IF(COUNTBLANK(C675)=0,COUNTA(INDIRECT(CONCATENATE("Area!",LEFT(ADDRESS(1,MATCH(C675,Area!$1:$1,0),4),1),"2:",LEFT(ADDRESS(1,MATCH(C675,Area!$1:$1,0),4),1),"99"))),0)</f>
        <v>0</v>
      </c>
      <c r="BB675">
        <f ca="1">IF(COUNTBLANK(D675)=0,COUNTA(INDIRECT(CONCATENATE("Setup!",LEFT(ADDRESS(1,MATCH(CONCATENATE(C675,":",D675),Setup!$1:$1,0),4),1),"2:",LEFT(ADDRESS(1,MATCH(CONCATENATE(C675,":",D675),Setup!$1:$1,0),4),1),"99"))),0)</f>
        <v>0</v>
      </c>
      <c r="BC675">
        <f ca="1">IF(COUNTBLANK(E675)=0,COUNTA(INDIRECT(CONCATENATE("Comp!",SUBSTITUTE(ADDRESS(1,MATCH(CONCATENATE(C675,":",D675,":",E675),Comp!$1:$1,0),4),"1",""),"2:",SUBSTITUTE(ADDRESS(1,MATCH(CONCATENATE(C675,":",D675,":",E675),Comp!$1:$1,0),4),"1",""),"99"))),0)</f>
        <v>0</v>
      </c>
    </row>
    <row r="676" spans="1:55">
      <c r="A676" s="20" t="s">
        <v>73</v>
      </c>
      <c r="B676" s="21"/>
      <c r="C676" s="20"/>
      <c r="D676" s="22"/>
      <c r="E676" s="22"/>
      <c r="F676" s="21"/>
      <c r="G676" s="23"/>
      <c r="H676" s="24"/>
      <c r="I676" s="22"/>
      <c r="J676" s="22"/>
      <c r="K676" s="22"/>
      <c r="L676" s="21"/>
      <c r="M676" s="20"/>
      <c r="N676" s="20"/>
      <c r="O676" s="23"/>
      <c r="P676" s="21"/>
      <c r="Q676" s="20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1"/>
      <c r="AU676" s="25" t="str">
        <f t="shared" si="20"/>
        <v>1Q42</v>
      </c>
      <c r="AV676" t="str">
        <f t="shared" si="21"/>
        <v>1Q42</v>
      </c>
      <c r="BA676">
        <f ca="1">IF(COUNTBLANK(C676)=0,COUNTA(INDIRECT(CONCATENATE("Area!",LEFT(ADDRESS(1,MATCH(C676,Area!$1:$1,0),4),1),"2:",LEFT(ADDRESS(1,MATCH(C676,Area!$1:$1,0),4),1),"99"))),0)</f>
        <v>0</v>
      </c>
      <c r="BB676">
        <f ca="1">IF(COUNTBLANK(D676)=0,COUNTA(INDIRECT(CONCATENATE("Setup!",LEFT(ADDRESS(1,MATCH(CONCATENATE(C676,":",D676),Setup!$1:$1,0),4),1),"2:",LEFT(ADDRESS(1,MATCH(CONCATENATE(C676,":",D676),Setup!$1:$1,0),4),1),"99"))),0)</f>
        <v>0</v>
      </c>
      <c r="BC676">
        <f ca="1">IF(COUNTBLANK(E676)=0,COUNTA(INDIRECT(CONCATENATE("Comp!",SUBSTITUTE(ADDRESS(1,MATCH(CONCATENATE(C676,":",D676,":",E676),Comp!$1:$1,0),4),"1",""),"2:",SUBSTITUTE(ADDRESS(1,MATCH(CONCATENATE(C676,":",D676,":",E676),Comp!$1:$1,0),4),"1",""),"99"))),0)</f>
        <v>0</v>
      </c>
    </row>
    <row r="677" spans="1:55">
      <c r="A677" s="20" t="s">
        <v>73</v>
      </c>
      <c r="B677" s="21"/>
      <c r="C677" s="20"/>
      <c r="D677" s="22"/>
      <c r="E677" s="22"/>
      <c r="F677" s="21"/>
      <c r="G677" s="23"/>
      <c r="H677" s="24"/>
      <c r="I677" s="22"/>
      <c r="J677" s="22"/>
      <c r="K677" s="22"/>
      <c r="L677" s="21"/>
      <c r="M677" s="20"/>
      <c r="N677" s="20"/>
      <c r="O677" s="23"/>
      <c r="P677" s="21"/>
      <c r="Q677" s="20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1"/>
      <c r="AU677" s="25" t="str">
        <f t="shared" si="20"/>
        <v>1Q42</v>
      </c>
      <c r="AV677" t="str">
        <f t="shared" si="21"/>
        <v>1Q42</v>
      </c>
      <c r="BA677">
        <f ca="1">IF(COUNTBLANK(C677)=0,COUNTA(INDIRECT(CONCATENATE("Area!",LEFT(ADDRESS(1,MATCH(C677,Area!$1:$1,0),4),1),"2:",LEFT(ADDRESS(1,MATCH(C677,Area!$1:$1,0),4),1),"99"))),0)</f>
        <v>0</v>
      </c>
      <c r="BB677">
        <f ca="1">IF(COUNTBLANK(D677)=0,COUNTA(INDIRECT(CONCATENATE("Setup!",LEFT(ADDRESS(1,MATCH(CONCATENATE(C677,":",D677),Setup!$1:$1,0),4),1),"2:",LEFT(ADDRESS(1,MATCH(CONCATENATE(C677,":",D677),Setup!$1:$1,0),4),1),"99"))),0)</f>
        <v>0</v>
      </c>
      <c r="BC677">
        <f ca="1">IF(COUNTBLANK(E677)=0,COUNTA(INDIRECT(CONCATENATE("Comp!",SUBSTITUTE(ADDRESS(1,MATCH(CONCATENATE(C677,":",D677,":",E677),Comp!$1:$1,0),4),"1",""),"2:",SUBSTITUTE(ADDRESS(1,MATCH(CONCATENATE(C677,":",D677,":",E677),Comp!$1:$1,0),4),"1",""),"99"))),0)</f>
        <v>0</v>
      </c>
    </row>
    <row r="678" spans="1:55">
      <c r="A678" s="20" t="s">
        <v>73</v>
      </c>
      <c r="B678" s="21"/>
      <c r="C678" s="20"/>
      <c r="D678" s="22"/>
      <c r="E678" s="22"/>
      <c r="F678" s="21"/>
      <c r="G678" s="23"/>
      <c r="H678" s="24"/>
      <c r="I678" s="22"/>
      <c r="J678" s="22"/>
      <c r="K678" s="22"/>
      <c r="L678" s="21"/>
      <c r="M678" s="20"/>
      <c r="N678" s="20"/>
      <c r="O678" s="23"/>
      <c r="P678" s="21"/>
      <c r="Q678" s="20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1"/>
      <c r="AU678" s="25" t="str">
        <f t="shared" si="20"/>
        <v>1Q42</v>
      </c>
      <c r="AV678" t="str">
        <f t="shared" si="21"/>
        <v>1Q42</v>
      </c>
      <c r="BA678">
        <f ca="1">IF(COUNTBLANK(C678)=0,COUNTA(INDIRECT(CONCATENATE("Area!",LEFT(ADDRESS(1,MATCH(C678,Area!$1:$1,0),4),1),"2:",LEFT(ADDRESS(1,MATCH(C678,Area!$1:$1,0),4),1),"99"))),0)</f>
        <v>0</v>
      </c>
      <c r="BB678">
        <f ca="1">IF(COUNTBLANK(D678)=0,COUNTA(INDIRECT(CONCATENATE("Setup!",LEFT(ADDRESS(1,MATCH(CONCATENATE(C678,":",D678),Setup!$1:$1,0),4),1),"2:",LEFT(ADDRESS(1,MATCH(CONCATENATE(C678,":",D678),Setup!$1:$1,0),4),1),"99"))),0)</f>
        <v>0</v>
      </c>
      <c r="BC678">
        <f ca="1">IF(COUNTBLANK(E678)=0,COUNTA(INDIRECT(CONCATENATE("Comp!",SUBSTITUTE(ADDRESS(1,MATCH(CONCATENATE(C678,":",D678,":",E678),Comp!$1:$1,0),4),"1",""),"2:",SUBSTITUTE(ADDRESS(1,MATCH(CONCATENATE(C678,":",D678,":",E678),Comp!$1:$1,0),4),"1",""),"99"))),0)</f>
        <v>0</v>
      </c>
    </row>
    <row r="679" spans="1:55">
      <c r="A679" s="20" t="s">
        <v>73</v>
      </c>
      <c r="B679" s="21"/>
      <c r="C679" s="20"/>
      <c r="D679" s="22"/>
      <c r="E679" s="22"/>
      <c r="F679" s="21"/>
      <c r="G679" s="23"/>
      <c r="H679" s="24"/>
      <c r="I679" s="22"/>
      <c r="J679" s="22"/>
      <c r="K679" s="22"/>
      <c r="L679" s="21"/>
      <c r="M679" s="20"/>
      <c r="N679" s="20"/>
      <c r="O679" s="23"/>
      <c r="P679" s="21"/>
      <c r="Q679" s="20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1"/>
      <c r="AU679" s="25" t="str">
        <f t="shared" si="20"/>
        <v>1Q42</v>
      </c>
      <c r="AV679" t="str">
        <f t="shared" si="21"/>
        <v>1Q42</v>
      </c>
      <c r="BA679">
        <f ca="1">IF(COUNTBLANK(C679)=0,COUNTA(INDIRECT(CONCATENATE("Area!",LEFT(ADDRESS(1,MATCH(C679,Area!$1:$1,0),4),1),"2:",LEFT(ADDRESS(1,MATCH(C679,Area!$1:$1,0),4),1),"99"))),0)</f>
        <v>0</v>
      </c>
      <c r="BB679">
        <f ca="1">IF(COUNTBLANK(D679)=0,COUNTA(INDIRECT(CONCATENATE("Setup!",LEFT(ADDRESS(1,MATCH(CONCATENATE(C679,":",D679),Setup!$1:$1,0),4),1),"2:",LEFT(ADDRESS(1,MATCH(CONCATENATE(C679,":",D679),Setup!$1:$1,0),4),1),"99"))),0)</f>
        <v>0</v>
      </c>
      <c r="BC679">
        <f ca="1">IF(COUNTBLANK(E679)=0,COUNTA(INDIRECT(CONCATENATE("Comp!",SUBSTITUTE(ADDRESS(1,MATCH(CONCATENATE(C679,":",D679,":",E679),Comp!$1:$1,0),4),"1",""),"2:",SUBSTITUTE(ADDRESS(1,MATCH(CONCATENATE(C679,":",D679,":",E679),Comp!$1:$1,0),4),"1",""),"99"))),0)</f>
        <v>0</v>
      </c>
    </row>
    <row r="680" spans="1:55">
      <c r="A680" s="20" t="s">
        <v>73</v>
      </c>
      <c r="B680" s="21"/>
      <c r="C680" s="20"/>
      <c r="D680" s="22"/>
      <c r="E680" s="22"/>
      <c r="F680" s="21"/>
      <c r="G680" s="23"/>
      <c r="H680" s="24"/>
      <c r="I680" s="22"/>
      <c r="J680" s="22"/>
      <c r="K680" s="22"/>
      <c r="L680" s="21"/>
      <c r="M680" s="20"/>
      <c r="N680" s="20"/>
      <c r="O680" s="23"/>
      <c r="P680" s="21"/>
      <c r="Q680" s="20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1"/>
      <c r="AU680" s="25" t="str">
        <f t="shared" si="20"/>
        <v>1Q42</v>
      </c>
      <c r="AV680" t="str">
        <f t="shared" si="21"/>
        <v>1Q42</v>
      </c>
      <c r="BA680">
        <f ca="1">IF(COUNTBLANK(C680)=0,COUNTA(INDIRECT(CONCATENATE("Area!",LEFT(ADDRESS(1,MATCH(C680,Area!$1:$1,0),4),1),"2:",LEFT(ADDRESS(1,MATCH(C680,Area!$1:$1,0),4),1),"99"))),0)</f>
        <v>0</v>
      </c>
      <c r="BB680">
        <f ca="1">IF(COUNTBLANK(D680)=0,COUNTA(INDIRECT(CONCATENATE("Setup!",LEFT(ADDRESS(1,MATCH(CONCATENATE(C680,":",D680),Setup!$1:$1,0),4),1),"2:",LEFT(ADDRESS(1,MATCH(CONCATENATE(C680,":",D680),Setup!$1:$1,0),4),1),"99"))),0)</f>
        <v>0</v>
      </c>
      <c r="BC680">
        <f ca="1">IF(COUNTBLANK(E680)=0,COUNTA(INDIRECT(CONCATENATE("Comp!",SUBSTITUTE(ADDRESS(1,MATCH(CONCATENATE(C680,":",D680,":",E680),Comp!$1:$1,0),4),"1",""),"2:",SUBSTITUTE(ADDRESS(1,MATCH(CONCATENATE(C680,":",D680,":",E680),Comp!$1:$1,0),4),"1",""),"99"))),0)</f>
        <v>0</v>
      </c>
    </row>
    <row r="681" spans="1:55">
      <c r="A681" s="20" t="s">
        <v>73</v>
      </c>
      <c r="B681" s="21"/>
      <c r="C681" s="20"/>
      <c r="D681" s="22"/>
      <c r="E681" s="22"/>
      <c r="F681" s="21"/>
      <c r="G681" s="23"/>
      <c r="H681" s="24"/>
      <c r="I681" s="22"/>
      <c r="J681" s="22"/>
      <c r="K681" s="22"/>
      <c r="L681" s="21"/>
      <c r="M681" s="20"/>
      <c r="N681" s="20"/>
      <c r="O681" s="23"/>
      <c r="P681" s="21"/>
      <c r="Q681" s="20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1"/>
      <c r="AU681" s="25" t="str">
        <f t="shared" si="20"/>
        <v>1Q42</v>
      </c>
      <c r="AV681" t="str">
        <f t="shared" si="21"/>
        <v>1Q42</v>
      </c>
      <c r="BA681">
        <f ca="1">IF(COUNTBLANK(C681)=0,COUNTA(INDIRECT(CONCATENATE("Area!",LEFT(ADDRESS(1,MATCH(C681,Area!$1:$1,0),4),1),"2:",LEFT(ADDRESS(1,MATCH(C681,Area!$1:$1,0),4),1),"99"))),0)</f>
        <v>0</v>
      </c>
      <c r="BB681">
        <f ca="1">IF(COUNTBLANK(D681)=0,COUNTA(INDIRECT(CONCATENATE("Setup!",LEFT(ADDRESS(1,MATCH(CONCATENATE(C681,":",D681),Setup!$1:$1,0),4),1),"2:",LEFT(ADDRESS(1,MATCH(CONCATENATE(C681,":",D681),Setup!$1:$1,0),4),1),"99"))),0)</f>
        <v>0</v>
      </c>
      <c r="BC681">
        <f ca="1">IF(COUNTBLANK(E681)=0,COUNTA(INDIRECT(CONCATENATE("Comp!",SUBSTITUTE(ADDRESS(1,MATCH(CONCATENATE(C681,":",D681,":",E681),Comp!$1:$1,0),4),"1",""),"2:",SUBSTITUTE(ADDRESS(1,MATCH(CONCATENATE(C681,":",D681,":",E681),Comp!$1:$1,0),4),"1",""),"99"))),0)</f>
        <v>0</v>
      </c>
    </row>
    <row r="682" spans="1:55">
      <c r="A682" s="20" t="s">
        <v>73</v>
      </c>
      <c r="B682" s="21"/>
      <c r="C682" s="20"/>
      <c r="D682" s="22"/>
      <c r="E682" s="22"/>
      <c r="F682" s="21"/>
      <c r="G682" s="23"/>
      <c r="H682" s="24"/>
      <c r="I682" s="22"/>
      <c r="J682" s="22"/>
      <c r="K682" s="22"/>
      <c r="L682" s="21"/>
      <c r="M682" s="20"/>
      <c r="N682" s="20"/>
      <c r="O682" s="23"/>
      <c r="P682" s="21"/>
      <c r="Q682" s="20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1"/>
      <c r="AU682" s="25" t="str">
        <f t="shared" si="20"/>
        <v>1Q42</v>
      </c>
      <c r="AV682" t="str">
        <f t="shared" si="21"/>
        <v>1Q42</v>
      </c>
      <c r="BA682">
        <f ca="1">IF(COUNTBLANK(C682)=0,COUNTA(INDIRECT(CONCATENATE("Area!",LEFT(ADDRESS(1,MATCH(C682,Area!$1:$1,0),4),1),"2:",LEFT(ADDRESS(1,MATCH(C682,Area!$1:$1,0),4),1),"99"))),0)</f>
        <v>0</v>
      </c>
      <c r="BB682">
        <f ca="1">IF(COUNTBLANK(D682)=0,COUNTA(INDIRECT(CONCATENATE("Setup!",LEFT(ADDRESS(1,MATCH(CONCATENATE(C682,":",D682),Setup!$1:$1,0),4),1),"2:",LEFT(ADDRESS(1,MATCH(CONCATENATE(C682,":",D682),Setup!$1:$1,0),4),1),"99"))),0)</f>
        <v>0</v>
      </c>
      <c r="BC682">
        <f ca="1">IF(COUNTBLANK(E682)=0,COUNTA(INDIRECT(CONCATENATE("Comp!",SUBSTITUTE(ADDRESS(1,MATCH(CONCATENATE(C682,":",D682,":",E682),Comp!$1:$1,0),4),"1",""),"2:",SUBSTITUTE(ADDRESS(1,MATCH(CONCATENATE(C682,":",D682,":",E682),Comp!$1:$1,0),4),"1",""),"99"))),0)</f>
        <v>0</v>
      </c>
    </row>
    <row r="683" spans="1:55">
      <c r="A683" s="20" t="s">
        <v>73</v>
      </c>
      <c r="B683" s="21"/>
      <c r="C683" s="20"/>
      <c r="D683" s="22"/>
      <c r="E683" s="22"/>
      <c r="F683" s="21"/>
      <c r="G683" s="23"/>
      <c r="H683" s="24"/>
      <c r="I683" s="22"/>
      <c r="J683" s="22"/>
      <c r="K683" s="22"/>
      <c r="L683" s="21"/>
      <c r="M683" s="20"/>
      <c r="N683" s="20"/>
      <c r="O683" s="23"/>
      <c r="P683" s="21"/>
      <c r="Q683" s="20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1"/>
      <c r="AU683" s="25" t="str">
        <f t="shared" si="20"/>
        <v>1Q42</v>
      </c>
      <c r="AV683" t="str">
        <f t="shared" si="21"/>
        <v>1Q42</v>
      </c>
      <c r="BA683">
        <f ca="1">IF(COUNTBLANK(C683)=0,COUNTA(INDIRECT(CONCATENATE("Area!",LEFT(ADDRESS(1,MATCH(C683,Area!$1:$1,0),4),1),"2:",LEFT(ADDRESS(1,MATCH(C683,Area!$1:$1,0),4),1),"99"))),0)</f>
        <v>0</v>
      </c>
      <c r="BB683">
        <f ca="1">IF(COUNTBLANK(D683)=0,COUNTA(INDIRECT(CONCATENATE("Setup!",LEFT(ADDRESS(1,MATCH(CONCATENATE(C683,":",D683),Setup!$1:$1,0),4),1),"2:",LEFT(ADDRESS(1,MATCH(CONCATENATE(C683,":",D683),Setup!$1:$1,0),4),1),"99"))),0)</f>
        <v>0</v>
      </c>
      <c r="BC683">
        <f ca="1">IF(COUNTBLANK(E683)=0,COUNTA(INDIRECT(CONCATENATE("Comp!",SUBSTITUTE(ADDRESS(1,MATCH(CONCATENATE(C683,":",D683,":",E683),Comp!$1:$1,0),4),"1",""),"2:",SUBSTITUTE(ADDRESS(1,MATCH(CONCATENATE(C683,":",D683,":",E683),Comp!$1:$1,0),4),"1",""),"99"))),0)</f>
        <v>0</v>
      </c>
    </row>
    <row r="684" spans="1:55">
      <c r="A684" s="20" t="s">
        <v>73</v>
      </c>
      <c r="B684" s="21"/>
      <c r="C684" s="20"/>
      <c r="D684" s="22"/>
      <c r="E684" s="22"/>
      <c r="F684" s="21"/>
      <c r="G684" s="23"/>
      <c r="H684" s="24"/>
      <c r="I684" s="22"/>
      <c r="J684" s="22"/>
      <c r="K684" s="22"/>
      <c r="L684" s="21"/>
      <c r="M684" s="20"/>
      <c r="N684" s="20"/>
      <c r="O684" s="23"/>
      <c r="P684" s="21"/>
      <c r="Q684" s="20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1"/>
      <c r="AU684" s="25" t="str">
        <f t="shared" si="20"/>
        <v>1Q42</v>
      </c>
      <c r="AV684" t="str">
        <f t="shared" si="21"/>
        <v>1Q42</v>
      </c>
      <c r="BA684">
        <f ca="1">IF(COUNTBLANK(C684)=0,COUNTA(INDIRECT(CONCATENATE("Area!",LEFT(ADDRESS(1,MATCH(C684,Area!$1:$1,0),4),1),"2:",LEFT(ADDRESS(1,MATCH(C684,Area!$1:$1,0),4),1),"99"))),0)</f>
        <v>0</v>
      </c>
      <c r="BB684">
        <f ca="1">IF(COUNTBLANK(D684)=0,COUNTA(INDIRECT(CONCATENATE("Setup!",LEFT(ADDRESS(1,MATCH(CONCATENATE(C684,":",D684),Setup!$1:$1,0),4),1),"2:",LEFT(ADDRESS(1,MATCH(CONCATENATE(C684,":",D684),Setup!$1:$1,0),4),1),"99"))),0)</f>
        <v>0</v>
      </c>
      <c r="BC684">
        <f ca="1">IF(COUNTBLANK(E684)=0,COUNTA(INDIRECT(CONCATENATE("Comp!",SUBSTITUTE(ADDRESS(1,MATCH(CONCATENATE(C684,":",D684,":",E684),Comp!$1:$1,0),4),"1",""),"2:",SUBSTITUTE(ADDRESS(1,MATCH(CONCATENATE(C684,":",D684,":",E684),Comp!$1:$1,0),4),"1",""),"99"))),0)</f>
        <v>0</v>
      </c>
    </row>
    <row r="685" spans="1:55">
      <c r="A685" s="20" t="s">
        <v>73</v>
      </c>
      <c r="B685" s="21"/>
      <c r="C685" s="20"/>
      <c r="D685" s="22"/>
      <c r="E685" s="22"/>
      <c r="F685" s="21"/>
      <c r="G685" s="23"/>
      <c r="H685" s="24"/>
      <c r="I685" s="22"/>
      <c r="J685" s="22"/>
      <c r="K685" s="22"/>
      <c r="L685" s="21"/>
      <c r="M685" s="20"/>
      <c r="N685" s="20"/>
      <c r="O685" s="23"/>
      <c r="P685" s="21"/>
      <c r="Q685" s="20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1"/>
      <c r="AU685" s="25" t="str">
        <f t="shared" si="20"/>
        <v>1Q42</v>
      </c>
      <c r="AV685" t="str">
        <f t="shared" si="21"/>
        <v>1Q42</v>
      </c>
      <c r="BA685">
        <f ca="1">IF(COUNTBLANK(C685)=0,COUNTA(INDIRECT(CONCATENATE("Area!",LEFT(ADDRESS(1,MATCH(C685,Area!$1:$1,0),4),1),"2:",LEFT(ADDRESS(1,MATCH(C685,Area!$1:$1,0),4),1),"99"))),0)</f>
        <v>0</v>
      </c>
      <c r="BB685">
        <f ca="1">IF(COUNTBLANK(D685)=0,COUNTA(INDIRECT(CONCATENATE("Setup!",LEFT(ADDRESS(1,MATCH(CONCATENATE(C685,":",D685),Setup!$1:$1,0),4),1),"2:",LEFT(ADDRESS(1,MATCH(CONCATENATE(C685,":",D685),Setup!$1:$1,0),4),1),"99"))),0)</f>
        <v>0</v>
      </c>
      <c r="BC685">
        <f ca="1">IF(COUNTBLANK(E685)=0,COUNTA(INDIRECT(CONCATENATE("Comp!",SUBSTITUTE(ADDRESS(1,MATCH(CONCATENATE(C685,":",D685,":",E685),Comp!$1:$1,0),4),"1",""),"2:",SUBSTITUTE(ADDRESS(1,MATCH(CONCATENATE(C685,":",D685,":",E685),Comp!$1:$1,0),4),"1",""),"99"))),0)</f>
        <v>0</v>
      </c>
    </row>
    <row r="686" spans="1:55">
      <c r="A686" s="20" t="s">
        <v>73</v>
      </c>
      <c r="B686" s="21"/>
      <c r="C686" s="20"/>
      <c r="D686" s="22"/>
      <c r="E686" s="22"/>
      <c r="F686" s="21"/>
      <c r="G686" s="23"/>
      <c r="H686" s="24"/>
      <c r="I686" s="22"/>
      <c r="J686" s="22"/>
      <c r="K686" s="22"/>
      <c r="L686" s="21"/>
      <c r="M686" s="20"/>
      <c r="N686" s="20"/>
      <c r="O686" s="23"/>
      <c r="P686" s="21"/>
      <c r="Q686" s="20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1"/>
      <c r="AU686" s="25" t="str">
        <f t="shared" si="20"/>
        <v>1Q42</v>
      </c>
      <c r="AV686" t="str">
        <f t="shared" si="21"/>
        <v>1Q42</v>
      </c>
      <c r="BA686">
        <f ca="1">IF(COUNTBLANK(C686)=0,COUNTA(INDIRECT(CONCATENATE("Area!",LEFT(ADDRESS(1,MATCH(C686,Area!$1:$1,0),4),1),"2:",LEFT(ADDRESS(1,MATCH(C686,Area!$1:$1,0),4),1),"99"))),0)</f>
        <v>0</v>
      </c>
      <c r="BB686">
        <f ca="1">IF(COUNTBLANK(D686)=0,COUNTA(INDIRECT(CONCATENATE("Setup!",LEFT(ADDRESS(1,MATCH(CONCATENATE(C686,":",D686),Setup!$1:$1,0),4),1),"2:",LEFT(ADDRESS(1,MATCH(CONCATENATE(C686,":",D686),Setup!$1:$1,0),4),1),"99"))),0)</f>
        <v>0</v>
      </c>
      <c r="BC686">
        <f ca="1">IF(COUNTBLANK(E686)=0,COUNTA(INDIRECT(CONCATENATE("Comp!",SUBSTITUTE(ADDRESS(1,MATCH(CONCATENATE(C686,":",D686,":",E686),Comp!$1:$1,0),4),"1",""),"2:",SUBSTITUTE(ADDRESS(1,MATCH(CONCATENATE(C686,":",D686,":",E686),Comp!$1:$1,0),4),"1",""),"99"))),0)</f>
        <v>0</v>
      </c>
    </row>
    <row r="687" spans="1:55">
      <c r="A687" s="20" t="s">
        <v>73</v>
      </c>
      <c r="B687" s="21"/>
      <c r="C687" s="20"/>
      <c r="D687" s="22"/>
      <c r="E687" s="22"/>
      <c r="F687" s="21"/>
      <c r="G687" s="23"/>
      <c r="H687" s="24"/>
      <c r="I687" s="22"/>
      <c r="J687" s="22"/>
      <c r="K687" s="22"/>
      <c r="L687" s="21"/>
      <c r="M687" s="20"/>
      <c r="N687" s="20"/>
      <c r="O687" s="23"/>
      <c r="P687" s="21"/>
      <c r="Q687" s="20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1"/>
      <c r="AU687" s="25" t="str">
        <f t="shared" si="20"/>
        <v>1Q42</v>
      </c>
      <c r="AV687" t="str">
        <f t="shared" si="21"/>
        <v>1Q42</v>
      </c>
      <c r="BA687">
        <f ca="1">IF(COUNTBLANK(C687)=0,COUNTA(INDIRECT(CONCATENATE("Area!",LEFT(ADDRESS(1,MATCH(C687,Area!$1:$1,0),4),1),"2:",LEFT(ADDRESS(1,MATCH(C687,Area!$1:$1,0),4),1),"99"))),0)</f>
        <v>0</v>
      </c>
      <c r="BB687">
        <f ca="1">IF(COUNTBLANK(D687)=0,COUNTA(INDIRECT(CONCATENATE("Setup!",LEFT(ADDRESS(1,MATCH(CONCATENATE(C687,":",D687),Setup!$1:$1,0),4),1),"2:",LEFT(ADDRESS(1,MATCH(CONCATENATE(C687,":",D687),Setup!$1:$1,0),4),1),"99"))),0)</f>
        <v>0</v>
      </c>
      <c r="BC687">
        <f ca="1">IF(COUNTBLANK(E687)=0,COUNTA(INDIRECT(CONCATENATE("Comp!",SUBSTITUTE(ADDRESS(1,MATCH(CONCATENATE(C687,":",D687,":",E687),Comp!$1:$1,0),4),"1",""),"2:",SUBSTITUTE(ADDRESS(1,MATCH(CONCATENATE(C687,":",D687,":",E687),Comp!$1:$1,0),4),"1",""),"99"))),0)</f>
        <v>0</v>
      </c>
    </row>
    <row r="688" spans="1:55">
      <c r="A688" s="20" t="s">
        <v>73</v>
      </c>
      <c r="B688" s="21"/>
      <c r="C688" s="20"/>
      <c r="D688" s="22"/>
      <c r="E688" s="22"/>
      <c r="F688" s="21"/>
      <c r="G688" s="23"/>
      <c r="H688" s="24"/>
      <c r="I688" s="22"/>
      <c r="J688" s="22"/>
      <c r="K688" s="22"/>
      <c r="L688" s="21"/>
      <c r="M688" s="20"/>
      <c r="N688" s="20"/>
      <c r="O688" s="23"/>
      <c r="P688" s="21"/>
      <c r="Q688" s="20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1"/>
      <c r="AU688" s="25" t="str">
        <f t="shared" si="20"/>
        <v>1Q42</v>
      </c>
      <c r="AV688" t="str">
        <f t="shared" si="21"/>
        <v>1Q42</v>
      </c>
      <c r="BA688">
        <f ca="1">IF(COUNTBLANK(C688)=0,COUNTA(INDIRECT(CONCATENATE("Area!",LEFT(ADDRESS(1,MATCH(C688,Area!$1:$1,0),4),1),"2:",LEFT(ADDRESS(1,MATCH(C688,Area!$1:$1,0),4),1),"99"))),0)</f>
        <v>0</v>
      </c>
      <c r="BB688">
        <f ca="1">IF(COUNTBLANK(D688)=0,COUNTA(INDIRECT(CONCATENATE("Setup!",LEFT(ADDRESS(1,MATCH(CONCATENATE(C688,":",D688),Setup!$1:$1,0),4),1),"2:",LEFT(ADDRESS(1,MATCH(CONCATENATE(C688,":",D688),Setup!$1:$1,0),4),1),"99"))),0)</f>
        <v>0</v>
      </c>
      <c r="BC688">
        <f ca="1">IF(COUNTBLANK(E688)=0,COUNTA(INDIRECT(CONCATENATE("Comp!",SUBSTITUTE(ADDRESS(1,MATCH(CONCATENATE(C688,":",D688,":",E688),Comp!$1:$1,0),4),"1",""),"2:",SUBSTITUTE(ADDRESS(1,MATCH(CONCATENATE(C688,":",D688,":",E688),Comp!$1:$1,0),4),"1",""),"99"))),0)</f>
        <v>0</v>
      </c>
    </row>
    <row r="689" spans="1:55">
      <c r="A689" s="20" t="s">
        <v>73</v>
      </c>
      <c r="B689" s="21"/>
      <c r="C689" s="20"/>
      <c r="D689" s="22"/>
      <c r="E689" s="22"/>
      <c r="F689" s="21"/>
      <c r="G689" s="23"/>
      <c r="H689" s="24"/>
      <c r="I689" s="22"/>
      <c r="J689" s="22"/>
      <c r="K689" s="22"/>
      <c r="L689" s="21"/>
      <c r="M689" s="20"/>
      <c r="N689" s="20"/>
      <c r="O689" s="23"/>
      <c r="P689" s="21"/>
      <c r="Q689" s="20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1"/>
      <c r="AU689" s="25" t="str">
        <f t="shared" si="20"/>
        <v>1Q42</v>
      </c>
      <c r="AV689" t="str">
        <f t="shared" si="21"/>
        <v>1Q42</v>
      </c>
      <c r="BA689">
        <f ca="1">IF(COUNTBLANK(C689)=0,COUNTA(INDIRECT(CONCATENATE("Area!",LEFT(ADDRESS(1,MATCH(C689,Area!$1:$1,0),4),1),"2:",LEFT(ADDRESS(1,MATCH(C689,Area!$1:$1,0),4),1),"99"))),0)</f>
        <v>0</v>
      </c>
      <c r="BB689">
        <f ca="1">IF(COUNTBLANK(D689)=0,COUNTA(INDIRECT(CONCATENATE("Setup!",LEFT(ADDRESS(1,MATCH(CONCATENATE(C689,":",D689),Setup!$1:$1,0),4),1),"2:",LEFT(ADDRESS(1,MATCH(CONCATENATE(C689,":",D689),Setup!$1:$1,0),4),1),"99"))),0)</f>
        <v>0</v>
      </c>
      <c r="BC689">
        <f ca="1">IF(COUNTBLANK(E689)=0,COUNTA(INDIRECT(CONCATENATE("Comp!",SUBSTITUTE(ADDRESS(1,MATCH(CONCATENATE(C689,":",D689,":",E689),Comp!$1:$1,0),4),"1",""),"2:",SUBSTITUTE(ADDRESS(1,MATCH(CONCATENATE(C689,":",D689,":",E689),Comp!$1:$1,0),4),"1",""),"99"))),0)</f>
        <v>0</v>
      </c>
    </row>
    <row r="690" spans="1:55">
      <c r="A690" s="20" t="s">
        <v>73</v>
      </c>
      <c r="B690" s="21"/>
      <c r="C690" s="20"/>
      <c r="D690" s="22"/>
      <c r="E690" s="22"/>
      <c r="F690" s="21"/>
      <c r="G690" s="23"/>
      <c r="H690" s="24"/>
      <c r="I690" s="22"/>
      <c r="J690" s="22"/>
      <c r="K690" s="22"/>
      <c r="L690" s="21"/>
      <c r="M690" s="20"/>
      <c r="N690" s="20"/>
      <c r="O690" s="23"/>
      <c r="P690" s="21"/>
      <c r="Q690" s="20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1"/>
      <c r="AU690" s="25" t="str">
        <f t="shared" si="20"/>
        <v>1Q42</v>
      </c>
      <c r="AV690" t="str">
        <f t="shared" si="21"/>
        <v>1Q42</v>
      </c>
      <c r="BA690">
        <f ca="1">IF(COUNTBLANK(C690)=0,COUNTA(INDIRECT(CONCATENATE("Area!",LEFT(ADDRESS(1,MATCH(C690,Area!$1:$1,0),4),1),"2:",LEFT(ADDRESS(1,MATCH(C690,Area!$1:$1,0),4),1),"99"))),0)</f>
        <v>0</v>
      </c>
      <c r="BB690">
        <f ca="1">IF(COUNTBLANK(D690)=0,COUNTA(INDIRECT(CONCATENATE("Setup!",LEFT(ADDRESS(1,MATCH(CONCATENATE(C690,":",D690),Setup!$1:$1,0),4),1),"2:",LEFT(ADDRESS(1,MATCH(CONCATENATE(C690,":",D690),Setup!$1:$1,0),4),1),"99"))),0)</f>
        <v>0</v>
      </c>
      <c r="BC690">
        <f ca="1">IF(COUNTBLANK(E690)=0,COUNTA(INDIRECT(CONCATENATE("Comp!",SUBSTITUTE(ADDRESS(1,MATCH(CONCATENATE(C690,":",D690,":",E690),Comp!$1:$1,0),4),"1",""),"2:",SUBSTITUTE(ADDRESS(1,MATCH(CONCATENATE(C690,":",D690,":",E690),Comp!$1:$1,0),4),"1",""),"99"))),0)</f>
        <v>0</v>
      </c>
    </row>
    <row r="691" spans="1:55">
      <c r="A691" s="20" t="s">
        <v>73</v>
      </c>
      <c r="B691" s="21"/>
      <c r="C691" s="20"/>
      <c r="D691" s="22"/>
      <c r="E691" s="22"/>
      <c r="F691" s="21"/>
      <c r="G691" s="23"/>
      <c r="H691" s="24"/>
      <c r="I691" s="22"/>
      <c r="J691" s="22"/>
      <c r="K691" s="22"/>
      <c r="L691" s="21"/>
      <c r="M691" s="20"/>
      <c r="N691" s="20"/>
      <c r="O691" s="23"/>
      <c r="P691" s="21"/>
      <c r="Q691" s="20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1"/>
      <c r="AU691" s="25" t="str">
        <f t="shared" si="20"/>
        <v>1Q42</v>
      </c>
      <c r="AV691" t="str">
        <f t="shared" si="21"/>
        <v>1Q42</v>
      </c>
      <c r="BA691">
        <f ca="1">IF(COUNTBLANK(C691)=0,COUNTA(INDIRECT(CONCATENATE("Area!",LEFT(ADDRESS(1,MATCH(C691,Area!$1:$1,0),4),1),"2:",LEFT(ADDRESS(1,MATCH(C691,Area!$1:$1,0),4),1),"99"))),0)</f>
        <v>0</v>
      </c>
      <c r="BB691">
        <f ca="1">IF(COUNTBLANK(D691)=0,COUNTA(INDIRECT(CONCATENATE("Setup!",LEFT(ADDRESS(1,MATCH(CONCATENATE(C691,":",D691),Setup!$1:$1,0),4),1),"2:",LEFT(ADDRESS(1,MATCH(CONCATENATE(C691,":",D691),Setup!$1:$1,0),4),1),"99"))),0)</f>
        <v>0</v>
      </c>
      <c r="BC691">
        <f ca="1">IF(COUNTBLANK(E691)=0,COUNTA(INDIRECT(CONCATENATE("Comp!",SUBSTITUTE(ADDRESS(1,MATCH(CONCATENATE(C691,":",D691,":",E691),Comp!$1:$1,0),4),"1",""),"2:",SUBSTITUTE(ADDRESS(1,MATCH(CONCATENATE(C691,":",D691,":",E691),Comp!$1:$1,0),4),"1",""),"99"))),0)</f>
        <v>0</v>
      </c>
    </row>
    <row r="692" spans="1:55">
      <c r="A692" s="20" t="s">
        <v>73</v>
      </c>
      <c r="B692" s="21"/>
      <c r="C692" s="20"/>
      <c r="D692" s="22"/>
      <c r="E692" s="22"/>
      <c r="F692" s="21"/>
      <c r="G692" s="23"/>
      <c r="H692" s="24"/>
      <c r="I692" s="22"/>
      <c r="J692" s="22"/>
      <c r="K692" s="22"/>
      <c r="L692" s="21"/>
      <c r="M692" s="20"/>
      <c r="N692" s="20"/>
      <c r="O692" s="23"/>
      <c r="P692" s="21"/>
      <c r="Q692" s="20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1"/>
      <c r="AU692" s="25" t="str">
        <f t="shared" si="20"/>
        <v>1Q42</v>
      </c>
      <c r="AV692" t="str">
        <f t="shared" si="21"/>
        <v>1Q42</v>
      </c>
      <c r="BA692">
        <f ca="1">IF(COUNTBLANK(C692)=0,COUNTA(INDIRECT(CONCATENATE("Area!",LEFT(ADDRESS(1,MATCH(C692,Area!$1:$1,0),4),1),"2:",LEFT(ADDRESS(1,MATCH(C692,Area!$1:$1,0),4),1),"99"))),0)</f>
        <v>0</v>
      </c>
      <c r="BB692">
        <f ca="1">IF(COUNTBLANK(D692)=0,COUNTA(INDIRECT(CONCATENATE("Setup!",LEFT(ADDRESS(1,MATCH(CONCATENATE(C692,":",D692),Setup!$1:$1,0),4),1),"2:",LEFT(ADDRESS(1,MATCH(CONCATENATE(C692,":",D692),Setup!$1:$1,0),4),1),"99"))),0)</f>
        <v>0</v>
      </c>
      <c r="BC692">
        <f ca="1">IF(COUNTBLANK(E692)=0,COUNTA(INDIRECT(CONCATENATE("Comp!",SUBSTITUTE(ADDRESS(1,MATCH(CONCATENATE(C692,":",D692,":",E692),Comp!$1:$1,0),4),"1",""),"2:",SUBSTITUTE(ADDRESS(1,MATCH(CONCATENATE(C692,":",D692,":",E692),Comp!$1:$1,0),4),"1",""),"99"))),0)</f>
        <v>0</v>
      </c>
    </row>
    <row r="693" spans="1:55">
      <c r="A693" s="20" t="s">
        <v>73</v>
      </c>
      <c r="B693" s="21"/>
      <c r="C693" s="20"/>
      <c r="D693" s="22"/>
      <c r="E693" s="22"/>
      <c r="F693" s="21"/>
      <c r="G693" s="23"/>
      <c r="H693" s="24"/>
      <c r="I693" s="22"/>
      <c r="J693" s="22"/>
      <c r="K693" s="22"/>
      <c r="L693" s="21"/>
      <c r="M693" s="20"/>
      <c r="N693" s="20"/>
      <c r="O693" s="23"/>
      <c r="P693" s="21"/>
      <c r="Q693" s="20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1"/>
      <c r="AU693" s="25" t="str">
        <f t="shared" si="20"/>
        <v>1Q42</v>
      </c>
      <c r="AV693" t="str">
        <f t="shared" si="21"/>
        <v>1Q42</v>
      </c>
      <c r="BA693">
        <f ca="1">IF(COUNTBLANK(C693)=0,COUNTA(INDIRECT(CONCATENATE("Area!",LEFT(ADDRESS(1,MATCH(C693,Area!$1:$1,0),4),1),"2:",LEFT(ADDRESS(1,MATCH(C693,Area!$1:$1,0),4),1),"99"))),0)</f>
        <v>0</v>
      </c>
      <c r="BB693">
        <f ca="1">IF(COUNTBLANK(D693)=0,COUNTA(INDIRECT(CONCATENATE("Setup!",LEFT(ADDRESS(1,MATCH(CONCATENATE(C693,":",D693),Setup!$1:$1,0),4),1),"2:",LEFT(ADDRESS(1,MATCH(CONCATENATE(C693,":",D693),Setup!$1:$1,0),4),1),"99"))),0)</f>
        <v>0</v>
      </c>
      <c r="BC693">
        <f ca="1">IF(COUNTBLANK(E693)=0,COUNTA(INDIRECT(CONCATENATE("Comp!",SUBSTITUTE(ADDRESS(1,MATCH(CONCATENATE(C693,":",D693,":",E693),Comp!$1:$1,0),4),"1",""),"2:",SUBSTITUTE(ADDRESS(1,MATCH(CONCATENATE(C693,":",D693,":",E693),Comp!$1:$1,0),4),"1",""),"99"))),0)</f>
        <v>0</v>
      </c>
    </row>
    <row r="694" spans="1:55">
      <c r="A694" s="20" t="s">
        <v>73</v>
      </c>
      <c r="B694" s="21"/>
      <c r="C694" s="20"/>
      <c r="D694" s="22"/>
      <c r="E694" s="22"/>
      <c r="F694" s="21"/>
      <c r="G694" s="23"/>
      <c r="H694" s="24"/>
      <c r="I694" s="22"/>
      <c r="J694" s="22"/>
      <c r="K694" s="22"/>
      <c r="L694" s="21"/>
      <c r="M694" s="20"/>
      <c r="N694" s="20"/>
      <c r="O694" s="23"/>
      <c r="P694" s="21"/>
      <c r="Q694" s="20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1"/>
      <c r="AU694" s="25" t="str">
        <f t="shared" si="20"/>
        <v>1Q42</v>
      </c>
      <c r="AV694" t="str">
        <f t="shared" si="21"/>
        <v>1Q42</v>
      </c>
      <c r="BA694">
        <f ca="1">IF(COUNTBLANK(C694)=0,COUNTA(INDIRECT(CONCATENATE("Area!",LEFT(ADDRESS(1,MATCH(C694,Area!$1:$1,0),4),1),"2:",LEFT(ADDRESS(1,MATCH(C694,Area!$1:$1,0),4),1),"99"))),0)</f>
        <v>0</v>
      </c>
      <c r="BB694">
        <f ca="1">IF(COUNTBLANK(D694)=0,COUNTA(INDIRECT(CONCATENATE("Setup!",LEFT(ADDRESS(1,MATCH(CONCATENATE(C694,":",D694),Setup!$1:$1,0),4),1),"2:",LEFT(ADDRESS(1,MATCH(CONCATENATE(C694,":",D694),Setup!$1:$1,0),4),1),"99"))),0)</f>
        <v>0</v>
      </c>
      <c r="BC694">
        <f ca="1">IF(COUNTBLANK(E694)=0,COUNTA(INDIRECT(CONCATENATE("Comp!",SUBSTITUTE(ADDRESS(1,MATCH(CONCATENATE(C694,":",D694,":",E694),Comp!$1:$1,0),4),"1",""),"2:",SUBSTITUTE(ADDRESS(1,MATCH(CONCATENATE(C694,":",D694,":",E694),Comp!$1:$1,0),4),"1",""),"99"))),0)</f>
        <v>0</v>
      </c>
    </row>
    <row r="695" spans="1:55">
      <c r="A695" s="20" t="s">
        <v>73</v>
      </c>
      <c r="B695" s="21"/>
      <c r="C695" s="20"/>
      <c r="D695" s="22"/>
      <c r="E695" s="22"/>
      <c r="F695" s="21"/>
      <c r="G695" s="23"/>
      <c r="H695" s="24"/>
      <c r="I695" s="22"/>
      <c r="J695" s="22"/>
      <c r="K695" s="22"/>
      <c r="L695" s="21"/>
      <c r="M695" s="20"/>
      <c r="N695" s="20"/>
      <c r="O695" s="23"/>
      <c r="P695" s="21"/>
      <c r="Q695" s="20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1"/>
      <c r="AU695" s="25" t="str">
        <f t="shared" si="20"/>
        <v>1Q42</v>
      </c>
      <c r="AV695" t="str">
        <f t="shared" si="21"/>
        <v>1Q42</v>
      </c>
      <c r="BA695">
        <f ca="1">IF(COUNTBLANK(C695)=0,COUNTA(INDIRECT(CONCATENATE("Area!",LEFT(ADDRESS(1,MATCH(C695,Area!$1:$1,0),4),1),"2:",LEFT(ADDRESS(1,MATCH(C695,Area!$1:$1,0),4),1),"99"))),0)</f>
        <v>0</v>
      </c>
      <c r="BB695">
        <f ca="1">IF(COUNTBLANK(D695)=0,COUNTA(INDIRECT(CONCATENATE("Setup!",LEFT(ADDRESS(1,MATCH(CONCATENATE(C695,":",D695),Setup!$1:$1,0),4),1),"2:",LEFT(ADDRESS(1,MATCH(CONCATENATE(C695,":",D695),Setup!$1:$1,0),4),1),"99"))),0)</f>
        <v>0</v>
      </c>
      <c r="BC695">
        <f ca="1">IF(COUNTBLANK(E695)=0,COUNTA(INDIRECT(CONCATENATE("Comp!",SUBSTITUTE(ADDRESS(1,MATCH(CONCATENATE(C695,":",D695,":",E695),Comp!$1:$1,0),4),"1",""),"2:",SUBSTITUTE(ADDRESS(1,MATCH(CONCATENATE(C695,":",D695,":",E695),Comp!$1:$1,0),4),"1",""),"99"))),0)</f>
        <v>0</v>
      </c>
    </row>
    <row r="696" spans="1:55">
      <c r="A696" s="20" t="s">
        <v>73</v>
      </c>
      <c r="B696" s="21"/>
      <c r="C696" s="20"/>
      <c r="D696" s="22"/>
      <c r="E696" s="22"/>
      <c r="F696" s="21"/>
      <c r="G696" s="23"/>
      <c r="H696" s="24"/>
      <c r="I696" s="22"/>
      <c r="J696" s="22"/>
      <c r="K696" s="22"/>
      <c r="L696" s="21"/>
      <c r="M696" s="20"/>
      <c r="N696" s="20"/>
      <c r="O696" s="23"/>
      <c r="P696" s="21"/>
      <c r="Q696" s="20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1"/>
      <c r="AU696" s="25" t="str">
        <f t="shared" si="20"/>
        <v>1Q42</v>
      </c>
      <c r="AV696" t="str">
        <f t="shared" si="21"/>
        <v>1Q42</v>
      </c>
      <c r="BA696">
        <f ca="1">IF(COUNTBLANK(C696)=0,COUNTA(INDIRECT(CONCATENATE("Area!",LEFT(ADDRESS(1,MATCH(C696,Area!$1:$1,0),4),1),"2:",LEFT(ADDRESS(1,MATCH(C696,Area!$1:$1,0),4),1),"99"))),0)</f>
        <v>0</v>
      </c>
      <c r="BB696">
        <f ca="1">IF(COUNTBLANK(D696)=0,COUNTA(INDIRECT(CONCATENATE("Setup!",LEFT(ADDRESS(1,MATCH(CONCATENATE(C696,":",D696),Setup!$1:$1,0),4),1),"2:",LEFT(ADDRESS(1,MATCH(CONCATENATE(C696,":",D696),Setup!$1:$1,0),4),1),"99"))),0)</f>
        <v>0</v>
      </c>
      <c r="BC696">
        <f ca="1">IF(COUNTBLANK(E696)=0,COUNTA(INDIRECT(CONCATENATE("Comp!",SUBSTITUTE(ADDRESS(1,MATCH(CONCATENATE(C696,":",D696,":",E696),Comp!$1:$1,0),4),"1",""),"2:",SUBSTITUTE(ADDRESS(1,MATCH(CONCATENATE(C696,":",D696,":",E696),Comp!$1:$1,0),4),"1",""),"99"))),0)</f>
        <v>0</v>
      </c>
    </row>
    <row r="697" spans="1:55">
      <c r="A697" s="20" t="s">
        <v>73</v>
      </c>
      <c r="B697" s="21"/>
      <c r="C697" s="20"/>
      <c r="D697" s="22"/>
      <c r="E697" s="22"/>
      <c r="F697" s="21"/>
      <c r="G697" s="23"/>
      <c r="H697" s="24"/>
      <c r="I697" s="22"/>
      <c r="J697" s="22"/>
      <c r="K697" s="22"/>
      <c r="L697" s="21"/>
      <c r="M697" s="20"/>
      <c r="N697" s="20"/>
      <c r="O697" s="23"/>
      <c r="P697" s="21"/>
      <c r="Q697" s="20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1"/>
      <c r="AU697" s="25" t="str">
        <f t="shared" si="20"/>
        <v>1Q42</v>
      </c>
      <c r="AV697" t="str">
        <f t="shared" si="21"/>
        <v>1Q42</v>
      </c>
      <c r="BA697">
        <f ca="1">IF(COUNTBLANK(C697)=0,COUNTA(INDIRECT(CONCATENATE("Area!",LEFT(ADDRESS(1,MATCH(C697,Area!$1:$1,0),4),1),"2:",LEFT(ADDRESS(1,MATCH(C697,Area!$1:$1,0),4),1),"99"))),0)</f>
        <v>0</v>
      </c>
      <c r="BB697">
        <f ca="1">IF(COUNTBLANK(D697)=0,COUNTA(INDIRECT(CONCATENATE("Setup!",LEFT(ADDRESS(1,MATCH(CONCATENATE(C697,":",D697),Setup!$1:$1,0),4),1),"2:",LEFT(ADDRESS(1,MATCH(CONCATENATE(C697,":",D697),Setup!$1:$1,0),4),1),"99"))),0)</f>
        <v>0</v>
      </c>
      <c r="BC697">
        <f ca="1">IF(COUNTBLANK(E697)=0,COUNTA(INDIRECT(CONCATENATE("Comp!",SUBSTITUTE(ADDRESS(1,MATCH(CONCATENATE(C697,":",D697,":",E697),Comp!$1:$1,0),4),"1",""),"2:",SUBSTITUTE(ADDRESS(1,MATCH(CONCATENATE(C697,":",D697,":",E697),Comp!$1:$1,0),4),"1",""),"99"))),0)</f>
        <v>0</v>
      </c>
    </row>
    <row r="698" spans="1:55">
      <c r="A698" s="20" t="s">
        <v>73</v>
      </c>
      <c r="B698" s="21"/>
      <c r="C698" s="20"/>
      <c r="D698" s="22"/>
      <c r="E698" s="22"/>
      <c r="F698" s="21"/>
      <c r="G698" s="23"/>
      <c r="H698" s="24"/>
      <c r="I698" s="22"/>
      <c r="J698" s="22"/>
      <c r="K698" s="22"/>
      <c r="L698" s="21"/>
      <c r="M698" s="20"/>
      <c r="N698" s="20"/>
      <c r="O698" s="23"/>
      <c r="P698" s="21"/>
      <c r="Q698" s="20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1"/>
      <c r="AU698" s="25" t="str">
        <f t="shared" si="20"/>
        <v>1Q42</v>
      </c>
      <c r="AV698" t="str">
        <f t="shared" si="21"/>
        <v>1Q42</v>
      </c>
      <c r="BA698">
        <f ca="1">IF(COUNTBLANK(C698)=0,COUNTA(INDIRECT(CONCATENATE("Area!",LEFT(ADDRESS(1,MATCH(C698,Area!$1:$1,0),4),1),"2:",LEFT(ADDRESS(1,MATCH(C698,Area!$1:$1,0),4),1),"99"))),0)</f>
        <v>0</v>
      </c>
      <c r="BB698">
        <f ca="1">IF(COUNTBLANK(D698)=0,COUNTA(INDIRECT(CONCATENATE("Setup!",LEFT(ADDRESS(1,MATCH(CONCATENATE(C698,":",D698),Setup!$1:$1,0),4),1),"2:",LEFT(ADDRESS(1,MATCH(CONCATENATE(C698,":",D698),Setup!$1:$1,0),4),1),"99"))),0)</f>
        <v>0</v>
      </c>
      <c r="BC698">
        <f ca="1">IF(COUNTBLANK(E698)=0,COUNTA(INDIRECT(CONCATENATE("Comp!",SUBSTITUTE(ADDRESS(1,MATCH(CONCATENATE(C698,":",D698,":",E698),Comp!$1:$1,0),4),"1",""),"2:",SUBSTITUTE(ADDRESS(1,MATCH(CONCATENATE(C698,":",D698,":",E698),Comp!$1:$1,0),4),"1",""),"99"))),0)</f>
        <v>0</v>
      </c>
    </row>
    <row r="699" spans="1:55">
      <c r="A699" s="20" t="s">
        <v>73</v>
      </c>
      <c r="B699" s="21"/>
      <c r="C699" s="20"/>
      <c r="D699" s="22"/>
      <c r="E699" s="22"/>
      <c r="F699" s="21"/>
      <c r="G699" s="23"/>
      <c r="H699" s="24"/>
      <c r="I699" s="22"/>
      <c r="J699" s="22"/>
      <c r="K699" s="22"/>
      <c r="L699" s="21"/>
      <c r="M699" s="20"/>
      <c r="N699" s="20"/>
      <c r="O699" s="23"/>
      <c r="P699" s="21"/>
      <c r="Q699" s="20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1"/>
      <c r="AU699" s="25" t="str">
        <f t="shared" si="20"/>
        <v>1Q42</v>
      </c>
      <c r="AV699" t="str">
        <f t="shared" si="21"/>
        <v>1Q42</v>
      </c>
      <c r="BA699">
        <f ca="1">IF(COUNTBLANK(C699)=0,COUNTA(INDIRECT(CONCATENATE("Area!",LEFT(ADDRESS(1,MATCH(C699,Area!$1:$1,0),4),1),"2:",LEFT(ADDRESS(1,MATCH(C699,Area!$1:$1,0),4),1),"99"))),0)</f>
        <v>0</v>
      </c>
      <c r="BB699">
        <f ca="1">IF(COUNTBLANK(D699)=0,COUNTA(INDIRECT(CONCATENATE("Setup!",LEFT(ADDRESS(1,MATCH(CONCATENATE(C699,":",D699),Setup!$1:$1,0),4),1),"2:",LEFT(ADDRESS(1,MATCH(CONCATENATE(C699,":",D699),Setup!$1:$1,0),4),1),"99"))),0)</f>
        <v>0</v>
      </c>
      <c r="BC699">
        <f ca="1">IF(COUNTBLANK(E699)=0,COUNTA(INDIRECT(CONCATENATE("Comp!",SUBSTITUTE(ADDRESS(1,MATCH(CONCATENATE(C699,":",D699,":",E699),Comp!$1:$1,0),4),"1",""),"2:",SUBSTITUTE(ADDRESS(1,MATCH(CONCATENATE(C699,":",D699,":",E699),Comp!$1:$1,0),4),"1",""),"99"))),0)</f>
        <v>0</v>
      </c>
    </row>
    <row r="700" spans="1:55">
      <c r="A700" s="20" t="s">
        <v>73</v>
      </c>
      <c r="B700" s="21"/>
      <c r="C700" s="20"/>
      <c r="D700" s="22"/>
      <c r="E700" s="22"/>
      <c r="F700" s="21"/>
      <c r="G700" s="23"/>
      <c r="H700" s="24"/>
      <c r="I700" s="22"/>
      <c r="J700" s="22"/>
      <c r="K700" s="22"/>
      <c r="L700" s="21"/>
      <c r="M700" s="20"/>
      <c r="N700" s="20"/>
      <c r="O700" s="23"/>
      <c r="P700" s="21"/>
      <c r="Q700" s="20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1"/>
      <c r="AU700" s="25" t="str">
        <f t="shared" si="20"/>
        <v>1Q42</v>
      </c>
      <c r="AV700" t="str">
        <f t="shared" si="21"/>
        <v>1Q42</v>
      </c>
      <c r="BA700">
        <f ca="1">IF(COUNTBLANK(C700)=0,COUNTA(INDIRECT(CONCATENATE("Area!",LEFT(ADDRESS(1,MATCH(C700,Area!$1:$1,0),4),1),"2:",LEFT(ADDRESS(1,MATCH(C700,Area!$1:$1,0),4),1),"99"))),0)</f>
        <v>0</v>
      </c>
      <c r="BB700">
        <f ca="1">IF(COUNTBLANK(D700)=0,COUNTA(INDIRECT(CONCATENATE("Setup!",LEFT(ADDRESS(1,MATCH(CONCATENATE(C700,":",D700),Setup!$1:$1,0),4),1),"2:",LEFT(ADDRESS(1,MATCH(CONCATENATE(C700,":",D700),Setup!$1:$1,0),4),1),"99"))),0)</f>
        <v>0</v>
      </c>
      <c r="BC700">
        <f ca="1">IF(COUNTBLANK(E700)=0,COUNTA(INDIRECT(CONCATENATE("Comp!",SUBSTITUTE(ADDRESS(1,MATCH(CONCATENATE(C700,":",D700,":",E700),Comp!$1:$1,0),4),"1",""),"2:",SUBSTITUTE(ADDRESS(1,MATCH(CONCATENATE(C700,":",D700,":",E700),Comp!$1:$1,0),4),"1",""),"99"))),0)</f>
        <v>0</v>
      </c>
    </row>
    <row r="701" spans="1:55">
      <c r="A701" s="20" t="s">
        <v>73</v>
      </c>
      <c r="B701" s="21"/>
      <c r="C701" s="20"/>
      <c r="D701" s="22"/>
      <c r="E701" s="22"/>
      <c r="F701" s="21"/>
      <c r="G701" s="23"/>
      <c r="H701" s="24"/>
      <c r="I701" s="22"/>
      <c r="J701" s="22"/>
      <c r="K701" s="22"/>
      <c r="L701" s="21"/>
      <c r="M701" s="20"/>
      <c r="N701" s="20"/>
      <c r="O701" s="23"/>
      <c r="P701" s="21"/>
      <c r="Q701" s="20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1"/>
      <c r="AU701" s="25" t="str">
        <f t="shared" si="20"/>
        <v>1Q42</v>
      </c>
      <c r="AV701" t="str">
        <f t="shared" si="21"/>
        <v>1Q42</v>
      </c>
      <c r="BA701">
        <f ca="1">IF(COUNTBLANK(C701)=0,COUNTA(INDIRECT(CONCATENATE("Area!",LEFT(ADDRESS(1,MATCH(C701,Area!$1:$1,0),4),1),"2:",LEFT(ADDRESS(1,MATCH(C701,Area!$1:$1,0),4),1),"99"))),0)</f>
        <v>0</v>
      </c>
      <c r="BB701">
        <f ca="1">IF(COUNTBLANK(D701)=0,COUNTA(INDIRECT(CONCATENATE("Setup!",LEFT(ADDRESS(1,MATCH(CONCATENATE(C701,":",D701),Setup!$1:$1,0),4),1),"2:",LEFT(ADDRESS(1,MATCH(CONCATENATE(C701,":",D701),Setup!$1:$1,0),4),1),"99"))),0)</f>
        <v>0</v>
      </c>
      <c r="BC701">
        <f ca="1">IF(COUNTBLANK(E701)=0,COUNTA(INDIRECT(CONCATENATE("Comp!",SUBSTITUTE(ADDRESS(1,MATCH(CONCATENATE(C701,":",D701,":",E701),Comp!$1:$1,0),4),"1",""),"2:",SUBSTITUTE(ADDRESS(1,MATCH(CONCATENATE(C701,":",D701,":",E701),Comp!$1:$1,0),4),"1",""),"99"))),0)</f>
        <v>0</v>
      </c>
    </row>
    <row r="702" spans="1:55">
      <c r="A702" s="20" t="s">
        <v>73</v>
      </c>
      <c r="B702" s="21"/>
      <c r="C702" s="20"/>
      <c r="D702" s="22"/>
      <c r="E702" s="22"/>
      <c r="F702" s="21"/>
      <c r="G702" s="23"/>
      <c r="H702" s="24"/>
      <c r="I702" s="22"/>
      <c r="J702" s="22"/>
      <c r="K702" s="22"/>
      <c r="L702" s="21"/>
      <c r="M702" s="20"/>
      <c r="N702" s="20"/>
      <c r="O702" s="23"/>
      <c r="P702" s="21"/>
      <c r="Q702" s="20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1"/>
      <c r="AU702" s="25" t="str">
        <f t="shared" si="20"/>
        <v>1Q42</v>
      </c>
      <c r="AV702" t="str">
        <f t="shared" si="21"/>
        <v>1Q42</v>
      </c>
      <c r="BA702">
        <f ca="1">IF(COUNTBLANK(C702)=0,COUNTA(INDIRECT(CONCATENATE("Area!",LEFT(ADDRESS(1,MATCH(C702,Area!$1:$1,0),4),1),"2:",LEFT(ADDRESS(1,MATCH(C702,Area!$1:$1,0),4),1),"99"))),0)</f>
        <v>0</v>
      </c>
      <c r="BB702">
        <f ca="1">IF(COUNTBLANK(D702)=0,COUNTA(INDIRECT(CONCATENATE("Setup!",LEFT(ADDRESS(1,MATCH(CONCATENATE(C702,":",D702),Setup!$1:$1,0),4),1),"2:",LEFT(ADDRESS(1,MATCH(CONCATENATE(C702,":",D702),Setup!$1:$1,0),4),1),"99"))),0)</f>
        <v>0</v>
      </c>
      <c r="BC702">
        <f ca="1">IF(COUNTBLANK(E702)=0,COUNTA(INDIRECT(CONCATENATE("Comp!",SUBSTITUTE(ADDRESS(1,MATCH(CONCATENATE(C702,":",D702,":",E702),Comp!$1:$1,0),4),"1",""),"2:",SUBSTITUTE(ADDRESS(1,MATCH(CONCATENATE(C702,":",D702,":",E702),Comp!$1:$1,0),4),"1",""),"99"))),0)</f>
        <v>0</v>
      </c>
    </row>
    <row r="703" spans="1:55">
      <c r="A703" s="20" t="s">
        <v>73</v>
      </c>
      <c r="B703" s="21"/>
      <c r="C703" s="20"/>
      <c r="D703" s="22"/>
      <c r="E703" s="22"/>
      <c r="F703" s="21"/>
      <c r="G703" s="23"/>
      <c r="H703" s="24"/>
      <c r="I703" s="22"/>
      <c r="J703" s="22"/>
      <c r="K703" s="22"/>
      <c r="L703" s="21"/>
      <c r="M703" s="20"/>
      <c r="N703" s="20"/>
      <c r="O703" s="23"/>
      <c r="P703" s="21"/>
      <c r="Q703" s="20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1"/>
      <c r="AU703" s="25" t="str">
        <f t="shared" si="20"/>
        <v>1Q42</v>
      </c>
      <c r="AV703" t="str">
        <f t="shared" si="21"/>
        <v>1Q42</v>
      </c>
      <c r="BA703">
        <f ca="1">IF(COUNTBLANK(C703)=0,COUNTA(INDIRECT(CONCATENATE("Area!",LEFT(ADDRESS(1,MATCH(C703,Area!$1:$1,0),4),1),"2:",LEFT(ADDRESS(1,MATCH(C703,Area!$1:$1,0),4),1),"99"))),0)</f>
        <v>0</v>
      </c>
      <c r="BB703">
        <f ca="1">IF(COUNTBLANK(D703)=0,COUNTA(INDIRECT(CONCATENATE("Setup!",LEFT(ADDRESS(1,MATCH(CONCATENATE(C703,":",D703),Setup!$1:$1,0),4),1),"2:",LEFT(ADDRESS(1,MATCH(CONCATENATE(C703,":",D703),Setup!$1:$1,0),4),1),"99"))),0)</f>
        <v>0</v>
      </c>
      <c r="BC703">
        <f ca="1">IF(COUNTBLANK(E703)=0,COUNTA(INDIRECT(CONCATENATE("Comp!",SUBSTITUTE(ADDRESS(1,MATCH(CONCATENATE(C703,":",D703,":",E703),Comp!$1:$1,0),4),"1",""),"2:",SUBSTITUTE(ADDRESS(1,MATCH(CONCATENATE(C703,":",D703,":",E703),Comp!$1:$1,0),4),"1",""),"99"))),0)</f>
        <v>0</v>
      </c>
    </row>
    <row r="704" spans="1:55">
      <c r="A704" s="20" t="s">
        <v>73</v>
      </c>
      <c r="B704" s="21"/>
      <c r="C704" s="20"/>
      <c r="D704" s="22"/>
      <c r="E704" s="22"/>
      <c r="F704" s="21"/>
      <c r="G704" s="23"/>
      <c r="H704" s="24"/>
      <c r="I704" s="22"/>
      <c r="J704" s="22"/>
      <c r="K704" s="22"/>
      <c r="L704" s="21"/>
      <c r="M704" s="20"/>
      <c r="N704" s="20"/>
      <c r="O704" s="23"/>
      <c r="P704" s="21"/>
      <c r="Q704" s="20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1"/>
      <c r="AU704" s="25" t="str">
        <f t="shared" si="20"/>
        <v>1Q42</v>
      </c>
      <c r="AV704" t="str">
        <f t="shared" si="21"/>
        <v>1Q42</v>
      </c>
      <c r="BA704">
        <f ca="1">IF(COUNTBLANK(C704)=0,COUNTA(INDIRECT(CONCATENATE("Area!",LEFT(ADDRESS(1,MATCH(C704,Area!$1:$1,0),4),1),"2:",LEFT(ADDRESS(1,MATCH(C704,Area!$1:$1,0),4),1),"99"))),0)</f>
        <v>0</v>
      </c>
      <c r="BB704">
        <f ca="1">IF(COUNTBLANK(D704)=0,COUNTA(INDIRECT(CONCATENATE("Setup!",LEFT(ADDRESS(1,MATCH(CONCATENATE(C704,":",D704),Setup!$1:$1,0),4),1),"2:",LEFT(ADDRESS(1,MATCH(CONCATENATE(C704,":",D704),Setup!$1:$1,0),4),1),"99"))),0)</f>
        <v>0</v>
      </c>
      <c r="BC704">
        <f ca="1">IF(COUNTBLANK(E704)=0,COUNTA(INDIRECT(CONCATENATE("Comp!",SUBSTITUTE(ADDRESS(1,MATCH(CONCATENATE(C704,":",D704,":",E704),Comp!$1:$1,0),4),"1",""),"2:",SUBSTITUTE(ADDRESS(1,MATCH(CONCATENATE(C704,":",D704,":",E704),Comp!$1:$1,0),4),"1",""),"99"))),0)</f>
        <v>0</v>
      </c>
    </row>
    <row r="705" spans="1:55">
      <c r="A705" s="20" t="s">
        <v>73</v>
      </c>
      <c r="B705" s="21"/>
      <c r="C705" s="20"/>
      <c r="D705" s="22"/>
      <c r="E705" s="22"/>
      <c r="F705" s="21"/>
      <c r="G705" s="23"/>
      <c r="H705" s="24"/>
      <c r="I705" s="22"/>
      <c r="J705" s="22"/>
      <c r="K705" s="22"/>
      <c r="L705" s="21"/>
      <c r="M705" s="20"/>
      <c r="N705" s="20"/>
      <c r="O705" s="23"/>
      <c r="P705" s="21"/>
      <c r="Q705" s="20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1"/>
      <c r="AU705" s="25" t="str">
        <f t="shared" si="20"/>
        <v>1Q42</v>
      </c>
      <c r="AV705" t="str">
        <f t="shared" si="21"/>
        <v>1Q42</v>
      </c>
      <c r="BA705">
        <f ca="1">IF(COUNTBLANK(C705)=0,COUNTA(INDIRECT(CONCATENATE("Area!",LEFT(ADDRESS(1,MATCH(C705,Area!$1:$1,0),4),1),"2:",LEFT(ADDRESS(1,MATCH(C705,Area!$1:$1,0),4),1),"99"))),0)</f>
        <v>0</v>
      </c>
      <c r="BB705">
        <f ca="1">IF(COUNTBLANK(D705)=0,COUNTA(INDIRECT(CONCATENATE("Setup!",LEFT(ADDRESS(1,MATCH(CONCATENATE(C705,":",D705),Setup!$1:$1,0),4),1),"2:",LEFT(ADDRESS(1,MATCH(CONCATENATE(C705,":",D705),Setup!$1:$1,0),4),1),"99"))),0)</f>
        <v>0</v>
      </c>
      <c r="BC705">
        <f ca="1">IF(COUNTBLANK(E705)=0,COUNTA(INDIRECT(CONCATENATE("Comp!",SUBSTITUTE(ADDRESS(1,MATCH(CONCATENATE(C705,":",D705,":",E705),Comp!$1:$1,0),4),"1",""),"2:",SUBSTITUTE(ADDRESS(1,MATCH(CONCATENATE(C705,":",D705,":",E705),Comp!$1:$1,0),4),"1",""),"99"))),0)</f>
        <v>0</v>
      </c>
    </row>
    <row r="706" spans="1:55">
      <c r="A706" s="20" t="s">
        <v>73</v>
      </c>
      <c r="B706" s="21"/>
      <c r="C706" s="20"/>
      <c r="D706" s="22"/>
      <c r="E706" s="22"/>
      <c r="F706" s="21"/>
      <c r="G706" s="23"/>
      <c r="H706" s="24"/>
      <c r="I706" s="22"/>
      <c r="J706" s="22"/>
      <c r="K706" s="22"/>
      <c r="L706" s="21"/>
      <c r="M706" s="20"/>
      <c r="N706" s="20"/>
      <c r="O706" s="23"/>
      <c r="P706" s="21"/>
      <c r="Q706" s="20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1"/>
      <c r="AU706" s="25" t="str">
        <f t="shared" si="20"/>
        <v>1Q42</v>
      </c>
      <c r="AV706" t="str">
        <f t="shared" si="21"/>
        <v>1Q42</v>
      </c>
      <c r="BA706">
        <f ca="1">IF(COUNTBLANK(C706)=0,COUNTA(INDIRECT(CONCATENATE("Area!",LEFT(ADDRESS(1,MATCH(C706,Area!$1:$1,0),4),1),"2:",LEFT(ADDRESS(1,MATCH(C706,Area!$1:$1,0),4),1),"99"))),0)</f>
        <v>0</v>
      </c>
      <c r="BB706">
        <f ca="1">IF(COUNTBLANK(D706)=0,COUNTA(INDIRECT(CONCATENATE("Setup!",LEFT(ADDRESS(1,MATCH(CONCATENATE(C706,":",D706),Setup!$1:$1,0),4),1),"2:",LEFT(ADDRESS(1,MATCH(CONCATENATE(C706,":",D706),Setup!$1:$1,0),4),1),"99"))),0)</f>
        <v>0</v>
      </c>
      <c r="BC706">
        <f ca="1">IF(COUNTBLANK(E706)=0,COUNTA(INDIRECT(CONCATENATE("Comp!",SUBSTITUTE(ADDRESS(1,MATCH(CONCATENATE(C706,":",D706,":",E706),Comp!$1:$1,0),4),"1",""),"2:",SUBSTITUTE(ADDRESS(1,MATCH(CONCATENATE(C706,":",D706,":",E706),Comp!$1:$1,0),4),"1",""),"99"))),0)</f>
        <v>0</v>
      </c>
    </row>
    <row r="707" spans="1:55">
      <c r="A707" s="20" t="s">
        <v>73</v>
      </c>
      <c r="B707" s="21"/>
      <c r="C707" s="20"/>
      <c r="D707" s="22"/>
      <c r="E707" s="22"/>
      <c r="F707" s="21"/>
      <c r="G707" s="23"/>
      <c r="H707" s="24"/>
      <c r="I707" s="22"/>
      <c r="J707" s="22"/>
      <c r="K707" s="22"/>
      <c r="L707" s="21"/>
      <c r="M707" s="20"/>
      <c r="N707" s="20"/>
      <c r="O707" s="23"/>
      <c r="P707" s="21"/>
      <c r="Q707" s="20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1"/>
      <c r="AU707" s="25" t="str">
        <f t="shared" si="20"/>
        <v>1Q42</v>
      </c>
      <c r="AV707" t="str">
        <f t="shared" si="21"/>
        <v>1Q42</v>
      </c>
      <c r="BA707">
        <f ca="1">IF(COUNTBLANK(C707)=0,COUNTA(INDIRECT(CONCATENATE("Area!",LEFT(ADDRESS(1,MATCH(C707,Area!$1:$1,0),4),1),"2:",LEFT(ADDRESS(1,MATCH(C707,Area!$1:$1,0),4),1),"99"))),0)</f>
        <v>0</v>
      </c>
      <c r="BB707">
        <f ca="1">IF(COUNTBLANK(D707)=0,COUNTA(INDIRECT(CONCATENATE("Setup!",LEFT(ADDRESS(1,MATCH(CONCATENATE(C707,":",D707),Setup!$1:$1,0),4),1),"2:",LEFT(ADDRESS(1,MATCH(CONCATENATE(C707,":",D707),Setup!$1:$1,0),4),1),"99"))),0)</f>
        <v>0</v>
      </c>
      <c r="BC707">
        <f ca="1">IF(COUNTBLANK(E707)=0,COUNTA(INDIRECT(CONCATENATE("Comp!",SUBSTITUTE(ADDRESS(1,MATCH(CONCATENATE(C707,":",D707,":",E707),Comp!$1:$1,0),4),"1",""),"2:",SUBSTITUTE(ADDRESS(1,MATCH(CONCATENATE(C707,":",D707,":",E707),Comp!$1:$1,0),4),"1",""),"99"))),0)</f>
        <v>0</v>
      </c>
    </row>
    <row r="708" spans="1:55">
      <c r="A708" s="20" t="s">
        <v>73</v>
      </c>
      <c r="B708" s="21"/>
      <c r="C708" s="20"/>
      <c r="D708" s="22"/>
      <c r="E708" s="22"/>
      <c r="F708" s="21"/>
      <c r="G708" s="23"/>
      <c r="H708" s="24"/>
      <c r="I708" s="22"/>
      <c r="J708" s="22"/>
      <c r="K708" s="22"/>
      <c r="L708" s="21"/>
      <c r="M708" s="20"/>
      <c r="N708" s="20"/>
      <c r="O708" s="23"/>
      <c r="P708" s="21"/>
      <c r="Q708" s="20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1"/>
      <c r="AU708" s="25" t="str">
        <f t="shared" si="20"/>
        <v>1Q42</v>
      </c>
      <c r="AV708" t="str">
        <f t="shared" si="21"/>
        <v>1Q42</v>
      </c>
      <c r="BA708">
        <f ca="1">IF(COUNTBLANK(C708)=0,COUNTA(INDIRECT(CONCATENATE("Area!",LEFT(ADDRESS(1,MATCH(C708,Area!$1:$1,0),4),1),"2:",LEFT(ADDRESS(1,MATCH(C708,Area!$1:$1,0),4),1),"99"))),0)</f>
        <v>0</v>
      </c>
      <c r="BB708">
        <f ca="1">IF(COUNTBLANK(D708)=0,COUNTA(INDIRECT(CONCATENATE("Setup!",LEFT(ADDRESS(1,MATCH(CONCATENATE(C708,":",D708),Setup!$1:$1,0),4),1),"2:",LEFT(ADDRESS(1,MATCH(CONCATENATE(C708,":",D708),Setup!$1:$1,0),4),1),"99"))),0)</f>
        <v>0</v>
      </c>
      <c r="BC708">
        <f ca="1">IF(COUNTBLANK(E708)=0,COUNTA(INDIRECT(CONCATENATE("Comp!",SUBSTITUTE(ADDRESS(1,MATCH(CONCATENATE(C708,":",D708,":",E708),Comp!$1:$1,0),4),"1",""),"2:",SUBSTITUTE(ADDRESS(1,MATCH(CONCATENATE(C708,":",D708,":",E708),Comp!$1:$1,0),4),"1",""),"99"))),0)</f>
        <v>0</v>
      </c>
    </row>
    <row r="709" spans="1:55">
      <c r="A709" s="20" t="s">
        <v>73</v>
      </c>
      <c r="B709" s="21"/>
      <c r="C709" s="20"/>
      <c r="D709" s="22"/>
      <c r="E709" s="22"/>
      <c r="F709" s="21"/>
      <c r="G709" s="23"/>
      <c r="H709" s="24"/>
      <c r="I709" s="22"/>
      <c r="J709" s="22"/>
      <c r="K709" s="22"/>
      <c r="L709" s="21"/>
      <c r="M709" s="20"/>
      <c r="N709" s="20"/>
      <c r="O709" s="23"/>
      <c r="P709" s="21"/>
      <c r="Q709" s="20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1"/>
      <c r="AU709" s="25" t="str">
        <f t="shared" si="20"/>
        <v>1Q42</v>
      </c>
      <c r="AV709" t="str">
        <f t="shared" si="21"/>
        <v>1Q42</v>
      </c>
      <c r="BA709">
        <f ca="1">IF(COUNTBLANK(C709)=0,COUNTA(INDIRECT(CONCATENATE("Area!",LEFT(ADDRESS(1,MATCH(C709,Area!$1:$1,0),4),1),"2:",LEFT(ADDRESS(1,MATCH(C709,Area!$1:$1,0),4),1),"99"))),0)</f>
        <v>0</v>
      </c>
      <c r="BB709">
        <f ca="1">IF(COUNTBLANK(D709)=0,COUNTA(INDIRECT(CONCATENATE("Setup!",LEFT(ADDRESS(1,MATCH(CONCATENATE(C709,":",D709),Setup!$1:$1,0),4),1),"2:",LEFT(ADDRESS(1,MATCH(CONCATENATE(C709,":",D709),Setup!$1:$1,0),4),1),"99"))),0)</f>
        <v>0</v>
      </c>
      <c r="BC709">
        <f ca="1">IF(COUNTBLANK(E709)=0,COUNTA(INDIRECT(CONCATENATE("Comp!",SUBSTITUTE(ADDRESS(1,MATCH(CONCATENATE(C709,":",D709,":",E709),Comp!$1:$1,0),4),"1",""),"2:",SUBSTITUTE(ADDRESS(1,MATCH(CONCATENATE(C709,":",D709,":",E709),Comp!$1:$1,0),4),"1",""),"99"))),0)</f>
        <v>0</v>
      </c>
    </row>
    <row r="710" spans="1:55">
      <c r="A710" s="20" t="s">
        <v>73</v>
      </c>
      <c r="B710" s="21"/>
      <c r="C710" s="20"/>
      <c r="D710" s="22"/>
      <c r="E710" s="22"/>
      <c r="F710" s="21"/>
      <c r="G710" s="23"/>
      <c r="H710" s="24"/>
      <c r="I710" s="22"/>
      <c r="J710" s="22"/>
      <c r="K710" s="22"/>
      <c r="L710" s="21"/>
      <c r="M710" s="20"/>
      <c r="N710" s="20"/>
      <c r="O710" s="23"/>
      <c r="P710" s="21"/>
      <c r="Q710" s="20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1"/>
      <c r="AU710" s="25" t="str">
        <f t="shared" si="20"/>
        <v>1Q42</v>
      </c>
      <c r="AV710" t="str">
        <f t="shared" si="21"/>
        <v>1Q42</v>
      </c>
      <c r="BA710">
        <f ca="1">IF(COUNTBLANK(C710)=0,COUNTA(INDIRECT(CONCATENATE("Area!",LEFT(ADDRESS(1,MATCH(C710,Area!$1:$1,0),4),1),"2:",LEFT(ADDRESS(1,MATCH(C710,Area!$1:$1,0),4),1),"99"))),0)</f>
        <v>0</v>
      </c>
      <c r="BB710">
        <f ca="1">IF(COUNTBLANK(D710)=0,COUNTA(INDIRECT(CONCATENATE("Setup!",LEFT(ADDRESS(1,MATCH(CONCATENATE(C710,":",D710),Setup!$1:$1,0),4),1),"2:",LEFT(ADDRESS(1,MATCH(CONCATENATE(C710,":",D710),Setup!$1:$1,0),4),1),"99"))),0)</f>
        <v>0</v>
      </c>
      <c r="BC710">
        <f ca="1">IF(COUNTBLANK(E710)=0,COUNTA(INDIRECT(CONCATENATE("Comp!",SUBSTITUTE(ADDRESS(1,MATCH(CONCATENATE(C710,":",D710,":",E710),Comp!$1:$1,0),4),"1",""),"2:",SUBSTITUTE(ADDRESS(1,MATCH(CONCATENATE(C710,":",D710,":",E710),Comp!$1:$1,0),4),"1",""),"99"))),0)</f>
        <v>0</v>
      </c>
    </row>
    <row r="711" spans="1:55">
      <c r="A711" s="20" t="s">
        <v>73</v>
      </c>
      <c r="B711" s="21"/>
      <c r="C711" s="20"/>
      <c r="D711" s="22"/>
      <c r="E711" s="22"/>
      <c r="F711" s="21"/>
      <c r="G711" s="23"/>
      <c r="H711" s="24"/>
      <c r="I711" s="22"/>
      <c r="J711" s="22"/>
      <c r="K711" s="22"/>
      <c r="L711" s="21"/>
      <c r="M711" s="20"/>
      <c r="N711" s="20"/>
      <c r="O711" s="23"/>
      <c r="P711" s="21"/>
      <c r="Q711" s="20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1"/>
      <c r="AU711" s="25" t="str">
        <f t="shared" si="20"/>
        <v>1Q42</v>
      </c>
      <c r="AV711" t="str">
        <f t="shared" si="21"/>
        <v>1Q42</v>
      </c>
      <c r="BA711">
        <f ca="1">IF(COUNTBLANK(C711)=0,COUNTA(INDIRECT(CONCATENATE("Area!",LEFT(ADDRESS(1,MATCH(C711,Area!$1:$1,0),4),1),"2:",LEFT(ADDRESS(1,MATCH(C711,Area!$1:$1,0),4),1),"99"))),0)</f>
        <v>0</v>
      </c>
      <c r="BB711">
        <f ca="1">IF(COUNTBLANK(D711)=0,COUNTA(INDIRECT(CONCATENATE("Setup!",LEFT(ADDRESS(1,MATCH(CONCATENATE(C711,":",D711),Setup!$1:$1,0),4),1),"2:",LEFT(ADDRESS(1,MATCH(CONCATENATE(C711,":",D711),Setup!$1:$1,0),4),1),"99"))),0)</f>
        <v>0</v>
      </c>
      <c r="BC711">
        <f ca="1">IF(COUNTBLANK(E711)=0,COUNTA(INDIRECT(CONCATENATE("Comp!",SUBSTITUTE(ADDRESS(1,MATCH(CONCATENATE(C711,":",D711,":",E711),Comp!$1:$1,0),4),"1",""),"2:",SUBSTITUTE(ADDRESS(1,MATCH(CONCATENATE(C711,":",D711,":",E711),Comp!$1:$1,0),4),"1",""),"99"))),0)</f>
        <v>0</v>
      </c>
    </row>
    <row r="712" spans="1:55">
      <c r="A712" s="20" t="s">
        <v>73</v>
      </c>
      <c r="B712" s="21"/>
      <c r="C712" s="20"/>
      <c r="D712" s="22"/>
      <c r="E712" s="22"/>
      <c r="F712" s="21"/>
      <c r="G712" s="23"/>
      <c r="H712" s="24"/>
      <c r="I712" s="22"/>
      <c r="J712" s="22"/>
      <c r="K712" s="22"/>
      <c r="L712" s="21"/>
      <c r="M712" s="20"/>
      <c r="N712" s="20"/>
      <c r="O712" s="23"/>
      <c r="P712" s="21"/>
      <c r="Q712" s="20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1"/>
      <c r="AU712" s="25" t="str">
        <f t="shared" si="20"/>
        <v>1Q42</v>
      </c>
      <c r="AV712" t="str">
        <f t="shared" si="21"/>
        <v>1Q42</v>
      </c>
      <c r="BA712">
        <f ca="1">IF(COUNTBLANK(C712)=0,COUNTA(INDIRECT(CONCATENATE("Area!",LEFT(ADDRESS(1,MATCH(C712,Area!$1:$1,0),4),1),"2:",LEFT(ADDRESS(1,MATCH(C712,Area!$1:$1,0),4),1),"99"))),0)</f>
        <v>0</v>
      </c>
      <c r="BB712">
        <f ca="1">IF(COUNTBLANK(D712)=0,COUNTA(INDIRECT(CONCATENATE("Setup!",LEFT(ADDRESS(1,MATCH(CONCATENATE(C712,":",D712),Setup!$1:$1,0),4),1),"2:",LEFT(ADDRESS(1,MATCH(CONCATENATE(C712,":",D712),Setup!$1:$1,0),4),1),"99"))),0)</f>
        <v>0</v>
      </c>
      <c r="BC712">
        <f ca="1">IF(COUNTBLANK(E712)=0,COUNTA(INDIRECT(CONCATENATE("Comp!",SUBSTITUTE(ADDRESS(1,MATCH(CONCATENATE(C712,":",D712,":",E712),Comp!$1:$1,0),4),"1",""),"2:",SUBSTITUTE(ADDRESS(1,MATCH(CONCATENATE(C712,":",D712,":",E712),Comp!$1:$1,0),4),"1",""),"99"))),0)</f>
        <v>0</v>
      </c>
    </row>
    <row r="713" spans="1:55">
      <c r="A713" s="20" t="s">
        <v>73</v>
      </c>
      <c r="B713" s="21"/>
      <c r="C713" s="20"/>
      <c r="D713" s="22"/>
      <c r="E713" s="22"/>
      <c r="F713" s="21"/>
      <c r="G713" s="23"/>
      <c r="H713" s="24"/>
      <c r="I713" s="22"/>
      <c r="J713" s="22"/>
      <c r="K713" s="22"/>
      <c r="L713" s="21"/>
      <c r="M713" s="20"/>
      <c r="N713" s="20"/>
      <c r="O713" s="23"/>
      <c r="P713" s="21"/>
      <c r="Q713" s="20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1"/>
      <c r="AU713" s="25" t="str">
        <f t="shared" ref="AU713:AU776" si="22">CONCATENATE(A713,B713)</f>
        <v>1Q42</v>
      </c>
      <c r="AV713" t="str">
        <f t="shared" ref="AV713:AV776" si="23">CONCATENATE(A713,B713)</f>
        <v>1Q42</v>
      </c>
      <c r="BA713">
        <f ca="1">IF(COUNTBLANK(C713)=0,COUNTA(INDIRECT(CONCATENATE("Area!",LEFT(ADDRESS(1,MATCH(C713,Area!$1:$1,0),4),1),"2:",LEFT(ADDRESS(1,MATCH(C713,Area!$1:$1,0),4),1),"99"))),0)</f>
        <v>0</v>
      </c>
      <c r="BB713">
        <f ca="1">IF(COUNTBLANK(D713)=0,COUNTA(INDIRECT(CONCATENATE("Setup!",LEFT(ADDRESS(1,MATCH(CONCATENATE(C713,":",D713),Setup!$1:$1,0),4),1),"2:",LEFT(ADDRESS(1,MATCH(CONCATENATE(C713,":",D713),Setup!$1:$1,0),4),1),"99"))),0)</f>
        <v>0</v>
      </c>
      <c r="BC713">
        <f ca="1">IF(COUNTBLANK(E713)=0,COUNTA(INDIRECT(CONCATENATE("Comp!",SUBSTITUTE(ADDRESS(1,MATCH(CONCATENATE(C713,":",D713,":",E713),Comp!$1:$1,0),4),"1",""),"2:",SUBSTITUTE(ADDRESS(1,MATCH(CONCATENATE(C713,":",D713,":",E713),Comp!$1:$1,0),4),"1",""),"99"))),0)</f>
        <v>0</v>
      </c>
    </row>
    <row r="714" spans="1:55">
      <c r="A714" s="20" t="s">
        <v>73</v>
      </c>
      <c r="B714" s="21"/>
      <c r="C714" s="20"/>
      <c r="D714" s="22"/>
      <c r="E714" s="22"/>
      <c r="F714" s="21"/>
      <c r="G714" s="23"/>
      <c r="H714" s="24"/>
      <c r="I714" s="22"/>
      <c r="J714" s="22"/>
      <c r="K714" s="22"/>
      <c r="L714" s="21"/>
      <c r="M714" s="20"/>
      <c r="N714" s="20"/>
      <c r="O714" s="23"/>
      <c r="P714" s="21"/>
      <c r="Q714" s="20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1"/>
      <c r="AU714" s="25" t="str">
        <f t="shared" si="22"/>
        <v>1Q42</v>
      </c>
      <c r="AV714" t="str">
        <f t="shared" si="23"/>
        <v>1Q42</v>
      </c>
      <c r="BA714">
        <f ca="1">IF(COUNTBLANK(C714)=0,COUNTA(INDIRECT(CONCATENATE("Area!",LEFT(ADDRESS(1,MATCH(C714,Area!$1:$1,0),4),1),"2:",LEFT(ADDRESS(1,MATCH(C714,Area!$1:$1,0),4),1),"99"))),0)</f>
        <v>0</v>
      </c>
      <c r="BB714">
        <f ca="1">IF(COUNTBLANK(D714)=0,COUNTA(INDIRECT(CONCATENATE("Setup!",LEFT(ADDRESS(1,MATCH(CONCATENATE(C714,":",D714),Setup!$1:$1,0),4),1),"2:",LEFT(ADDRESS(1,MATCH(CONCATENATE(C714,":",D714),Setup!$1:$1,0),4),1),"99"))),0)</f>
        <v>0</v>
      </c>
      <c r="BC714">
        <f ca="1">IF(COUNTBLANK(E714)=0,COUNTA(INDIRECT(CONCATENATE("Comp!",SUBSTITUTE(ADDRESS(1,MATCH(CONCATENATE(C714,":",D714,":",E714),Comp!$1:$1,0),4),"1",""),"2:",SUBSTITUTE(ADDRESS(1,MATCH(CONCATENATE(C714,":",D714,":",E714),Comp!$1:$1,0),4),"1",""),"99"))),0)</f>
        <v>0</v>
      </c>
    </row>
    <row r="715" spans="1:55">
      <c r="A715" s="20" t="s">
        <v>73</v>
      </c>
      <c r="B715" s="21"/>
      <c r="C715" s="20"/>
      <c r="D715" s="22"/>
      <c r="E715" s="22"/>
      <c r="F715" s="21"/>
      <c r="G715" s="23"/>
      <c r="H715" s="24"/>
      <c r="I715" s="22"/>
      <c r="J715" s="22"/>
      <c r="K715" s="22"/>
      <c r="L715" s="21"/>
      <c r="M715" s="20"/>
      <c r="N715" s="20"/>
      <c r="O715" s="23"/>
      <c r="P715" s="21"/>
      <c r="Q715" s="20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1"/>
      <c r="AU715" s="25" t="str">
        <f t="shared" si="22"/>
        <v>1Q42</v>
      </c>
      <c r="AV715" t="str">
        <f t="shared" si="23"/>
        <v>1Q42</v>
      </c>
      <c r="BA715">
        <f ca="1">IF(COUNTBLANK(C715)=0,COUNTA(INDIRECT(CONCATENATE("Area!",LEFT(ADDRESS(1,MATCH(C715,Area!$1:$1,0),4),1),"2:",LEFT(ADDRESS(1,MATCH(C715,Area!$1:$1,0),4),1),"99"))),0)</f>
        <v>0</v>
      </c>
      <c r="BB715">
        <f ca="1">IF(COUNTBLANK(D715)=0,COUNTA(INDIRECT(CONCATENATE("Setup!",LEFT(ADDRESS(1,MATCH(CONCATENATE(C715,":",D715),Setup!$1:$1,0),4),1),"2:",LEFT(ADDRESS(1,MATCH(CONCATENATE(C715,":",D715),Setup!$1:$1,0),4),1),"99"))),0)</f>
        <v>0</v>
      </c>
      <c r="BC715">
        <f ca="1">IF(COUNTBLANK(E715)=0,COUNTA(INDIRECT(CONCATENATE("Comp!",SUBSTITUTE(ADDRESS(1,MATCH(CONCATENATE(C715,":",D715,":",E715),Comp!$1:$1,0),4),"1",""),"2:",SUBSTITUTE(ADDRESS(1,MATCH(CONCATENATE(C715,":",D715,":",E715),Comp!$1:$1,0),4),"1",""),"99"))),0)</f>
        <v>0</v>
      </c>
    </row>
    <row r="716" spans="1:55">
      <c r="A716" s="20" t="s">
        <v>73</v>
      </c>
      <c r="B716" s="21"/>
      <c r="C716" s="20"/>
      <c r="D716" s="22"/>
      <c r="E716" s="22"/>
      <c r="F716" s="21"/>
      <c r="G716" s="23"/>
      <c r="H716" s="24"/>
      <c r="I716" s="22"/>
      <c r="J716" s="22"/>
      <c r="K716" s="22"/>
      <c r="L716" s="21"/>
      <c r="M716" s="20"/>
      <c r="N716" s="20"/>
      <c r="O716" s="23"/>
      <c r="P716" s="21"/>
      <c r="Q716" s="20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1"/>
      <c r="AU716" s="25" t="str">
        <f t="shared" si="22"/>
        <v>1Q42</v>
      </c>
      <c r="AV716" t="str">
        <f t="shared" si="23"/>
        <v>1Q42</v>
      </c>
      <c r="BA716">
        <f ca="1">IF(COUNTBLANK(C716)=0,COUNTA(INDIRECT(CONCATENATE("Area!",LEFT(ADDRESS(1,MATCH(C716,Area!$1:$1,0),4),1),"2:",LEFT(ADDRESS(1,MATCH(C716,Area!$1:$1,0),4),1),"99"))),0)</f>
        <v>0</v>
      </c>
      <c r="BB716">
        <f ca="1">IF(COUNTBLANK(D716)=0,COUNTA(INDIRECT(CONCATENATE("Setup!",LEFT(ADDRESS(1,MATCH(CONCATENATE(C716,":",D716),Setup!$1:$1,0),4),1),"2:",LEFT(ADDRESS(1,MATCH(CONCATENATE(C716,":",D716),Setup!$1:$1,0),4),1),"99"))),0)</f>
        <v>0</v>
      </c>
      <c r="BC716">
        <f ca="1">IF(COUNTBLANK(E716)=0,COUNTA(INDIRECT(CONCATENATE("Comp!",SUBSTITUTE(ADDRESS(1,MATCH(CONCATENATE(C716,":",D716,":",E716),Comp!$1:$1,0),4),"1",""),"2:",SUBSTITUTE(ADDRESS(1,MATCH(CONCATENATE(C716,":",D716,":",E716),Comp!$1:$1,0),4),"1",""),"99"))),0)</f>
        <v>0</v>
      </c>
    </row>
    <row r="717" spans="1:55">
      <c r="A717" s="20" t="s">
        <v>73</v>
      </c>
      <c r="B717" s="21"/>
      <c r="C717" s="20"/>
      <c r="D717" s="22"/>
      <c r="E717" s="22"/>
      <c r="F717" s="21"/>
      <c r="G717" s="23"/>
      <c r="H717" s="24"/>
      <c r="I717" s="22"/>
      <c r="J717" s="22"/>
      <c r="K717" s="22"/>
      <c r="L717" s="21"/>
      <c r="M717" s="20"/>
      <c r="N717" s="20"/>
      <c r="O717" s="23"/>
      <c r="P717" s="21"/>
      <c r="Q717" s="20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1"/>
      <c r="AU717" s="25" t="str">
        <f t="shared" si="22"/>
        <v>1Q42</v>
      </c>
      <c r="AV717" t="str">
        <f t="shared" si="23"/>
        <v>1Q42</v>
      </c>
      <c r="BA717">
        <f ca="1">IF(COUNTBLANK(C717)=0,COUNTA(INDIRECT(CONCATENATE("Area!",LEFT(ADDRESS(1,MATCH(C717,Area!$1:$1,0),4),1),"2:",LEFT(ADDRESS(1,MATCH(C717,Area!$1:$1,0),4),1),"99"))),0)</f>
        <v>0</v>
      </c>
      <c r="BB717">
        <f ca="1">IF(COUNTBLANK(D717)=0,COUNTA(INDIRECT(CONCATENATE("Setup!",LEFT(ADDRESS(1,MATCH(CONCATENATE(C717,":",D717),Setup!$1:$1,0),4),1),"2:",LEFT(ADDRESS(1,MATCH(CONCATENATE(C717,":",D717),Setup!$1:$1,0),4),1),"99"))),0)</f>
        <v>0</v>
      </c>
      <c r="BC717">
        <f ca="1">IF(COUNTBLANK(E717)=0,COUNTA(INDIRECT(CONCATENATE("Comp!",SUBSTITUTE(ADDRESS(1,MATCH(CONCATENATE(C717,":",D717,":",E717),Comp!$1:$1,0),4),"1",""),"2:",SUBSTITUTE(ADDRESS(1,MATCH(CONCATENATE(C717,":",D717,":",E717),Comp!$1:$1,0),4),"1",""),"99"))),0)</f>
        <v>0</v>
      </c>
    </row>
    <row r="718" spans="1:55">
      <c r="A718" s="20" t="s">
        <v>73</v>
      </c>
      <c r="B718" s="21"/>
      <c r="C718" s="20"/>
      <c r="D718" s="22"/>
      <c r="E718" s="22"/>
      <c r="F718" s="21"/>
      <c r="G718" s="23"/>
      <c r="H718" s="24"/>
      <c r="I718" s="22"/>
      <c r="J718" s="22"/>
      <c r="K718" s="22"/>
      <c r="L718" s="21"/>
      <c r="M718" s="20"/>
      <c r="N718" s="20"/>
      <c r="O718" s="23"/>
      <c r="P718" s="21"/>
      <c r="Q718" s="20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1"/>
      <c r="AU718" s="25" t="str">
        <f t="shared" si="22"/>
        <v>1Q42</v>
      </c>
      <c r="AV718" t="str">
        <f t="shared" si="23"/>
        <v>1Q42</v>
      </c>
      <c r="BA718">
        <f ca="1">IF(COUNTBLANK(C718)=0,COUNTA(INDIRECT(CONCATENATE("Area!",LEFT(ADDRESS(1,MATCH(C718,Area!$1:$1,0),4),1),"2:",LEFT(ADDRESS(1,MATCH(C718,Area!$1:$1,0),4),1),"99"))),0)</f>
        <v>0</v>
      </c>
      <c r="BB718">
        <f ca="1">IF(COUNTBLANK(D718)=0,COUNTA(INDIRECT(CONCATENATE("Setup!",LEFT(ADDRESS(1,MATCH(CONCATENATE(C718,":",D718),Setup!$1:$1,0),4),1),"2:",LEFT(ADDRESS(1,MATCH(CONCATENATE(C718,":",D718),Setup!$1:$1,0),4),1),"99"))),0)</f>
        <v>0</v>
      </c>
      <c r="BC718">
        <f ca="1">IF(COUNTBLANK(E718)=0,COUNTA(INDIRECT(CONCATENATE("Comp!",SUBSTITUTE(ADDRESS(1,MATCH(CONCATENATE(C718,":",D718,":",E718),Comp!$1:$1,0),4),"1",""),"2:",SUBSTITUTE(ADDRESS(1,MATCH(CONCATENATE(C718,":",D718,":",E718),Comp!$1:$1,0),4),"1",""),"99"))),0)</f>
        <v>0</v>
      </c>
    </row>
    <row r="719" spans="1:55">
      <c r="A719" s="20" t="s">
        <v>73</v>
      </c>
      <c r="B719" s="21"/>
      <c r="C719" s="20"/>
      <c r="D719" s="22"/>
      <c r="E719" s="22"/>
      <c r="F719" s="21"/>
      <c r="G719" s="23"/>
      <c r="H719" s="24"/>
      <c r="I719" s="22"/>
      <c r="J719" s="22"/>
      <c r="K719" s="22"/>
      <c r="L719" s="21"/>
      <c r="M719" s="20"/>
      <c r="N719" s="20"/>
      <c r="O719" s="23"/>
      <c r="P719" s="21"/>
      <c r="Q719" s="20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1"/>
      <c r="AU719" s="25" t="str">
        <f t="shared" si="22"/>
        <v>1Q42</v>
      </c>
      <c r="AV719" t="str">
        <f t="shared" si="23"/>
        <v>1Q42</v>
      </c>
      <c r="BA719">
        <f ca="1">IF(COUNTBLANK(C719)=0,COUNTA(INDIRECT(CONCATENATE("Area!",LEFT(ADDRESS(1,MATCH(C719,Area!$1:$1,0),4),1),"2:",LEFT(ADDRESS(1,MATCH(C719,Area!$1:$1,0),4),1),"99"))),0)</f>
        <v>0</v>
      </c>
      <c r="BB719">
        <f ca="1">IF(COUNTBLANK(D719)=0,COUNTA(INDIRECT(CONCATENATE("Setup!",LEFT(ADDRESS(1,MATCH(CONCATENATE(C719,":",D719),Setup!$1:$1,0),4),1),"2:",LEFT(ADDRESS(1,MATCH(CONCATENATE(C719,":",D719),Setup!$1:$1,0),4),1),"99"))),0)</f>
        <v>0</v>
      </c>
      <c r="BC719">
        <f ca="1">IF(COUNTBLANK(E719)=0,COUNTA(INDIRECT(CONCATENATE("Comp!",SUBSTITUTE(ADDRESS(1,MATCH(CONCATENATE(C719,":",D719,":",E719),Comp!$1:$1,0),4),"1",""),"2:",SUBSTITUTE(ADDRESS(1,MATCH(CONCATENATE(C719,":",D719,":",E719),Comp!$1:$1,0),4),"1",""),"99"))),0)</f>
        <v>0</v>
      </c>
    </row>
    <row r="720" spans="1:55">
      <c r="A720" s="20" t="s">
        <v>73</v>
      </c>
      <c r="B720" s="21"/>
      <c r="C720" s="20"/>
      <c r="D720" s="22"/>
      <c r="E720" s="22"/>
      <c r="F720" s="21"/>
      <c r="G720" s="23"/>
      <c r="H720" s="24"/>
      <c r="I720" s="22"/>
      <c r="J720" s="22"/>
      <c r="K720" s="22"/>
      <c r="L720" s="21"/>
      <c r="M720" s="20"/>
      <c r="N720" s="20"/>
      <c r="O720" s="23"/>
      <c r="P720" s="21"/>
      <c r="Q720" s="20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1"/>
      <c r="AU720" s="25" t="str">
        <f t="shared" si="22"/>
        <v>1Q42</v>
      </c>
      <c r="AV720" t="str">
        <f t="shared" si="23"/>
        <v>1Q42</v>
      </c>
      <c r="BA720">
        <f ca="1">IF(COUNTBLANK(C720)=0,COUNTA(INDIRECT(CONCATENATE("Area!",LEFT(ADDRESS(1,MATCH(C720,Area!$1:$1,0),4),1),"2:",LEFT(ADDRESS(1,MATCH(C720,Area!$1:$1,0),4),1),"99"))),0)</f>
        <v>0</v>
      </c>
      <c r="BB720">
        <f ca="1">IF(COUNTBLANK(D720)=0,COUNTA(INDIRECT(CONCATENATE("Setup!",LEFT(ADDRESS(1,MATCH(CONCATENATE(C720,":",D720),Setup!$1:$1,0),4),1),"2:",LEFT(ADDRESS(1,MATCH(CONCATENATE(C720,":",D720),Setup!$1:$1,0),4),1),"99"))),0)</f>
        <v>0</v>
      </c>
      <c r="BC720">
        <f ca="1">IF(COUNTBLANK(E720)=0,COUNTA(INDIRECT(CONCATENATE("Comp!",SUBSTITUTE(ADDRESS(1,MATCH(CONCATENATE(C720,":",D720,":",E720),Comp!$1:$1,0),4),"1",""),"2:",SUBSTITUTE(ADDRESS(1,MATCH(CONCATENATE(C720,":",D720,":",E720),Comp!$1:$1,0),4),"1",""),"99"))),0)</f>
        <v>0</v>
      </c>
    </row>
    <row r="721" spans="1:55">
      <c r="A721" s="20" t="s">
        <v>73</v>
      </c>
      <c r="B721" s="21"/>
      <c r="C721" s="20"/>
      <c r="D721" s="22"/>
      <c r="E721" s="22"/>
      <c r="F721" s="21"/>
      <c r="G721" s="23"/>
      <c r="H721" s="24"/>
      <c r="I721" s="22"/>
      <c r="J721" s="22"/>
      <c r="K721" s="22"/>
      <c r="L721" s="21"/>
      <c r="M721" s="20"/>
      <c r="N721" s="20"/>
      <c r="O721" s="23"/>
      <c r="P721" s="21"/>
      <c r="Q721" s="20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1"/>
      <c r="AU721" s="25" t="str">
        <f t="shared" si="22"/>
        <v>1Q42</v>
      </c>
      <c r="AV721" t="str">
        <f t="shared" si="23"/>
        <v>1Q42</v>
      </c>
      <c r="BA721">
        <f ca="1">IF(COUNTBLANK(C721)=0,COUNTA(INDIRECT(CONCATENATE("Area!",LEFT(ADDRESS(1,MATCH(C721,Area!$1:$1,0),4),1),"2:",LEFT(ADDRESS(1,MATCH(C721,Area!$1:$1,0),4),1),"99"))),0)</f>
        <v>0</v>
      </c>
      <c r="BB721">
        <f ca="1">IF(COUNTBLANK(D721)=0,COUNTA(INDIRECT(CONCATENATE("Setup!",LEFT(ADDRESS(1,MATCH(CONCATENATE(C721,":",D721),Setup!$1:$1,0),4),1),"2:",LEFT(ADDRESS(1,MATCH(CONCATENATE(C721,":",D721),Setup!$1:$1,0),4),1),"99"))),0)</f>
        <v>0</v>
      </c>
      <c r="BC721">
        <f ca="1">IF(COUNTBLANK(E721)=0,COUNTA(INDIRECT(CONCATENATE("Comp!",SUBSTITUTE(ADDRESS(1,MATCH(CONCATENATE(C721,":",D721,":",E721),Comp!$1:$1,0),4),"1",""),"2:",SUBSTITUTE(ADDRESS(1,MATCH(CONCATENATE(C721,":",D721,":",E721),Comp!$1:$1,0),4),"1",""),"99"))),0)</f>
        <v>0</v>
      </c>
    </row>
    <row r="722" spans="1:55">
      <c r="A722" s="20" t="s">
        <v>73</v>
      </c>
      <c r="B722" s="21"/>
      <c r="C722" s="20"/>
      <c r="D722" s="22"/>
      <c r="E722" s="22"/>
      <c r="F722" s="21"/>
      <c r="G722" s="23"/>
      <c r="H722" s="24"/>
      <c r="I722" s="22"/>
      <c r="J722" s="22"/>
      <c r="K722" s="22"/>
      <c r="L722" s="21"/>
      <c r="M722" s="20"/>
      <c r="N722" s="20"/>
      <c r="O722" s="23"/>
      <c r="P722" s="21"/>
      <c r="Q722" s="20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1"/>
      <c r="AU722" s="25" t="str">
        <f t="shared" si="22"/>
        <v>1Q42</v>
      </c>
      <c r="AV722" t="str">
        <f t="shared" si="23"/>
        <v>1Q42</v>
      </c>
      <c r="BA722">
        <f ca="1">IF(COUNTBLANK(C722)=0,COUNTA(INDIRECT(CONCATENATE("Area!",LEFT(ADDRESS(1,MATCH(C722,Area!$1:$1,0),4),1),"2:",LEFT(ADDRESS(1,MATCH(C722,Area!$1:$1,0),4),1),"99"))),0)</f>
        <v>0</v>
      </c>
      <c r="BB722">
        <f ca="1">IF(COUNTBLANK(D722)=0,COUNTA(INDIRECT(CONCATENATE("Setup!",LEFT(ADDRESS(1,MATCH(CONCATENATE(C722,":",D722),Setup!$1:$1,0),4),1),"2:",LEFT(ADDRESS(1,MATCH(CONCATENATE(C722,":",D722),Setup!$1:$1,0),4),1),"99"))),0)</f>
        <v>0</v>
      </c>
      <c r="BC722">
        <f ca="1">IF(COUNTBLANK(E722)=0,COUNTA(INDIRECT(CONCATENATE("Comp!",SUBSTITUTE(ADDRESS(1,MATCH(CONCATENATE(C722,":",D722,":",E722),Comp!$1:$1,0),4),"1",""),"2:",SUBSTITUTE(ADDRESS(1,MATCH(CONCATENATE(C722,":",D722,":",E722),Comp!$1:$1,0),4),"1",""),"99"))),0)</f>
        <v>0</v>
      </c>
    </row>
    <row r="723" spans="1:55">
      <c r="A723" s="20" t="s">
        <v>73</v>
      </c>
      <c r="B723" s="21"/>
      <c r="C723" s="20"/>
      <c r="D723" s="22"/>
      <c r="E723" s="22"/>
      <c r="F723" s="21"/>
      <c r="G723" s="23"/>
      <c r="H723" s="24"/>
      <c r="I723" s="22"/>
      <c r="J723" s="22"/>
      <c r="K723" s="22"/>
      <c r="L723" s="21"/>
      <c r="M723" s="20"/>
      <c r="N723" s="20"/>
      <c r="O723" s="23"/>
      <c r="P723" s="21"/>
      <c r="Q723" s="20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1"/>
      <c r="AU723" s="25" t="str">
        <f t="shared" si="22"/>
        <v>1Q42</v>
      </c>
      <c r="AV723" t="str">
        <f t="shared" si="23"/>
        <v>1Q42</v>
      </c>
      <c r="BA723">
        <f ca="1">IF(COUNTBLANK(C723)=0,COUNTA(INDIRECT(CONCATENATE("Area!",LEFT(ADDRESS(1,MATCH(C723,Area!$1:$1,0),4),1),"2:",LEFT(ADDRESS(1,MATCH(C723,Area!$1:$1,0),4),1),"99"))),0)</f>
        <v>0</v>
      </c>
      <c r="BB723">
        <f ca="1">IF(COUNTBLANK(D723)=0,COUNTA(INDIRECT(CONCATENATE("Setup!",LEFT(ADDRESS(1,MATCH(CONCATENATE(C723,":",D723),Setup!$1:$1,0),4),1),"2:",LEFT(ADDRESS(1,MATCH(CONCATENATE(C723,":",D723),Setup!$1:$1,0),4),1),"99"))),0)</f>
        <v>0</v>
      </c>
      <c r="BC723">
        <f ca="1">IF(COUNTBLANK(E723)=0,COUNTA(INDIRECT(CONCATENATE("Comp!",SUBSTITUTE(ADDRESS(1,MATCH(CONCATENATE(C723,":",D723,":",E723),Comp!$1:$1,0),4),"1",""),"2:",SUBSTITUTE(ADDRESS(1,MATCH(CONCATENATE(C723,":",D723,":",E723),Comp!$1:$1,0),4),"1",""),"99"))),0)</f>
        <v>0</v>
      </c>
    </row>
    <row r="724" spans="1:55">
      <c r="A724" s="20" t="s">
        <v>73</v>
      </c>
      <c r="B724" s="21"/>
      <c r="C724" s="20"/>
      <c r="D724" s="22"/>
      <c r="E724" s="22"/>
      <c r="F724" s="21"/>
      <c r="G724" s="23"/>
      <c r="H724" s="24"/>
      <c r="I724" s="22"/>
      <c r="J724" s="22"/>
      <c r="K724" s="22"/>
      <c r="L724" s="21"/>
      <c r="M724" s="20"/>
      <c r="N724" s="20"/>
      <c r="O724" s="23"/>
      <c r="P724" s="21"/>
      <c r="Q724" s="20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1"/>
      <c r="AU724" s="25" t="str">
        <f t="shared" si="22"/>
        <v>1Q42</v>
      </c>
      <c r="AV724" t="str">
        <f t="shared" si="23"/>
        <v>1Q42</v>
      </c>
      <c r="BA724">
        <f ca="1">IF(COUNTBLANK(C724)=0,COUNTA(INDIRECT(CONCATENATE("Area!",LEFT(ADDRESS(1,MATCH(C724,Area!$1:$1,0),4),1),"2:",LEFT(ADDRESS(1,MATCH(C724,Area!$1:$1,0),4),1),"99"))),0)</f>
        <v>0</v>
      </c>
      <c r="BB724">
        <f ca="1">IF(COUNTBLANK(D724)=0,COUNTA(INDIRECT(CONCATENATE("Setup!",LEFT(ADDRESS(1,MATCH(CONCATENATE(C724,":",D724),Setup!$1:$1,0),4),1),"2:",LEFT(ADDRESS(1,MATCH(CONCATENATE(C724,":",D724),Setup!$1:$1,0),4),1),"99"))),0)</f>
        <v>0</v>
      </c>
      <c r="BC724">
        <f ca="1">IF(COUNTBLANK(E724)=0,COUNTA(INDIRECT(CONCATENATE("Comp!",SUBSTITUTE(ADDRESS(1,MATCH(CONCATENATE(C724,":",D724,":",E724),Comp!$1:$1,0),4),"1",""),"2:",SUBSTITUTE(ADDRESS(1,MATCH(CONCATENATE(C724,":",D724,":",E724),Comp!$1:$1,0),4),"1",""),"99"))),0)</f>
        <v>0</v>
      </c>
    </row>
    <row r="725" spans="1:55">
      <c r="A725" s="20" t="s">
        <v>73</v>
      </c>
      <c r="B725" s="21"/>
      <c r="C725" s="20"/>
      <c r="D725" s="22"/>
      <c r="E725" s="22"/>
      <c r="F725" s="21"/>
      <c r="G725" s="23"/>
      <c r="H725" s="24"/>
      <c r="I725" s="22"/>
      <c r="J725" s="22"/>
      <c r="K725" s="22"/>
      <c r="L725" s="21"/>
      <c r="M725" s="20"/>
      <c r="N725" s="20"/>
      <c r="O725" s="23"/>
      <c r="P725" s="21"/>
      <c r="Q725" s="20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1"/>
      <c r="AU725" s="25" t="str">
        <f t="shared" si="22"/>
        <v>1Q42</v>
      </c>
      <c r="AV725" t="str">
        <f t="shared" si="23"/>
        <v>1Q42</v>
      </c>
      <c r="BA725">
        <f ca="1">IF(COUNTBLANK(C725)=0,COUNTA(INDIRECT(CONCATENATE("Area!",LEFT(ADDRESS(1,MATCH(C725,Area!$1:$1,0),4),1),"2:",LEFT(ADDRESS(1,MATCH(C725,Area!$1:$1,0),4),1),"99"))),0)</f>
        <v>0</v>
      </c>
      <c r="BB725">
        <f ca="1">IF(COUNTBLANK(D725)=0,COUNTA(INDIRECT(CONCATENATE("Setup!",LEFT(ADDRESS(1,MATCH(CONCATENATE(C725,":",D725),Setup!$1:$1,0),4),1),"2:",LEFT(ADDRESS(1,MATCH(CONCATENATE(C725,":",D725),Setup!$1:$1,0),4),1),"99"))),0)</f>
        <v>0</v>
      </c>
      <c r="BC725">
        <f ca="1">IF(COUNTBLANK(E725)=0,COUNTA(INDIRECT(CONCATENATE("Comp!",SUBSTITUTE(ADDRESS(1,MATCH(CONCATENATE(C725,":",D725,":",E725),Comp!$1:$1,0),4),"1",""),"2:",SUBSTITUTE(ADDRESS(1,MATCH(CONCATENATE(C725,":",D725,":",E725),Comp!$1:$1,0),4),"1",""),"99"))),0)</f>
        <v>0</v>
      </c>
    </row>
    <row r="726" spans="1:55">
      <c r="A726" s="20" t="s">
        <v>73</v>
      </c>
      <c r="B726" s="21"/>
      <c r="C726" s="20"/>
      <c r="D726" s="22"/>
      <c r="E726" s="22"/>
      <c r="F726" s="21"/>
      <c r="G726" s="23"/>
      <c r="H726" s="24"/>
      <c r="I726" s="22"/>
      <c r="J726" s="22"/>
      <c r="K726" s="22"/>
      <c r="L726" s="21"/>
      <c r="M726" s="20"/>
      <c r="N726" s="20"/>
      <c r="O726" s="23"/>
      <c r="P726" s="21"/>
      <c r="Q726" s="20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1"/>
      <c r="AU726" s="25" t="str">
        <f t="shared" si="22"/>
        <v>1Q42</v>
      </c>
      <c r="AV726" t="str">
        <f t="shared" si="23"/>
        <v>1Q42</v>
      </c>
      <c r="BA726">
        <f ca="1">IF(COUNTBLANK(C726)=0,COUNTA(INDIRECT(CONCATENATE("Area!",LEFT(ADDRESS(1,MATCH(C726,Area!$1:$1,0),4),1),"2:",LEFT(ADDRESS(1,MATCH(C726,Area!$1:$1,0),4),1),"99"))),0)</f>
        <v>0</v>
      </c>
      <c r="BB726">
        <f ca="1">IF(COUNTBLANK(D726)=0,COUNTA(INDIRECT(CONCATENATE("Setup!",LEFT(ADDRESS(1,MATCH(CONCATENATE(C726,":",D726),Setup!$1:$1,0),4),1),"2:",LEFT(ADDRESS(1,MATCH(CONCATENATE(C726,":",D726),Setup!$1:$1,0),4),1),"99"))),0)</f>
        <v>0</v>
      </c>
      <c r="BC726">
        <f ca="1">IF(COUNTBLANK(E726)=0,COUNTA(INDIRECT(CONCATENATE("Comp!",SUBSTITUTE(ADDRESS(1,MATCH(CONCATENATE(C726,":",D726,":",E726),Comp!$1:$1,0),4),"1",""),"2:",SUBSTITUTE(ADDRESS(1,MATCH(CONCATENATE(C726,":",D726,":",E726),Comp!$1:$1,0),4),"1",""),"99"))),0)</f>
        <v>0</v>
      </c>
    </row>
    <row r="727" spans="1:55">
      <c r="A727" s="20" t="s">
        <v>73</v>
      </c>
      <c r="B727" s="21"/>
      <c r="C727" s="20"/>
      <c r="D727" s="22"/>
      <c r="E727" s="22"/>
      <c r="F727" s="21"/>
      <c r="G727" s="23"/>
      <c r="H727" s="24"/>
      <c r="I727" s="22"/>
      <c r="J727" s="22"/>
      <c r="K727" s="22"/>
      <c r="L727" s="21"/>
      <c r="M727" s="20"/>
      <c r="N727" s="20"/>
      <c r="O727" s="23"/>
      <c r="P727" s="21"/>
      <c r="Q727" s="20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1"/>
      <c r="AU727" s="25" t="str">
        <f t="shared" si="22"/>
        <v>1Q42</v>
      </c>
      <c r="AV727" t="str">
        <f t="shared" si="23"/>
        <v>1Q42</v>
      </c>
      <c r="BA727">
        <f ca="1">IF(COUNTBLANK(C727)=0,COUNTA(INDIRECT(CONCATENATE("Area!",LEFT(ADDRESS(1,MATCH(C727,Area!$1:$1,0),4),1),"2:",LEFT(ADDRESS(1,MATCH(C727,Area!$1:$1,0),4),1),"99"))),0)</f>
        <v>0</v>
      </c>
      <c r="BB727">
        <f ca="1">IF(COUNTBLANK(D727)=0,COUNTA(INDIRECT(CONCATENATE("Setup!",LEFT(ADDRESS(1,MATCH(CONCATENATE(C727,":",D727),Setup!$1:$1,0),4),1),"2:",LEFT(ADDRESS(1,MATCH(CONCATENATE(C727,":",D727),Setup!$1:$1,0),4),1),"99"))),0)</f>
        <v>0</v>
      </c>
      <c r="BC727">
        <f ca="1">IF(COUNTBLANK(E727)=0,COUNTA(INDIRECT(CONCATENATE("Comp!",SUBSTITUTE(ADDRESS(1,MATCH(CONCATENATE(C727,":",D727,":",E727),Comp!$1:$1,0),4),"1",""),"2:",SUBSTITUTE(ADDRESS(1,MATCH(CONCATENATE(C727,":",D727,":",E727),Comp!$1:$1,0),4),"1",""),"99"))),0)</f>
        <v>0</v>
      </c>
    </row>
    <row r="728" spans="1:55">
      <c r="A728" s="20" t="s">
        <v>73</v>
      </c>
      <c r="B728" s="21"/>
      <c r="C728" s="20"/>
      <c r="D728" s="22"/>
      <c r="E728" s="22"/>
      <c r="F728" s="21"/>
      <c r="G728" s="23"/>
      <c r="H728" s="24"/>
      <c r="I728" s="22"/>
      <c r="J728" s="22"/>
      <c r="K728" s="22"/>
      <c r="L728" s="21"/>
      <c r="M728" s="20"/>
      <c r="N728" s="20"/>
      <c r="O728" s="23"/>
      <c r="P728" s="21"/>
      <c r="Q728" s="20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1"/>
      <c r="AU728" s="25" t="str">
        <f t="shared" si="22"/>
        <v>1Q42</v>
      </c>
      <c r="AV728" t="str">
        <f t="shared" si="23"/>
        <v>1Q42</v>
      </c>
      <c r="BA728">
        <f ca="1">IF(COUNTBLANK(C728)=0,COUNTA(INDIRECT(CONCATENATE("Area!",LEFT(ADDRESS(1,MATCH(C728,Area!$1:$1,0),4),1),"2:",LEFT(ADDRESS(1,MATCH(C728,Area!$1:$1,0),4),1),"99"))),0)</f>
        <v>0</v>
      </c>
      <c r="BB728">
        <f ca="1">IF(COUNTBLANK(D728)=0,COUNTA(INDIRECT(CONCATENATE("Setup!",LEFT(ADDRESS(1,MATCH(CONCATENATE(C728,":",D728),Setup!$1:$1,0),4),1),"2:",LEFT(ADDRESS(1,MATCH(CONCATENATE(C728,":",D728),Setup!$1:$1,0),4),1),"99"))),0)</f>
        <v>0</v>
      </c>
      <c r="BC728">
        <f ca="1">IF(COUNTBLANK(E728)=0,COUNTA(INDIRECT(CONCATENATE("Comp!",SUBSTITUTE(ADDRESS(1,MATCH(CONCATENATE(C728,":",D728,":",E728),Comp!$1:$1,0),4),"1",""),"2:",SUBSTITUTE(ADDRESS(1,MATCH(CONCATENATE(C728,":",D728,":",E728),Comp!$1:$1,0),4),"1",""),"99"))),0)</f>
        <v>0</v>
      </c>
    </row>
    <row r="729" spans="1:55">
      <c r="A729" s="20" t="s">
        <v>73</v>
      </c>
      <c r="B729" s="21"/>
      <c r="C729" s="20"/>
      <c r="D729" s="22"/>
      <c r="E729" s="22"/>
      <c r="F729" s="21"/>
      <c r="G729" s="23"/>
      <c r="H729" s="24"/>
      <c r="I729" s="22"/>
      <c r="J729" s="22"/>
      <c r="K729" s="22"/>
      <c r="L729" s="21"/>
      <c r="M729" s="20"/>
      <c r="N729" s="20"/>
      <c r="O729" s="23"/>
      <c r="P729" s="21"/>
      <c r="Q729" s="20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1"/>
      <c r="AU729" s="25" t="str">
        <f t="shared" si="22"/>
        <v>1Q42</v>
      </c>
      <c r="AV729" t="str">
        <f t="shared" si="23"/>
        <v>1Q42</v>
      </c>
      <c r="BA729">
        <f ca="1">IF(COUNTBLANK(C729)=0,COUNTA(INDIRECT(CONCATENATE("Area!",LEFT(ADDRESS(1,MATCH(C729,Area!$1:$1,0),4),1),"2:",LEFT(ADDRESS(1,MATCH(C729,Area!$1:$1,0),4),1),"99"))),0)</f>
        <v>0</v>
      </c>
      <c r="BB729">
        <f ca="1">IF(COUNTBLANK(D729)=0,COUNTA(INDIRECT(CONCATENATE("Setup!",LEFT(ADDRESS(1,MATCH(CONCATENATE(C729,":",D729),Setup!$1:$1,0),4),1),"2:",LEFT(ADDRESS(1,MATCH(CONCATENATE(C729,":",D729),Setup!$1:$1,0),4),1),"99"))),0)</f>
        <v>0</v>
      </c>
      <c r="BC729">
        <f ca="1">IF(COUNTBLANK(E729)=0,COUNTA(INDIRECT(CONCATENATE("Comp!",SUBSTITUTE(ADDRESS(1,MATCH(CONCATENATE(C729,":",D729,":",E729),Comp!$1:$1,0),4),"1",""),"2:",SUBSTITUTE(ADDRESS(1,MATCH(CONCATENATE(C729,":",D729,":",E729),Comp!$1:$1,0),4),"1",""),"99"))),0)</f>
        <v>0</v>
      </c>
    </row>
    <row r="730" spans="1:55">
      <c r="A730" s="20" t="s">
        <v>73</v>
      </c>
      <c r="B730" s="21"/>
      <c r="C730" s="20"/>
      <c r="D730" s="22"/>
      <c r="E730" s="22"/>
      <c r="F730" s="21"/>
      <c r="G730" s="23"/>
      <c r="H730" s="24"/>
      <c r="I730" s="22"/>
      <c r="J730" s="22"/>
      <c r="K730" s="22"/>
      <c r="L730" s="21"/>
      <c r="M730" s="20"/>
      <c r="N730" s="20"/>
      <c r="O730" s="23"/>
      <c r="P730" s="21"/>
      <c r="Q730" s="20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1"/>
      <c r="AU730" s="25" t="str">
        <f t="shared" si="22"/>
        <v>1Q42</v>
      </c>
      <c r="AV730" t="str">
        <f t="shared" si="23"/>
        <v>1Q42</v>
      </c>
      <c r="BA730">
        <f ca="1">IF(COUNTBLANK(C730)=0,COUNTA(INDIRECT(CONCATENATE("Area!",LEFT(ADDRESS(1,MATCH(C730,Area!$1:$1,0),4),1),"2:",LEFT(ADDRESS(1,MATCH(C730,Area!$1:$1,0),4),1),"99"))),0)</f>
        <v>0</v>
      </c>
      <c r="BB730">
        <f ca="1">IF(COUNTBLANK(D730)=0,COUNTA(INDIRECT(CONCATENATE("Setup!",LEFT(ADDRESS(1,MATCH(CONCATENATE(C730,":",D730),Setup!$1:$1,0),4),1),"2:",LEFT(ADDRESS(1,MATCH(CONCATENATE(C730,":",D730),Setup!$1:$1,0),4),1),"99"))),0)</f>
        <v>0</v>
      </c>
      <c r="BC730">
        <f ca="1">IF(COUNTBLANK(E730)=0,COUNTA(INDIRECT(CONCATENATE("Comp!",SUBSTITUTE(ADDRESS(1,MATCH(CONCATENATE(C730,":",D730,":",E730),Comp!$1:$1,0),4),"1",""),"2:",SUBSTITUTE(ADDRESS(1,MATCH(CONCATENATE(C730,":",D730,":",E730),Comp!$1:$1,0),4),"1",""),"99"))),0)</f>
        <v>0</v>
      </c>
    </row>
    <row r="731" spans="1:55">
      <c r="A731" s="20" t="s">
        <v>73</v>
      </c>
      <c r="B731" s="21"/>
      <c r="C731" s="20"/>
      <c r="D731" s="22"/>
      <c r="E731" s="22"/>
      <c r="F731" s="21"/>
      <c r="G731" s="23"/>
      <c r="H731" s="24"/>
      <c r="I731" s="22"/>
      <c r="J731" s="22"/>
      <c r="K731" s="22"/>
      <c r="L731" s="21"/>
      <c r="M731" s="20"/>
      <c r="N731" s="20"/>
      <c r="O731" s="23"/>
      <c r="P731" s="21"/>
      <c r="Q731" s="20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1"/>
      <c r="AU731" s="25" t="str">
        <f t="shared" si="22"/>
        <v>1Q42</v>
      </c>
      <c r="AV731" t="str">
        <f t="shared" si="23"/>
        <v>1Q42</v>
      </c>
      <c r="BA731">
        <f ca="1">IF(COUNTBLANK(C731)=0,COUNTA(INDIRECT(CONCATENATE("Area!",LEFT(ADDRESS(1,MATCH(C731,Area!$1:$1,0),4),1),"2:",LEFT(ADDRESS(1,MATCH(C731,Area!$1:$1,0),4),1),"99"))),0)</f>
        <v>0</v>
      </c>
      <c r="BB731">
        <f ca="1">IF(COUNTBLANK(D731)=0,COUNTA(INDIRECT(CONCATENATE("Setup!",LEFT(ADDRESS(1,MATCH(CONCATENATE(C731,":",D731),Setup!$1:$1,0),4),1),"2:",LEFT(ADDRESS(1,MATCH(CONCATENATE(C731,":",D731),Setup!$1:$1,0),4),1),"99"))),0)</f>
        <v>0</v>
      </c>
      <c r="BC731">
        <f ca="1">IF(COUNTBLANK(E731)=0,COUNTA(INDIRECT(CONCATENATE("Comp!",SUBSTITUTE(ADDRESS(1,MATCH(CONCATENATE(C731,":",D731,":",E731),Comp!$1:$1,0),4),"1",""),"2:",SUBSTITUTE(ADDRESS(1,MATCH(CONCATENATE(C731,":",D731,":",E731),Comp!$1:$1,0),4),"1",""),"99"))),0)</f>
        <v>0</v>
      </c>
    </row>
    <row r="732" spans="1:55">
      <c r="A732" s="20" t="s">
        <v>73</v>
      </c>
      <c r="B732" s="21"/>
      <c r="C732" s="20"/>
      <c r="D732" s="22"/>
      <c r="E732" s="22"/>
      <c r="F732" s="21"/>
      <c r="G732" s="23"/>
      <c r="H732" s="24"/>
      <c r="I732" s="22"/>
      <c r="J732" s="22"/>
      <c r="K732" s="22"/>
      <c r="L732" s="21"/>
      <c r="M732" s="20"/>
      <c r="N732" s="20"/>
      <c r="O732" s="23"/>
      <c r="P732" s="21"/>
      <c r="Q732" s="20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1"/>
      <c r="AU732" s="25" t="str">
        <f t="shared" si="22"/>
        <v>1Q42</v>
      </c>
      <c r="AV732" t="str">
        <f t="shared" si="23"/>
        <v>1Q42</v>
      </c>
      <c r="BA732">
        <f ca="1">IF(COUNTBLANK(C732)=0,COUNTA(INDIRECT(CONCATENATE("Area!",LEFT(ADDRESS(1,MATCH(C732,Area!$1:$1,0),4),1),"2:",LEFT(ADDRESS(1,MATCH(C732,Area!$1:$1,0),4),1),"99"))),0)</f>
        <v>0</v>
      </c>
      <c r="BB732">
        <f ca="1">IF(COUNTBLANK(D732)=0,COUNTA(INDIRECT(CONCATENATE("Setup!",LEFT(ADDRESS(1,MATCH(CONCATENATE(C732,":",D732),Setup!$1:$1,0),4),1),"2:",LEFT(ADDRESS(1,MATCH(CONCATENATE(C732,":",D732),Setup!$1:$1,0),4),1),"99"))),0)</f>
        <v>0</v>
      </c>
      <c r="BC732">
        <f ca="1">IF(COUNTBLANK(E732)=0,COUNTA(INDIRECT(CONCATENATE("Comp!",SUBSTITUTE(ADDRESS(1,MATCH(CONCATENATE(C732,":",D732,":",E732),Comp!$1:$1,0),4),"1",""),"2:",SUBSTITUTE(ADDRESS(1,MATCH(CONCATENATE(C732,":",D732,":",E732),Comp!$1:$1,0),4),"1",""),"99"))),0)</f>
        <v>0</v>
      </c>
    </row>
    <row r="733" spans="1:55">
      <c r="A733" s="20" t="s">
        <v>73</v>
      </c>
      <c r="B733" s="21"/>
      <c r="C733" s="20"/>
      <c r="D733" s="22"/>
      <c r="E733" s="22"/>
      <c r="F733" s="21"/>
      <c r="G733" s="23"/>
      <c r="H733" s="24"/>
      <c r="I733" s="22"/>
      <c r="J733" s="22"/>
      <c r="K733" s="22"/>
      <c r="L733" s="21"/>
      <c r="M733" s="20"/>
      <c r="N733" s="20"/>
      <c r="O733" s="23"/>
      <c r="P733" s="21"/>
      <c r="Q733" s="20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1"/>
      <c r="AU733" s="25" t="str">
        <f t="shared" si="22"/>
        <v>1Q42</v>
      </c>
      <c r="AV733" t="str">
        <f t="shared" si="23"/>
        <v>1Q42</v>
      </c>
      <c r="BA733">
        <f ca="1">IF(COUNTBLANK(C733)=0,COUNTA(INDIRECT(CONCATENATE("Area!",LEFT(ADDRESS(1,MATCH(C733,Area!$1:$1,0),4),1),"2:",LEFT(ADDRESS(1,MATCH(C733,Area!$1:$1,0),4),1),"99"))),0)</f>
        <v>0</v>
      </c>
      <c r="BB733">
        <f ca="1">IF(COUNTBLANK(D733)=0,COUNTA(INDIRECT(CONCATENATE("Setup!",LEFT(ADDRESS(1,MATCH(CONCATENATE(C733,":",D733),Setup!$1:$1,0),4),1),"2:",LEFT(ADDRESS(1,MATCH(CONCATENATE(C733,":",D733),Setup!$1:$1,0),4),1),"99"))),0)</f>
        <v>0</v>
      </c>
      <c r="BC733">
        <f ca="1">IF(COUNTBLANK(E733)=0,COUNTA(INDIRECT(CONCATENATE("Comp!",SUBSTITUTE(ADDRESS(1,MATCH(CONCATENATE(C733,":",D733,":",E733),Comp!$1:$1,0),4),"1",""),"2:",SUBSTITUTE(ADDRESS(1,MATCH(CONCATENATE(C733,":",D733,":",E733),Comp!$1:$1,0),4),"1",""),"99"))),0)</f>
        <v>0</v>
      </c>
    </row>
    <row r="734" spans="1:55">
      <c r="A734" s="20" t="s">
        <v>73</v>
      </c>
      <c r="B734" s="21"/>
      <c r="C734" s="20"/>
      <c r="D734" s="22"/>
      <c r="E734" s="22"/>
      <c r="F734" s="21"/>
      <c r="G734" s="23"/>
      <c r="H734" s="24"/>
      <c r="I734" s="22"/>
      <c r="J734" s="22"/>
      <c r="K734" s="22"/>
      <c r="L734" s="21"/>
      <c r="M734" s="20"/>
      <c r="N734" s="20"/>
      <c r="O734" s="23"/>
      <c r="P734" s="21"/>
      <c r="Q734" s="20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1"/>
      <c r="AU734" s="25" t="str">
        <f t="shared" si="22"/>
        <v>1Q42</v>
      </c>
      <c r="AV734" t="str">
        <f t="shared" si="23"/>
        <v>1Q42</v>
      </c>
      <c r="BA734">
        <f ca="1">IF(COUNTBLANK(C734)=0,COUNTA(INDIRECT(CONCATENATE("Area!",LEFT(ADDRESS(1,MATCH(C734,Area!$1:$1,0),4),1),"2:",LEFT(ADDRESS(1,MATCH(C734,Area!$1:$1,0),4),1),"99"))),0)</f>
        <v>0</v>
      </c>
      <c r="BB734">
        <f ca="1">IF(COUNTBLANK(D734)=0,COUNTA(INDIRECT(CONCATENATE("Setup!",LEFT(ADDRESS(1,MATCH(CONCATENATE(C734,":",D734),Setup!$1:$1,0),4),1),"2:",LEFT(ADDRESS(1,MATCH(CONCATENATE(C734,":",D734),Setup!$1:$1,0),4),1),"99"))),0)</f>
        <v>0</v>
      </c>
      <c r="BC734">
        <f ca="1">IF(COUNTBLANK(E734)=0,COUNTA(INDIRECT(CONCATENATE("Comp!",SUBSTITUTE(ADDRESS(1,MATCH(CONCATENATE(C734,":",D734,":",E734),Comp!$1:$1,0),4),"1",""),"2:",SUBSTITUTE(ADDRESS(1,MATCH(CONCATENATE(C734,":",D734,":",E734),Comp!$1:$1,0),4),"1",""),"99"))),0)</f>
        <v>0</v>
      </c>
    </row>
    <row r="735" spans="1:55">
      <c r="A735" s="20" t="s">
        <v>73</v>
      </c>
      <c r="B735" s="21"/>
      <c r="C735" s="20"/>
      <c r="D735" s="22"/>
      <c r="E735" s="22"/>
      <c r="F735" s="21"/>
      <c r="G735" s="23"/>
      <c r="H735" s="24"/>
      <c r="I735" s="22"/>
      <c r="J735" s="22"/>
      <c r="K735" s="22"/>
      <c r="L735" s="21"/>
      <c r="M735" s="20"/>
      <c r="N735" s="20"/>
      <c r="O735" s="23"/>
      <c r="P735" s="21"/>
      <c r="Q735" s="20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1"/>
      <c r="AU735" s="25" t="str">
        <f t="shared" si="22"/>
        <v>1Q42</v>
      </c>
      <c r="AV735" t="str">
        <f t="shared" si="23"/>
        <v>1Q42</v>
      </c>
      <c r="BA735">
        <f ca="1">IF(COUNTBLANK(C735)=0,COUNTA(INDIRECT(CONCATENATE("Area!",LEFT(ADDRESS(1,MATCH(C735,Area!$1:$1,0),4),1),"2:",LEFT(ADDRESS(1,MATCH(C735,Area!$1:$1,0),4),1),"99"))),0)</f>
        <v>0</v>
      </c>
      <c r="BB735">
        <f ca="1">IF(COUNTBLANK(D735)=0,COUNTA(INDIRECT(CONCATENATE("Setup!",LEFT(ADDRESS(1,MATCH(CONCATENATE(C735,":",D735),Setup!$1:$1,0),4),1),"2:",LEFT(ADDRESS(1,MATCH(CONCATENATE(C735,":",D735),Setup!$1:$1,0),4),1),"99"))),0)</f>
        <v>0</v>
      </c>
      <c r="BC735">
        <f ca="1">IF(COUNTBLANK(E735)=0,COUNTA(INDIRECT(CONCATENATE("Comp!",SUBSTITUTE(ADDRESS(1,MATCH(CONCATENATE(C735,":",D735,":",E735),Comp!$1:$1,0),4),"1",""),"2:",SUBSTITUTE(ADDRESS(1,MATCH(CONCATENATE(C735,":",D735,":",E735),Comp!$1:$1,0),4),"1",""),"99"))),0)</f>
        <v>0</v>
      </c>
    </row>
    <row r="736" spans="1:55">
      <c r="A736" s="20" t="s">
        <v>73</v>
      </c>
      <c r="B736" s="21"/>
      <c r="C736" s="20"/>
      <c r="D736" s="22"/>
      <c r="E736" s="22"/>
      <c r="F736" s="21"/>
      <c r="G736" s="23"/>
      <c r="H736" s="24"/>
      <c r="I736" s="22"/>
      <c r="J736" s="22"/>
      <c r="K736" s="22"/>
      <c r="L736" s="21"/>
      <c r="M736" s="20"/>
      <c r="N736" s="20"/>
      <c r="O736" s="23"/>
      <c r="P736" s="21"/>
      <c r="Q736" s="20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1"/>
      <c r="AU736" s="25" t="str">
        <f t="shared" si="22"/>
        <v>1Q42</v>
      </c>
      <c r="AV736" t="str">
        <f t="shared" si="23"/>
        <v>1Q42</v>
      </c>
      <c r="BA736">
        <f ca="1">IF(COUNTBLANK(C736)=0,COUNTA(INDIRECT(CONCATENATE("Area!",LEFT(ADDRESS(1,MATCH(C736,Area!$1:$1,0),4),1),"2:",LEFT(ADDRESS(1,MATCH(C736,Area!$1:$1,0),4),1),"99"))),0)</f>
        <v>0</v>
      </c>
      <c r="BB736">
        <f ca="1">IF(COUNTBLANK(D736)=0,COUNTA(INDIRECT(CONCATENATE("Setup!",LEFT(ADDRESS(1,MATCH(CONCATENATE(C736,":",D736),Setup!$1:$1,0),4),1),"2:",LEFT(ADDRESS(1,MATCH(CONCATENATE(C736,":",D736),Setup!$1:$1,0),4),1),"99"))),0)</f>
        <v>0</v>
      </c>
      <c r="BC736">
        <f ca="1">IF(COUNTBLANK(E736)=0,COUNTA(INDIRECT(CONCATENATE("Comp!",SUBSTITUTE(ADDRESS(1,MATCH(CONCATENATE(C736,":",D736,":",E736),Comp!$1:$1,0),4),"1",""),"2:",SUBSTITUTE(ADDRESS(1,MATCH(CONCATENATE(C736,":",D736,":",E736),Comp!$1:$1,0),4),"1",""),"99"))),0)</f>
        <v>0</v>
      </c>
    </row>
    <row r="737" spans="1:55">
      <c r="A737" s="20" t="s">
        <v>73</v>
      </c>
      <c r="B737" s="21"/>
      <c r="C737" s="20"/>
      <c r="D737" s="22"/>
      <c r="E737" s="22"/>
      <c r="F737" s="21"/>
      <c r="G737" s="23"/>
      <c r="H737" s="24"/>
      <c r="I737" s="22"/>
      <c r="J737" s="22"/>
      <c r="K737" s="22"/>
      <c r="L737" s="21"/>
      <c r="M737" s="20"/>
      <c r="N737" s="20"/>
      <c r="O737" s="23"/>
      <c r="P737" s="21"/>
      <c r="Q737" s="20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1"/>
      <c r="AU737" s="25" t="str">
        <f t="shared" si="22"/>
        <v>1Q42</v>
      </c>
      <c r="AV737" t="str">
        <f t="shared" si="23"/>
        <v>1Q42</v>
      </c>
      <c r="BA737">
        <f ca="1">IF(COUNTBLANK(C737)=0,COUNTA(INDIRECT(CONCATENATE("Area!",LEFT(ADDRESS(1,MATCH(C737,Area!$1:$1,0),4),1),"2:",LEFT(ADDRESS(1,MATCH(C737,Area!$1:$1,0),4),1),"99"))),0)</f>
        <v>0</v>
      </c>
      <c r="BB737">
        <f ca="1">IF(COUNTBLANK(D737)=0,COUNTA(INDIRECT(CONCATENATE("Setup!",LEFT(ADDRESS(1,MATCH(CONCATENATE(C737,":",D737),Setup!$1:$1,0),4),1),"2:",LEFT(ADDRESS(1,MATCH(CONCATENATE(C737,":",D737),Setup!$1:$1,0),4),1),"99"))),0)</f>
        <v>0</v>
      </c>
      <c r="BC737">
        <f ca="1">IF(COUNTBLANK(E737)=0,COUNTA(INDIRECT(CONCATENATE("Comp!",SUBSTITUTE(ADDRESS(1,MATCH(CONCATENATE(C737,":",D737,":",E737),Comp!$1:$1,0),4),"1",""),"2:",SUBSTITUTE(ADDRESS(1,MATCH(CONCATENATE(C737,":",D737,":",E737),Comp!$1:$1,0),4),"1",""),"99"))),0)</f>
        <v>0</v>
      </c>
    </row>
    <row r="738" spans="1:55">
      <c r="A738" s="20" t="s">
        <v>73</v>
      </c>
      <c r="B738" s="21"/>
      <c r="C738" s="20"/>
      <c r="D738" s="22"/>
      <c r="E738" s="22"/>
      <c r="F738" s="21"/>
      <c r="G738" s="23"/>
      <c r="H738" s="24"/>
      <c r="I738" s="22"/>
      <c r="J738" s="22"/>
      <c r="K738" s="22"/>
      <c r="L738" s="21"/>
      <c r="M738" s="20"/>
      <c r="N738" s="20"/>
      <c r="O738" s="23"/>
      <c r="P738" s="21"/>
      <c r="Q738" s="20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1"/>
      <c r="AU738" s="25" t="str">
        <f t="shared" si="22"/>
        <v>1Q42</v>
      </c>
      <c r="AV738" t="str">
        <f t="shared" si="23"/>
        <v>1Q42</v>
      </c>
      <c r="BA738">
        <f ca="1">IF(COUNTBLANK(C738)=0,COUNTA(INDIRECT(CONCATENATE("Area!",LEFT(ADDRESS(1,MATCH(C738,Area!$1:$1,0),4),1),"2:",LEFT(ADDRESS(1,MATCH(C738,Area!$1:$1,0),4),1),"99"))),0)</f>
        <v>0</v>
      </c>
      <c r="BB738">
        <f ca="1">IF(COUNTBLANK(D738)=0,COUNTA(INDIRECT(CONCATENATE("Setup!",LEFT(ADDRESS(1,MATCH(CONCATENATE(C738,":",D738),Setup!$1:$1,0),4),1),"2:",LEFT(ADDRESS(1,MATCH(CONCATENATE(C738,":",D738),Setup!$1:$1,0),4),1),"99"))),0)</f>
        <v>0</v>
      </c>
      <c r="BC738">
        <f ca="1">IF(COUNTBLANK(E738)=0,COUNTA(INDIRECT(CONCATENATE("Comp!",SUBSTITUTE(ADDRESS(1,MATCH(CONCATENATE(C738,":",D738,":",E738),Comp!$1:$1,0),4),"1",""),"2:",SUBSTITUTE(ADDRESS(1,MATCH(CONCATENATE(C738,":",D738,":",E738),Comp!$1:$1,0),4),"1",""),"99"))),0)</f>
        <v>0</v>
      </c>
    </row>
    <row r="739" spans="1:55">
      <c r="A739" s="20" t="s">
        <v>73</v>
      </c>
      <c r="B739" s="21"/>
      <c r="C739" s="20"/>
      <c r="D739" s="22"/>
      <c r="E739" s="22"/>
      <c r="F739" s="21"/>
      <c r="G739" s="23"/>
      <c r="H739" s="24"/>
      <c r="I739" s="22"/>
      <c r="J739" s="22"/>
      <c r="K739" s="22"/>
      <c r="L739" s="21"/>
      <c r="M739" s="20"/>
      <c r="N739" s="20"/>
      <c r="O739" s="23"/>
      <c r="P739" s="21"/>
      <c r="Q739" s="20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1"/>
      <c r="AU739" s="25" t="str">
        <f t="shared" si="22"/>
        <v>1Q42</v>
      </c>
      <c r="AV739" t="str">
        <f t="shared" si="23"/>
        <v>1Q42</v>
      </c>
      <c r="BA739">
        <f ca="1">IF(COUNTBLANK(C739)=0,COUNTA(INDIRECT(CONCATENATE("Area!",LEFT(ADDRESS(1,MATCH(C739,Area!$1:$1,0),4),1),"2:",LEFT(ADDRESS(1,MATCH(C739,Area!$1:$1,0),4),1),"99"))),0)</f>
        <v>0</v>
      </c>
      <c r="BB739">
        <f ca="1">IF(COUNTBLANK(D739)=0,COUNTA(INDIRECT(CONCATENATE("Setup!",LEFT(ADDRESS(1,MATCH(CONCATENATE(C739,":",D739),Setup!$1:$1,0),4),1),"2:",LEFT(ADDRESS(1,MATCH(CONCATENATE(C739,":",D739),Setup!$1:$1,0),4),1),"99"))),0)</f>
        <v>0</v>
      </c>
      <c r="BC739">
        <f ca="1">IF(COUNTBLANK(E739)=0,COUNTA(INDIRECT(CONCATENATE("Comp!",SUBSTITUTE(ADDRESS(1,MATCH(CONCATENATE(C739,":",D739,":",E739),Comp!$1:$1,0),4),"1",""),"2:",SUBSTITUTE(ADDRESS(1,MATCH(CONCATENATE(C739,":",D739,":",E739),Comp!$1:$1,0),4),"1",""),"99"))),0)</f>
        <v>0</v>
      </c>
    </row>
    <row r="740" spans="1:55">
      <c r="A740" s="20" t="s">
        <v>73</v>
      </c>
      <c r="B740" s="21"/>
      <c r="C740" s="20"/>
      <c r="D740" s="22"/>
      <c r="E740" s="22"/>
      <c r="F740" s="21"/>
      <c r="G740" s="23"/>
      <c r="H740" s="24"/>
      <c r="I740" s="22"/>
      <c r="J740" s="22"/>
      <c r="K740" s="22"/>
      <c r="L740" s="21"/>
      <c r="M740" s="20"/>
      <c r="N740" s="20"/>
      <c r="O740" s="23"/>
      <c r="P740" s="21"/>
      <c r="Q740" s="20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1"/>
      <c r="AU740" s="25" t="str">
        <f t="shared" si="22"/>
        <v>1Q42</v>
      </c>
      <c r="AV740" t="str">
        <f t="shared" si="23"/>
        <v>1Q42</v>
      </c>
      <c r="BA740">
        <f ca="1">IF(COUNTBLANK(C740)=0,COUNTA(INDIRECT(CONCATENATE("Area!",LEFT(ADDRESS(1,MATCH(C740,Area!$1:$1,0),4),1),"2:",LEFT(ADDRESS(1,MATCH(C740,Area!$1:$1,0),4),1),"99"))),0)</f>
        <v>0</v>
      </c>
      <c r="BB740">
        <f ca="1">IF(COUNTBLANK(D740)=0,COUNTA(INDIRECT(CONCATENATE("Setup!",LEFT(ADDRESS(1,MATCH(CONCATENATE(C740,":",D740),Setup!$1:$1,0),4),1),"2:",LEFT(ADDRESS(1,MATCH(CONCATENATE(C740,":",D740),Setup!$1:$1,0),4),1),"99"))),0)</f>
        <v>0</v>
      </c>
      <c r="BC740">
        <f ca="1">IF(COUNTBLANK(E740)=0,COUNTA(INDIRECT(CONCATENATE("Comp!",SUBSTITUTE(ADDRESS(1,MATCH(CONCATENATE(C740,":",D740,":",E740),Comp!$1:$1,0),4),"1",""),"2:",SUBSTITUTE(ADDRESS(1,MATCH(CONCATENATE(C740,":",D740,":",E740),Comp!$1:$1,0),4),"1",""),"99"))),0)</f>
        <v>0</v>
      </c>
    </row>
    <row r="741" spans="1:55">
      <c r="A741" s="20" t="s">
        <v>73</v>
      </c>
      <c r="B741" s="21"/>
      <c r="C741" s="20"/>
      <c r="D741" s="22"/>
      <c r="E741" s="22"/>
      <c r="F741" s="21"/>
      <c r="G741" s="23"/>
      <c r="H741" s="24"/>
      <c r="I741" s="22"/>
      <c r="J741" s="22"/>
      <c r="K741" s="22"/>
      <c r="L741" s="21"/>
      <c r="M741" s="20"/>
      <c r="N741" s="20"/>
      <c r="O741" s="23"/>
      <c r="P741" s="21"/>
      <c r="Q741" s="20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1"/>
      <c r="AU741" s="25" t="str">
        <f t="shared" si="22"/>
        <v>1Q42</v>
      </c>
      <c r="AV741" t="str">
        <f t="shared" si="23"/>
        <v>1Q42</v>
      </c>
      <c r="BA741">
        <f ca="1">IF(COUNTBLANK(C741)=0,COUNTA(INDIRECT(CONCATENATE("Area!",LEFT(ADDRESS(1,MATCH(C741,Area!$1:$1,0),4),1),"2:",LEFT(ADDRESS(1,MATCH(C741,Area!$1:$1,0),4),1),"99"))),0)</f>
        <v>0</v>
      </c>
      <c r="BB741">
        <f ca="1">IF(COUNTBLANK(D741)=0,COUNTA(INDIRECT(CONCATENATE("Setup!",LEFT(ADDRESS(1,MATCH(CONCATENATE(C741,":",D741),Setup!$1:$1,0),4),1),"2:",LEFT(ADDRESS(1,MATCH(CONCATENATE(C741,":",D741),Setup!$1:$1,0),4),1),"99"))),0)</f>
        <v>0</v>
      </c>
      <c r="BC741">
        <f ca="1">IF(COUNTBLANK(E741)=0,COUNTA(INDIRECT(CONCATENATE("Comp!",SUBSTITUTE(ADDRESS(1,MATCH(CONCATENATE(C741,":",D741,":",E741),Comp!$1:$1,0),4),"1",""),"2:",SUBSTITUTE(ADDRESS(1,MATCH(CONCATENATE(C741,":",D741,":",E741),Comp!$1:$1,0),4),"1",""),"99"))),0)</f>
        <v>0</v>
      </c>
    </row>
    <row r="742" spans="1:55">
      <c r="A742" s="20" t="s">
        <v>73</v>
      </c>
      <c r="B742" s="21"/>
      <c r="C742" s="20"/>
      <c r="D742" s="22"/>
      <c r="E742" s="22"/>
      <c r="F742" s="21"/>
      <c r="G742" s="23"/>
      <c r="H742" s="24"/>
      <c r="I742" s="22"/>
      <c r="J742" s="22"/>
      <c r="K742" s="22"/>
      <c r="L742" s="21"/>
      <c r="M742" s="20"/>
      <c r="N742" s="20"/>
      <c r="O742" s="23"/>
      <c r="P742" s="21"/>
      <c r="Q742" s="20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1"/>
      <c r="AU742" s="25" t="str">
        <f t="shared" si="22"/>
        <v>1Q42</v>
      </c>
      <c r="AV742" t="str">
        <f t="shared" si="23"/>
        <v>1Q42</v>
      </c>
      <c r="BA742">
        <f ca="1">IF(COUNTBLANK(C742)=0,COUNTA(INDIRECT(CONCATENATE("Area!",LEFT(ADDRESS(1,MATCH(C742,Area!$1:$1,0),4),1),"2:",LEFT(ADDRESS(1,MATCH(C742,Area!$1:$1,0),4),1),"99"))),0)</f>
        <v>0</v>
      </c>
      <c r="BB742">
        <f ca="1">IF(COUNTBLANK(D742)=0,COUNTA(INDIRECT(CONCATENATE("Setup!",LEFT(ADDRESS(1,MATCH(CONCATENATE(C742,":",D742),Setup!$1:$1,0),4),1),"2:",LEFT(ADDRESS(1,MATCH(CONCATENATE(C742,":",D742),Setup!$1:$1,0),4),1),"99"))),0)</f>
        <v>0</v>
      </c>
      <c r="BC742">
        <f ca="1">IF(COUNTBLANK(E742)=0,COUNTA(INDIRECT(CONCATENATE("Comp!",SUBSTITUTE(ADDRESS(1,MATCH(CONCATENATE(C742,":",D742,":",E742),Comp!$1:$1,0),4),"1",""),"2:",SUBSTITUTE(ADDRESS(1,MATCH(CONCATENATE(C742,":",D742,":",E742),Comp!$1:$1,0),4),"1",""),"99"))),0)</f>
        <v>0</v>
      </c>
    </row>
    <row r="743" spans="1:55">
      <c r="A743" s="20" t="s">
        <v>73</v>
      </c>
      <c r="B743" s="21"/>
      <c r="C743" s="20"/>
      <c r="D743" s="22"/>
      <c r="E743" s="22"/>
      <c r="F743" s="21"/>
      <c r="G743" s="23"/>
      <c r="H743" s="24"/>
      <c r="I743" s="22"/>
      <c r="J743" s="22"/>
      <c r="K743" s="22"/>
      <c r="L743" s="21"/>
      <c r="M743" s="20"/>
      <c r="N743" s="20"/>
      <c r="O743" s="23"/>
      <c r="P743" s="21"/>
      <c r="Q743" s="20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1"/>
      <c r="AU743" s="25" t="str">
        <f t="shared" si="22"/>
        <v>1Q42</v>
      </c>
      <c r="AV743" t="str">
        <f t="shared" si="23"/>
        <v>1Q42</v>
      </c>
      <c r="BA743">
        <f ca="1">IF(COUNTBLANK(C743)=0,COUNTA(INDIRECT(CONCATENATE("Area!",LEFT(ADDRESS(1,MATCH(C743,Area!$1:$1,0),4),1),"2:",LEFT(ADDRESS(1,MATCH(C743,Area!$1:$1,0),4),1),"99"))),0)</f>
        <v>0</v>
      </c>
      <c r="BB743">
        <f ca="1">IF(COUNTBLANK(D743)=0,COUNTA(INDIRECT(CONCATENATE("Setup!",LEFT(ADDRESS(1,MATCH(CONCATENATE(C743,":",D743),Setup!$1:$1,0),4),1),"2:",LEFT(ADDRESS(1,MATCH(CONCATENATE(C743,":",D743),Setup!$1:$1,0),4),1),"99"))),0)</f>
        <v>0</v>
      </c>
      <c r="BC743">
        <f ca="1">IF(COUNTBLANK(E743)=0,COUNTA(INDIRECT(CONCATENATE("Comp!",SUBSTITUTE(ADDRESS(1,MATCH(CONCATENATE(C743,":",D743,":",E743),Comp!$1:$1,0),4),"1",""),"2:",SUBSTITUTE(ADDRESS(1,MATCH(CONCATENATE(C743,":",D743,":",E743),Comp!$1:$1,0),4),"1",""),"99"))),0)</f>
        <v>0</v>
      </c>
    </row>
    <row r="744" spans="1:55">
      <c r="A744" s="20" t="s">
        <v>73</v>
      </c>
      <c r="B744" s="21"/>
      <c r="C744" s="20"/>
      <c r="D744" s="22"/>
      <c r="E744" s="22"/>
      <c r="F744" s="21"/>
      <c r="G744" s="23"/>
      <c r="H744" s="24"/>
      <c r="I744" s="22"/>
      <c r="J744" s="22"/>
      <c r="K744" s="22"/>
      <c r="L744" s="21"/>
      <c r="M744" s="20"/>
      <c r="N744" s="20"/>
      <c r="O744" s="23"/>
      <c r="P744" s="21"/>
      <c r="Q744" s="20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1"/>
      <c r="AU744" s="25" t="str">
        <f t="shared" si="22"/>
        <v>1Q42</v>
      </c>
      <c r="AV744" t="str">
        <f t="shared" si="23"/>
        <v>1Q42</v>
      </c>
      <c r="BA744">
        <f ca="1">IF(COUNTBLANK(C744)=0,COUNTA(INDIRECT(CONCATENATE("Area!",LEFT(ADDRESS(1,MATCH(C744,Area!$1:$1,0),4),1),"2:",LEFT(ADDRESS(1,MATCH(C744,Area!$1:$1,0),4),1),"99"))),0)</f>
        <v>0</v>
      </c>
      <c r="BB744">
        <f ca="1">IF(COUNTBLANK(D744)=0,COUNTA(INDIRECT(CONCATENATE("Setup!",LEFT(ADDRESS(1,MATCH(CONCATENATE(C744,":",D744),Setup!$1:$1,0),4),1),"2:",LEFT(ADDRESS(1,MATCH(CONCATENATE(C744,":",D744),Setup!$1:$1,0),4),1),"99"))),0)</f>
        <v>0</v>
      </c>
      <c r="BC744">
        <f ca="1">IF(COUNTBLANK(E744)=0,COUNTA(INDIRECT(CONCATENATE("Comp!",SUBSTITUTE(ADDRESS(1,MATCH(CONCATENATE(C744,":",D744,":",E744),Comp!$1:$1,0),4),"1",""),"2:",SUBSTITUTE(ADDRESS(1,MATCH(CONCATENATE(C744,":",D744,":",E744),Comp!$1:$1,0),4),"1",""),"99"))),0)</f>
        <v>0</v>
      </c>
    </row>
    <row r="745" spans="1:55">
      <c r="A745" s="20" t="s">
        <v>73</v>
      </c>
      <c r="B745" s="21"/>
      <c r="C745" s="20"/>
      <c r="D745" s="22"/>
      <c r="E745" s="22"/>
      <c r="F745" s="21"/>
      <c r="G745" s="23"/>
      <c r="H745" s="24"/>
      <c r="I745" s="22"/>
      <c r="J745" s="22"/>
      <c r="K745" s="22"/>
      <c r="L745" s="21"/>
      <c r="M745" s="20"/>
      <c r="N745" s="20"/>
      <c r="O745" s="23"/>
      <c r="P745" s="21"/>
      <c r="Q745" s="20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1"/>
      <c r="AU745" s="25" t="str">
        <f t="shared" si="22"/>
        <v>1Q42</v>
      </c>
      <c r="AV745" t="str">
        <f t="shared" si="23"/>
        <v>1Q42</v>
      </c>
      <c r="BA745">
        <f ca="1">IF(COUNTBLANK(C745)=0,COUNTA(INDIRECT(CONCATENATE("Area!",LEFT(ADDRESS(1,MATCH(C745,Area!$1:$1,0),4),1),"2:",LEFT(ADDRESS(1,MATCH(C745,Area!$1:$1,0),4),1),"99"))),0)</f>
        <v>0</v>
      </c>
      <c r="BB745">
        <f ca="1">IF(COUNTBLANK(D745)=0,COUNTA(INDIRECT(CONCATENATE("Setup!",LEFT(ADDRESS(1,MATCH(CONCATENATE(C745,":",D745),Setup!$1:$1,0),4),1),"2:",LEFT(ADDRESS(1,MATCH(CONCATENATE(C745,":",D745),Setup!$1:$1,0),4),1),"99"))),0)</f>
        <v>0</v>
      </c>
      <c r="BC745">
        <f ca="1">IF(COUNTBLANK(E745)=0,COUNTA(INDIRECT(CONCATENATE("Comp!",SUBSTITUTE(ADDRESS(1,MATCH(CONCATENATE(C745,":",D745,":",E745),Comp!$1:$1,0),4),"1",""),"2:",SUBSTITUTE(ADDRESS(1,MATCH(CONCATENATE(C745,":",D745,":",E745),Comp!$1:$1,0),4),"1",""),"99"))),0)</f>
        <v>0</v>
      </c>
    </row>
    <row r="746" spans="1:55">
      <c r="A746" s="20" t="s">
        <v>73</v>
      </c>
      <c r="B746" s="21"/>
      <c r="C746" s="20"/>
      <c r="D746" s="22"/>
      <c r="E746" s="22"/>
      <c r="F746" s="21"/>
      <c r="G746" s="23"/>
      <c r="H746" s="24"/>
      <c r="I746" s="22"/>
      <c r="J746" s="22"/>
      <c r="K746" s="22"/>
      <c r="L746" s="21"/>
      <c r="M746" s="20"/>
      <c r="N746" s="20"/>
      <c r="O746" s="23"/>
      <c r="P746" s="21"/>
      <c r="Q746" s="20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1"/>
      <c r="AU746" s="25" t="str">
        <f t="shared" si="22"/>
        <v>1Q42</v>
      </c>
      <c r="AV746" t="str">
        <f t="shared" si="23"/>
        <v>1Q42</v>
      </c>
      <c r="BA746">
        <f ca="1">IF(COUNTBLANK(C746)=0,COUNTA(INDIRECT(CONCATENATE("Area!",LEFT(ADDRESS(1,MATCH(C746,Area!$1:$1,0),4),1),"2:",LEFT(ADDRESS(1,MATCH(C746,Area!$1:$1,0),4),1),"99"))),0)</f>
        <v>0</v>
      </c>
      <c r="BB746">
        <f ca="1">IF(COUNTBLANK(D746)=0,COUNTA(INDIRECT(CONCATENATE("Setup!",LEFT(ADDRESS(1,MATCH(CONCATENATE(C746,":",D746),Setup!$1:$1,0),4),1),"2:",LEFT(ADDRESS(1,MATCH(CONCATENATE(C746,":",D746),Setup!$1:$1,0),4),1),"99"))),0)</f>
        <v>0</v>
      </c>
      <c r="BC746">
        <f ca="1">IF(COUNTBLANK(E746)=0,COUNTA(INDIRECT(CONCATENATE("Comp!",SUBSTITUTE(ADDRESS(1,MATCH(CONCATENATE(C746,":",D746,":",E746),Comp!$1:$1,0),4),"1",""),"2:",SUBSTITUTE(ADDRESS(1,MATCH(CONCATENATE(C746,":",D746,":",E746),Comp!$1:$1,0),4),"1",""),"99"))),0)</f>
        <v>0</v>
      </c>
    </row>
    <row r="747" spans="1:55">
      <c r="A747" s="20" t="s">
        <v>73</v>
      </c>
      <c r="B747" s="21"/>
      <c r="C747" s="20"/>
      <c r="D747" s="22"/>
      <c r="E747" s="22"/>
      <c r="F747" s="21"/>
      <c r="G747" s="23"/>
      <c r="H747" s="24"/>
      <c r="I747" s="22"/>
      <c r="J747" s="22"/>
      <c r="K747" s="22"/>
      <c r="L747" s="21"/>
      <c r="M747" s="20"/>
      <c r="N747" s="20"/>
      <c r="O747" s="23"/>
      <c r="P747" s="21"/>
      <c r="Q747" s="20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1"/>
      <c r="AU747" s="25" t="str">
        <f t="shared" si="22"/>
        <v>1Q42</v>
      </c>
      <c r="AV747" t="str">
        <f t="shared" si="23"/>
        <v>1Q42</v>
      </c>
      <c r="BA747">
        <f ca="1">IF(COUNTBLANK(C747)=0,COUNTA(INDIRECT(CONCATENATE("Area!",LEFT(ADDRESS(1,MATCH(C747,Area!$1:$1,0),4),1),"2:",LEFT(ADDRESS(1,MATCH(C747,Area!$1:$1,0),4),1),"99"))),0)</f>
        <v>0</v>
      </c>
      <c r="BB747">
        <f ca="1">IF(COUNTBLANK(D747)=0,COUNTA(INDIRECT(CONCATENATE("Setup!",LEFT(ADDRESS(1,MATCH(CONCATENATE(C747,":",D747),Setup!$1:$1,0),4),1),"2:",LEFT(ADDRESS(1,MATCH(CONCATENATE(C747,":",D747),Setup!$1:$1,0),4),1),"99"))),0)</f>
        <v>0</v>
      </c>
      <c r="BC747">
        <f ca="1">IF(COUNTBLANK(E747)=0,COUNTA(INDIRECT(CONCATENATE("Comp!",SUBSTITUTE(ADDRESS(1,MATCH(CONCATENATE(C747,":",D747,":",E747),Comp!$1:$1,0),4),"1",""),"2:",SUBSTITUTE(ADDRESS(1,MATCH(CONCATENATE(C747,":",D747,":",E747),Comp!$1:$1,0),4),"1",""),"99"))),0)</f>
        <v>0</v>
      </c>
    </row>
    <row r="748" spans="1:55">
      <c r="A748" s="20" t="s">
        <v>73</v>
      </c>
      <c r="B748" s="21"/>
      <c r="C748" s="20"/>
      <c r="D748" s="22"/>
      <c r="E748" s="22"/>
      <c r="F748" s="21"/>
      <c r="G748" s="23"/>
      <c r="H748" s="24"/>
      <c r="I748" s="22"/>
      <c r="J748" s="22"/>
      <c r="K748" s="22"/>
      <c r="L748" s="21"/>
      <c r="M748" s="20"/>
      <c r="N748" s="20"/>
      <c r="O748" s="23"/>
      <c r="P748" s="21"/>
      <c r="Q748" s="20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1"/>
      <c r="AU748" s="25" t="str">
        <f t="shared" si="22"/>
        <v>1Q42</v>
      </c>
      <c r="AV748" t="str">
        <f t="shared" si="23"/>
        <v>1Q42</v>
      </c>
      <c r="BA748">
        <f ca="1">IF(COUNTBLANK(C748)=0,COUNTA(INDIRECT(CONCATENATE("Area!",LEFT(ADDRESS(1,MATCH(C748,Area!$1:$1,0),4),1),"2:",LEFT(ADDRESS(1,MATCH(C748,Area!$1:$1,0),4),1),"99"))),0)</f>
        <v>0</v>
      </c>
      <c r="BB748">
        <f ca="1">IF(COUNTBLANK(D748)=0,COUNTA(INDIRECT(CONCATENATE("Setup!",LEFT(ADDRESS(1,MATCH(CONCATENATE(C748,":",D748),Setup!$1:$1,0),4),1),"2:",LEFT(ADDRESS(1,MATCH(CONCATENATE(C748,":",D748),Setup!$1:$1,0),4),1),"99"))),0)</f>
        <v>0</v>
      </c>
      <c r="BC748">
        <f ca="1">IF(COUNTBLANK(E748)=0,COUNTA(INDIRECT(CONCATENATE("Comp!",SUBSTITUTE(ADDRESS(1,MATCH(CONCATENATE(C748,":",D748,":",E748),Comp!$1:$1,0),4),"1",""),"2:",SUBSTITUTE(ADDRESS(1,MATCH(CONCATENATE(C748,":",D748,":",E748),Comp!$1:$1,0),4),"1",""),"99"))),0)</f>
        <v>0</v>
      </c>
    </row>
    <row r="749" spans="1:55">
      <c r="A749" s="20" t="s">
        <v>73</v>
      </c>
      <c r="B749" s="21"/>
      <c r="C749" s="20"/>
      <c r="D749" s="22"/>
      <c r="E749" s="22"/>
      <c r="F749" s="21"/>
      <c r="G749" s="23"/>
      <c r="H749" s="24"/>
      <c r="I749" s="22"/>
      <c r="J749" s="22"/>
      <c r="K749" s="22"/>
      <c r="L749" s="21"/>
      <c r="M749" s="20"/>
      <c r="N749" s="20"/>
      <c r="O749" s="23"/>
      <c r="P749" s="21"/>
      <c r="Q749" s="20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1"/>
      <c r="AU749" s="25" t="str">
        <f t="shared" si="22"/>
        <v>1Q42</v>
      </c>
      <c r="AV749" t="str">
        <f t="shared" si="23"/>
        <v>1Q42</v>
      </c>
      <c r="BA749">
        <f ca="1">IF(COUNTBLANK(C749)=0,COUNTA(INDIRECT(CONCATENATE("Area!",LEFT(ADDRESS(1,MATCH(C749,Area!$1:$1,0),4),1),"2:",LEFT(ADDRESS(1,MATCH(C749,Area!$1:$1,0),4),1),"99"))),0)</f>
        <v>0</v>
      </c>
      <c r="BB749">
        <f ca="1">IF(COUNTBLANK(D749)=0,COUNTA(INDIRECT(CONCATENATE("Setup!",LEFT(ADDRESS(1,MATCH(CONCATENATE(C749,":",D749),Setup!$1:$1,0),4),1),"2:",LEFT(ADDRESS(1,MATCH(CONCATENATE(C749,":",D749),Setup!$1:$1,0),4),1),"99"))),0)</f>
        <v>0</v>
      </c>
      <c r="BC749">
        <f ca="1">IF(COUNTBLANK(E749)=0,COUNTA(INDIRECT(CONCATENATE("Comp!",SUBSTITUTE(ADDRESS(1,MATCH(CONCATENATE(C749,":",D749,":",E749),Comp!$1:$1,0),4),"1",""),"2:",SUBSTITUTE(ADDRESS(1,MATCH(CONCATENATE(C749,":",D749,":",E749),Comp!$1:$1,0),4),"1",""),"99"))),0)</f>
        <v>0</v>
      </c>
    </row>
    <row r="750" spans="1:55">
      <c r="A750" s="20" t="s">
        <v>73</v>
      </c>
      <c r="B750" s="21"/>
      <c r="C750" s="20"/>
      <c r="D750" s="22"/>
      <c r="E750" s="22"/>
      <c r="F750" s="21"/>
      <c r="G750" s="23"/>
      <c r="H750" s="24"/>
      <c r="I750" s="22"/>
      <c r="J750" s="22"/>
      <c r="K750" s="22"/>
      <c r="L750" s="21"/>
      <c r="M750" s="20"/>
      <c r="N750" s="20"/>
      <c r="O750" s="23"/>
      <c r="P750" s="21"/>
      <c r="Q750" s="20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1"/>
      <c r="AU750" s="25" t="str">
        <f t="shared" si="22"/>
        <v>1Q42</v>
      </c>
      <c r="AV750" t="str">
        <f t="shared" si="23"/>
        <v>1Q42</v>
      </c>
      <c r="BA750">
        <f ca="1">IF(COUNTBLANK(C750)=0,COUNTA(INDIRECT(CONCATENATE("Area!",LEFT(ADDRESS(1,MATCH(C750,Area!$1:$1,0),4),1),"2:",LEFT(ADDRESS(1,MATCH(C750,Area!$1:$1,0),4),1),"99"))),0)</f>
        <v>0</v>
      </c>
      <c r="BB750">
        <f ca="1">IF(COUNTBLANK(D750)=0,COUNTA(INDIRECT(CONCATENATE("Setup!",LEFT(ADDRESS(1,MATCH(CONCATENATE(C750,":",D750),Setup!$1:$1,0),4),1),"2:",LEFT(ADDRESS(1,MATCH(CONCATENATE(C750,":",D750),Setup!$1:$1,0),4),1),"99"))),0)</f>
        <v>0</v>
      </c>
      <c r="BC750">
        <f ca="1">IF(COUNTBLANK(E750)=0,COUNTA(INDIRECT(CONCATENATE("Comp!",SUBSTITUTE(ADDRESS(1,MATCH(CONCATENATE(C750,":",D750,":",E750),Comp!$1:$1,0),4),"1",""),"2:",SUBSTITUTE(ADDRESS(1,MATCH(CONCATENATE(C750,":",D750,":",E750),Comp!$1:$1,0),4),"1",""),"99"))),0)</f>
        <v>0</v>
      </c>
    </row>
    <row r="751" spans="1:55">
      <c r="A751" s="20" t="s">
        <v>73</v>
      </c>
      <c r="B751" s="21"/>
      <c r="C751" s="20"/>
      <c r="D751" s="22"/>
      <c r="E751" s="22"/>
      <c r="F751" s="21"/>
      <c r="G751" s="23"/>
      <c r="H751" s="24"/>
      <c r="I751" s="22"/>
      <c r="J751" s="22"/>
      <c r="K751" s="22"/>
      <c r="L751" s="21"/>
      <c r="M751" s="20"/>
      <c r="N751" s="20"/>
      <c r="O751" s="23"/>
      <c r="P751" s="21"/>
      <c r="Q751" s="20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1"/>
      <c r="AU751" s="25" t="str">
        <f t="shared" si="22"/>
        <v>1Q42</v>
      </c>
      <c r="AV751" t="str">
        <f t="shared" si="23"/>
        <v>1Q42</v>
      </c>
      <c r="BA751">
        <f ca="1">IF(COUNTBLANK(C751)=0,COUNTA(INDIRECT(CONCATENATE("Area!",LEFT(ADDRESS(1,MATCH(C751,Area!$1:$1,0),4),1),"2:",LEFT(ADDRESS(1,MATCH(C751,Area!$1:$1,0),4),1),"99"))),0)</f>
        <v>0</v>
      </c>
      <c r="BB751">
        <f ca="1">IF(COUNTBLANK(D751)=0,COUNTA(INDIRECT(CONCATENATE("Setup!",LEFT(ADDRESS(1,MATCH(CONCATENATE(C751,":",D751),Setup!$1:$1,0),4),1),"2:",LEFT(ADDRESS(1,MATCH(CONCATENATE(C751,":",D751),Setup!$1:$1,0),4),1),"99"))),0)</f>
        <v>0</v>
      </c>
      <c r="BC751">
        <f ca="1">IF(COUNTBLANK(E751)=0,COUNTA(INDIRECT(CONCATENATE("Comp!",SUBSTITUTE(ADDRESS(1,MATCH(CONCATENATE(C751,":",D751,":",E751),Comp!$1:$1,0),4),"1",""),"2:",SUBSTITUTE(ADDRESS(1,MATCH(CONCATENATE(C751,":",D751,":",E751),Comp!$1:$1,0),4),"1",""),"99"))),0)</f>
        <v>0</v>
      </c>
    </row>
    <row r="752" spans="1:55">
      <c r="A752" s="20" t="s">
        <v>73</v>
      </c>
      <c r="B752" s="21"/>
      <c r="C752" s="20"/>
      <c r="D752" s="22"/>
      <c r="E752" s="22"/>
      <c r="F752" s="21"/>
      <c r="G752" s="23"/>
      <c r="H752" s="24"/>
      <c r="I752" s="22"/>
      <c r="J752" s="22"/>
      <c r="K752" s="22"/>
      <c r="L752" s="21"/>
      <c r="M752" s="20"/>
      <c r="N752" s="20"/>
      <c r="O752" s="23"/>
      <c r="P752" s="21"/>
      <c r="Q752" s="20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1"/>
      <c r="AU752" s="25" t="str">
        <f t="shared" si="22"/>
        <v>1Q42</v>
      </c>
      <c r="AV752" t="str">
        <f t="shared" si="23"/>
        <v>1Q42</v>
      </c>
      <c r="BA752">
        <f ca="1">IF(COUNTBLANK(C752)=0,COUNTA(INDIRECT(CONCATENATE("Area!",LEFT(ADDRESS(1,MATCH(C752,Area!$1:$1,0),4),1),"2:",LEFT(ADDRESS(1,MATCH(C752,Area!$1:$1,0),4),1),"99"))),0)</f>
        <v>0</v>
      </c>
      <c r="BB752">
        <f ca="1">IF(COUNTBLANK(D752)=0,COUNTA(INDIRECT(CONCATENATE("Setup!",LEFT(ADDRESS(1,MATCH(CONCATENATE(C752,":",D752),Setup!$1:$1,0),4),1),"2:",LEFT(ADDRESS(1,MATCH(CONCATENATE(C752,":",D752),Setup!$1:$1,0),4),1),"99"))),0)</f>
        <v>0</v>
      </c>
      <c r="BC752">
        <f ca="1">IF(COUNTBLANK(E752)=0,COUNTA(INDIRECT(CONCATENATE("Comp!",SUBSTITUTE(ADDRESS(1,MATCH(CONCATENATE(C752,":",D752,":",E752),Comp!$1:$1,0),4),"1",""),"2:",SUBSTITUTE(ADDRESS(1,MATCH(CONCATENATE(C752,":",D752,":",E752),Comp!$1:$1,0),4),"1",""),"99"))),0)</f>
        <v>0</v>
      </c>
    </row>
    <row r="753" spans="1:55">
      <c r="A753" s="20" t="s">
        <v>73</v>
      </c>
      <c r="B753" s="21"/>
      <c r="C753" s="20"/>
      <c r="D753" s="22"/>
      <c r="E753" s="22"/>
      <c r="F753" s="21"/>
      <c r="G753" s="23"/>
      <c r="H753" s="24"/>
      <c r="I753" s="22"/>
      <c r="J753" s="22"/>
      <c r="K753" s="22"/>
      <c r="L753" s="21"/>
      <c r="M753" s="20"/>
      <c r="N753" s="20"/>
      <c r="O753" s="23"/>
      <c r="P753" s="21"/>
      <c r="Q753" s="20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1"/>
      <c r="AU753" s="25" t="str">
        <f t="shared" si="22"/>
        <v>1Q42</v>
      </c>
      <c r="AV753" t="str">
        <f t="shared" si="23"/>
        <v>1Q42</v>
      </c>
      <c r="BA753">
        <f ca="1">IF(COUNTBLANK(C753)=0,COUNTA(INDIRECT(CONCATENATE("Area!",LEFT(ADDRESS(1,MATCH(C753,Area!$1:$1,0),4),1),"2:",LEFT(ADDRESS(1,MATCH(C753,Area!$1:$1,0),4),1),"99"))),0)</f>
        <v>0</v>
      </c>
      <c r="BB753">
        <f ca="1">IF(COUNTBLANK(D753)=0,COUNTA(INDIRECT(CONCATENATE("Setup!",LEFT(ADDRESS(1,MATCH(CONCATENATE(C753,":",D753),Setup!$1:$1,0),4),1),"2:",LEFT(ADDRESS(1,MATCH(CONCATENATE(C753,":",D753),Setup!$1:$1,0),4),1),"99"))),0)</f>
        <v>0</v>
      </c>
      <c r="BC753">
        <f ca="1">IF(COUNTBLANK(E753)=0,COUNTA(INDIRECT(CONCATENATE("Comp!",SUBSTITUTE(ADDRESS(1,MATCH(CONCATENATE(C753,":",D753,":",E753),Comp!$1:$1,0),4),"1",""),"2:",SUBSTITUTE(ADDRESS(1,MATCH(CONCATENATE(C753,":",D753,":",E753),Comp!$1:$1,0),4),"1",""),"99"))),0)</f>
        <v>0</v>
      </c>
    </row>
    <row r="754" spans="1:55">
      <c r="A754" s="20" t="s">
        <v>73</v>
      </c>
      <c r="B754" s="21"/>
      <c r="C754" s="20"/>
      <c r="D754" s="22"/>
      <c r="E754" s="22"/>
      <c r="F754" s="21"/>
      <c r="G754" s="23"/>
      <c r="H754" s="24"/>
      <c r="I754" s="22"/>
      <c r="J754" s="22"/>
      <c r="K754" s="22"/>
      <c r="L754" s="21"/>
      <c r="M754" s="20"/>
      <c r="N754" s="20"/>
      <c r="O754" s="23"/>
      <c r="P754" s="21"/>
      <c r="Q754" s="20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1"/>
      <c r="AU754" s="25" t="str">
        <f t="shared" si="22"/>
        <v>1Q42</v>
      </c>
      <c r="AV754" t="str">
        <f t="shared" si="23"/>
        <v>1Q42</v>
      </c>
      <c r="BA754">
        <f ca="1">IF(COUNTBLANK(C754)=0,COUNTA(INDIRECT(CONCATENATE("Area!",LEFT(ADDRESS(1,MATCH(C754,Area!$1:$1,0),4),1),"2:",LEFT(ADDRESS(1,MATCH(C754,Area!$1:$1,0),4),1),"99"))),0)</f>
        <v>0</v>
      </c>
      <c r="BB754">
        <f ca="1">IF(COUNTBLANK(D754)=0,COUNTA(INDIRECT(CONCATENATE("Setup!",LEFT(ADDRESS(1,MATCH(CONCATENATE(C754,":",D754),Setup!$1:$1,0),4),1),"2:",LEFT(ADDRESS(1,MATCH(CONCATENATE(C754,":",D754),Setup!$1:$1,0),4),1),"99"))),0)</f>
        <v>0</v>
      </c>
      <c r="BC754">
        <f ca="1">IF(COUNTBLANK(E754)=0,COUNTA(INDIRECT(CONCATENATE("Comp!",SUBSTITUTE(ADDRESS(1,MATCH(CONCATENATE(C754,":",D754,":",E754),Comp!$1:$1,0),4),"1",""),"2:",SUBSTITUTE(ADDRESS(1,MATCH(CONCATENATE(C754,":",D754,":",E754),Comp!$1:$1,0),4),"1",""),"99"))),0)</f>
        <v>0</v>
      </c>
    </row>
    <row r="755" spans="1:55">
      <c r="A755" s="20" t="s">
        <v>73</v>
      </c>
      <c r="B755" s="21"/>
      <c r="C755" s="20"/>
      <c r="D755" s="22"/>
      <c r="E755" s="22"/>
      <c r="F755" s="21"/>
      <c r="G755" s="23"/>
      <c r="H755" s="24"/>
      <c r="I755" s="22"/>
      <c r="J755" s="22"/>
      <c r="K755" s="22"/>
      <c r="L755" s="21"/>
      <c r="M755" s="20"/>
      <c r="N755" s="20"/>
      <c r="O755" s="23"/>
      <c r="P755" s="21"/>
      <c r="Q755" s="20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1"/>
      <c r="AU755" s="25" t="str">
        <f t="shared" si="22"/>
        <v>1Q42</v>
      </c>
      <c r="AV755" t="str">
        <f t="shared" si="23"/>
        <v>1Q42</v>
      </c>
      <c r="BA755">
        <f ca="1">IF(COUNTBLANK(C755)=0,COUNTA(INDIRECT(CONCATENATE("Area!",LEFT(ADDRESS(1,MATCH(C755,Area!$1:$1,0),4),1),"2:",LEFT(ADDRESS(1,MATCH(C755,Area!$1:$1,0),4),1),"99"))),0)</f>
        <v>0</v>
      </c>
      <c r="BB755">
        <f ca="1">IF(COUNTBLANK(D755)=0,COUNTA(INDIRECT(CONCATENATE("Setup!",LEFT(ADDRESS(1,MATCH(CONCATENATE(C755,":",D755),Setup!$1:$1,0),4),1),"2:",LEFT(ADDRESS(1,MATCH(CONCATENATE(C755,":",D755),Setup!$1:$1,0),4),1),"99"))),0)</f>
        <v>0</v>
      </c>
      <c r="BC755">
        <f ca="1">IF(COUNTBLANK(E755)=0,COUNTA(INDIRECT(CONCATENATE("Comp!",SUBSTITUTE(ADDRESS(1,MATCH(CONCATENATE(C755,":",D755,":",E755),Comp!$1:$1,0),4),"1",""),"2:",SUBSTITUTE(ADDRESS(1,MATCH(CONCATENATE(C755,":",D755,":",E755),Comp!$1:$1,0),4),"1",""),"99"))),0)</f>
        <v>0</v>
      </c>
    </row>
    <row r="756" spans="1:55">
      <c r="A756" s="20" t="s">
        <v>73</v>
      </c>
      <c r="B756" s="21"/>
      <c r="C756" s="20"/>
      <c r="D756" s="22"/>
      <c r="E756" s="22"/>
      <c r="F756" s="21"/>
      <c r="G756" s="23"/>
      <c r="H756" s="24"/>
      <c r="I756" s="22"/>
      <c r="J756" s="22"/>
      <c r="K756" s="22"/>
      <c r="L756" s="21"/>
      <c r="M756" s="20"/>
      <c r="N756" s="20"/>
      <c r="O756" s="23"/>
      <c r="P756" s="21"/>
      <c r="Q756" s="20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1"/>
      <c r="AU756" s="25" t="str">
        <f t="shared" si="22"/>
        <v>1Q42</v>
      </c>
      <c r="AV756" t="str">
        <f t="shared" si="23"/>
        <v>1Q42</v>
      </c>
      <c r="BA756">
        <f ca="1">IF(COUNTBLANK(C756)=0,COUNTA(INDIRECT(CONCATENATE("Area!",LEFT(ADDRESS(1,MATCH(C756,Area!$1:$1,0),4),1),"2:",LEFT(ADDRESS(1,MATCH(C756,Area!$1:$1,0),4),1),"99"))),0)</f>
        <v>0</v>
      </c>
      <c r="BB756">
        <f ca="1">IF(COUNTBLANK(D756)=0,COUNTA(INDIRECT(CONCATENATE("Setup!",LEFT(ADDRESS(1,MATCH(CONCATENATE(C756,":",D756),Setup!$1:$1,0),4),1),"2:",LEFT(ADDRESS(1,MATCH(CONCATENATE(C756,":",D756),Setup!$1:$1,0),4),1),"99"))),0)</f>
        <v>0</v>
      </c>
      <c r="BC756">
        <f ca="1">IF(COUNTBLANK(E756)=0,COUNTA(INDIRECT(CONCATENATE("Comp!",SUBSTITUTE(ADDRESS(1,MATCH(CONCATENATE(C756,":",D756,":",E756),Comp!$1:$1,0),4),"1",""),"2:",SUBSTITUTE(ADDRESS(1,MATCH(CONCATENATE(C756,":",D756,":",E756),Comp!$1:$1,0),4),"1",""),"99"))),0)</f>
        <v>0</v>
      </c>
    </row>
    <row r="757" spans="1:55">
      <c r="A757" s="20" t="s">
        <v>73</v>
      </c>
      <c r="B757" s="21"/>
      <c r="C757" s="20"/>
      <c r="D757" s="22"/>
      <c r="E757" s="22"/>
      <c r="F757" s="21"/>
      <c r="G757" s="23"/>
      <c r="H757" s="24"/>
      <c r="I757" s="22"/>
      <c r="J757" s="22"/>
      <c r="K757" s="22"/>
      <c r="L757" s="21"/>
      <c r="M757" s="20"/>
      <c r="N757" s="20"/>
      <c r="O757" s="23"/>
      <c r="P757" s="21"/>
      <c r="Q757" s="20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1"/>
      <c r="AU757" s="25" t="str">
        <f t="shared" si="22"/>
        <v>1Q42</v>
      </c>
      <c r="AV757" t="str">
        <f t="shared" si="23"/>
        <v>1Q42</v>
      </c>
      <c r="BA757">
        <f ca="1">IF(COUNTBLANK(C757)=0,COUNTA(INDIRECT(CONCATENATE("Area!",LEFT(ADDRESS(1,MATCH(C757,Area!$1:$1,0),4),1),"2:",LEFT(ADDRESS(1,MATCH(C757,Area!$1:$1,0),4),1),"99"))),0)</f>
        <v>0</v>
      </c>
      <c r="BB757">
        <f ca="1">IF(COUNTBLANK(D757)=0,COUNTA(INDIRECT(CONCATENATE("Setup!",LEFT(ADDRESS(1,MATCH(CONCATENATE(C757,":",D757),Setup!$1:$1,0),4),1),"2:",LEFT(ADDRESS(1,MATCH(CONCATENATE(C757,":",D757),Setup!$1:$1,0),4),1),"99"))),0)</f>
        <v>0</v>
      </c>
      <c r="BC757">
        <f ca="1">IF(COUNTBLANK(E757)=0,COUNTA(INDIRECT(CONCATENATE("Comp!",SUBSTITUTE(ADDRESS(1,MATCH(CONCATENATE(C757,":",D757,":",E757),Comp!$1:$1,0),4),"1",""),"2:",SUBSTITUTE(ADDRESS(1,MATCH(CONCATENATE(C757,":",D757,":",E757),Comp!$1:$1,0),4),"1",""),"99"))),0)</f>
        <v>0</v>
      </c>
    </row>
    <row r="758" spans="1:55">
      <c r="A758" s="20" t="s">
        <v>73</v>
      </c>
      <c r="B758" s="21"/>
      <c r="C758" s="20"/>
      <c r="D758" s="22"/>
      <c r="E758" s="22"/>
      <c r="F758" s="21"/>
      <c r="G758" s="23"/>
      <c r="H758" s="24"/>
      <c r="I758" s="22"/>
      <c r="J758" s="22"/>
      <c r="K758" s="22"/>
      <c r="L758" s="21"/>
      <c r="M758" s="20"/>
      <c r="N758" s="20"/>
      <c r="O758" s="23"/>
      <c r="P758" s="21"/>
      <c r="Q758" s="20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1"/>
      <c r="AU758" s="25" t="str">
        <f t="shared" si="22"/>
        <v>1Q42</v>
      </c>
      <c r="AV758" t="str">
        <f t="shared" si="23"/>
        <v>1Q42</v>
      </c>
      <c r="BA758">
        <f ca="1">IF(COUNTBLANK(C758)=0,COUNTA(INDIRECT(CONCATENATE("Area!",LEFT(ADDRESS(1,MATCH(C758,Area!$1:$1,0),4),1),"2:",LEFT(ADDRESS(1,MATCH(C758,Area!$1:$1,0),4),1),"99"))),0)</f>
        <v>0</v>
      </c>
      <c r="BB758">
        <f ca="1">IF(COUNTBLANK(D758)=0,COUNTA(INDIRECT(CONCATENATE("Setup!",LEFT(ADDRESS(1,MATCH(CONCATENATE(C758,":",D758),Setup!$1:$1,0),4),1),"2:",LEFT(ADDRESS(1,MATCH(CONCATENATE(C758,":",D758),Setup!$1:$1,0),4),1),"99"))),0)</f>
        <v>0</v>
      </c>
      <c r="BC758">
        <f ca="1">IF(COUNTBLANK(E758)=0,COUNTA(INDIRECT(CONCATENATE("Comp!",SUBSTITUTE(ADDRESS(1,MATCH(CONCATENATE(C758,":",D758,":",E758),Comp!$1:$1,0),4),"1",""),"2:",SUBSTITUTE(ADDRESS(1,MATCH(CONCATENATE(C758,":",D758,":",E758),Comp!$1:$1,0),4),"1",""),"99"))),0)</f>
        <v>0</v>
      </c>
    </row>
    <row r="759" spans="1:55">
      <c r="A759" s="20" t="s">
        <v>73</v>
      </c>
      <c r="B759" s="21"/>
      <c r="C759" s="20"/>
      <c r="D759" s="22"/>
      <c r="E759" s="22"/>
      <c r="F759" s="21"/>
      <c r="G759" s="23"/>
      <c r="H759" s="24"/>
      <c r="I759" s="22"/>
      <c r="J759" s="22"/>
      <c r="K759" s="22"/>
      <c r="L759" s="21"/>
      <c r="M759" s="20"/>
      <c r="N759" s="20"/>
      <c r="O759" s="23"/>
      <c r="P759" s="21"/>
      <c r="Q759" s="20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1"/>
      <c r="AU759" s="25" t="str">
        <f t="shared" si="22"/>
        <v>1Q42</v>
      </c>
      <c r="AV759" t="str">
        <f t="shared" si="23"/>
        <v>1Q42</v>
      </c>
      <c r="BA759">
        <f ca="1">IF(COUNTBLANK(C759)=0,COUNTA(INDIRECT(CONCATENATE("Area!",LEFT(ADDRESS(1,MATCH(C759,Area!$1:$1,0),4),1),"2:",LEFT(ADDRESS(1,MATCH(C759,Area!$1:$1,0),4),1),"99"))),0)</f>
        <v>0</v>
      </c>
      <c r="BB759">
        <f ca="1">IF(COUNTBLANK(D759)=0,COUNTA(INDIRECT(CONCATENATE("Setup!",LEFT(ADDRESS(1,MATCH(CONCATENATE(C759,":",D759),Setup!$1:$1,0),4),1),"2:",LEFT(ADDRESS(1,MATCH(CONCATENATE(C759,":",D759),Setup!$1:$1,0),4),1),"99"))),0)</f>
        <v>0</v>
      </c>
      <c r="BC759">
        <f ca="1">IF(COUNTBLANK(E759)=0,COUNTA(INDIRECT(CONCATENATE("Comp!",SUBSTITUTE(ADDRESS(1,MATCH(CONCATENATE(C759,":",D759,":",E759),Comp!$1:$1,0),4),"1",""),"2:",SUBSTITUTE(ADDRESS(1,MATCH(CONCATENATE(C759,":",D759,":",E759),Comp!$1:$1,0),4),"1",""),"99"))),0)</f>
        <v>0</v>
      </c>
    </row>
    <row r="760" spans="1:55">
      <c r="A760" s="20" t="s">
        <v>73</v>
      </c>
      <c r="B760" s="21"/>
      <c r="C760" s="20"/>
      <c r="D760" s="22"/>
      <c r="E760" s="22"/>
      <c r="F760" s="21"/>
      <c r="G760" s="23"/>
      <c r="H760" s="24"/>
      <c r="I760" s="22"/>
      <c r="J760" s="22"/>
      <c r="K760" s="22"/>
      <c r="L760" s="21"/>
      <c r="M760" s="20"/>
      <c r="N760" s="20"/>
      <c r="O760" s="23"/>
      <c r="P760" s="21"/>
      <c r="Q760" s="20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1"/>
      <c r="AU760" s="25" t="str">
        <f t="shared" si="22"/>
        <v>1Q42</v>
      </c>
      <c r="AV760" t="str">
        <f t="shared" si="23"/>
        <v>1Q42</v>
      </c>
      <c r="BA760">
        <f ca="1">IF(COUNTBLANK(C760)=0,COUNTA(INDIRECT(CONCATENATE("Area!",LEFT(ADDRESS(1,MATCH(C760,Area!$1:$1,0),4),1),"2:",LEFT(ADDRESS(1,MATCH(C760,Area!$1:$1,0),4),1),"99"))),0)</f>
        <v>0</v>
      </c>
      <c r="BB760">
        <f ca="1">IF(COUNTBLANK(D760)=0,COUNTA(INDIRECT(CONCATENATE("Setup!",LEFT(ADDRESS(1,MATCH(CONCATENATE(C760,":",D760),Setup!$1:$1,0),4),1),"2:",LEFT(ADDRESS(1,MATCH(CONCATENATE(C760,":",D760),Setup!$1:$1,0),4),1),"99"))),0)</f>
        <v>0</v>
      </c>
      <c r="BC760">
        <f ca="1">IF(COUNTBLANK(E760)=0,COUNTA(INDIRECT(CONCATENATE("Comp!",SUBSTITUTE(ADDRESS(1,MATCH(CONCATENATE(C760,":",D760,":",E760),Comp!$1:$1,0),4),"1",""),"2:",SUBSTITUTE(ADDRESS(1,MATCH(CONCATENATE(C760,":",D760,":",E760),Comp!$1:$1,0),4),"1",""),"99"))),0)</f>
        <v>0</v>
      </c>
    </row>
    <row r="761" spans="1:55">
      <c r="A761" s="20" t="s">
        <v>73</v>
      </c>
      <c r="B761" s="21"/>
      <c r="C761" s="20"/>
      <c r="D761" s="22"/>
      <c r="E761" s="22"/>
      <c r="F761" s="21"/>
      <c r="G761" s="23"/>
      <c r="H761" s="24"/>
      <c r="I761" s="22"/>
      <c r="J761" s="22"/>
      <c r="K761" s="22"/>
      <c r="L761" s="21"/>
      <c r="M761" s="20"/>
      <c r="N761" s="20"/>
      <c r="O761" s="23"/>
      <c r="P761" s="21"/>
      <c r="Q761" s="20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1"/>
      <c r="AU761" s="25" t="str">
        <f t="shared" si="22"/>
        <v>1Q42</v>
      </c>
      <c r="AV761" t="str">
        <f t="shared" si="23"/>
        <v>1Q42</v>
      </c>
      <c r="BA761">
        <f ca="1">IF(COUNTBLANK(C761)=0,COUNTA(INDIRECT(CONCATENATE("Area!",LEFT(ADDRESS(1,MATCH(C761,Area!$1:$1,0),4),1),"2:",LEFT(ADDRESS(1,MATCH(C761,Area!$1:$1,0),4),1),"99"))),0)</f>
        <v>0</v>
      </c>
      <c r="BB761">
        <f ca="1">IF(COUNTBLANK(D761)=0,COUNTA(INDIRECT(CONCATENATE("Setup!",LEFT(ADDRESS(1,MATCH(CONCATENATE(C761,":",D761),Setup!$1:$1,0),4),1),"2:",LEFT(ADDRESS(1,MATCH(CONCATENATE(C761,":",D761),Setup!$1:$1,0),4),1),"99"))),0)</f>
        <v>0</v>
      </c>
      <c r="BC761">
        <f ca="1">IF(COUNTBLANK(E761)=0,COUNTA(INDIRECT(CONCATENATE("Comp!",SUBSTITUTE(ADDRESS(1,MATCH(CONCATENATE(C761,":",D761,":",E761),Comp!$1:$1,0),4),"1",""),"2:",SUBSTITUTE(ADDRESS(1,MATCH(CONCATENATE(C761,":",D761,":",E761),Comp!$1:$1,0),4),"1",""),"99"))),0)</f>
        <v>0</v>
      </c>
    </row>
    <row r="762" spans="1:55">
      <c r="A762" s="20" t="s">
        <v>73</v>
      </c>
      <c r="B762" s="21"/>
      <c r="C762" s="20"/>
      <c r="D762" s="22"/>
      <c r="E762" s="22"/>
      <c r="F762" s="21"/>
      <c r="G762" s="23"/>
      <c r="H762" s="24"/>
      <c r="I762" s="22"/>
      <c r="J762" s="22"/>
      <c r="K762" s="22"/>
      <c r="L762" s="21"/>
      <c r="M762" s="20"/>
      <c r="N762" s="20"/>
      <c r="O762" s="23"/>
      <c r="P762" s="21"/>
      <c r="Q762" s="20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1"/>
      <c r="AU762" s="25" t="str">
        <f t="shared" si="22"/>
        <v>1Q42</v>
      </c>
      <c r="AV762" t="str">
        <f t="shared" si="23"/>
        <v>1Q42</v>
      </c>
      <c r="BA762">
        <f ca="1">IF(COUNTBLANK(C762)=0,COUNTA(INDIRECT(CONCATENATE("Area!",LEFT(ADDRESS(1,MATCH(C762,Area!$1:$1,0),4),1),"2:",LEFT(ADDRESS(1,MATCH(C762,Area!$1:$1,0),4),1),"99"))),0)</f>
        <v>0</v>
      </c>
      <c r="BB762">
        <f ca="1">IF(COUNTBLANK(D762)=0,COUNTA(INDIRECT(CONCATENATE("Setup!",LEFT(ADDRESS(1,MATCH(CONCATENATE(C762,":",D762),Setup!$1:$1,0),4),1),"2:",LEFT(ADDRESS(1,MATCH(CONCATENATE(C762,":",D762),Setup!$1:$1,0),4),1),"99"))),0)</f>
        <v>0</v>
      </c>
      <c r="BC762">
        <f ca="1">IF(COUNTBLANK(E762)=0,COUNTA(INDIRECT(CONCATENATE("Comp!",SUBSTITUTE(ADDRESS(1,MATCH(CONCATENATE(C762,":",D762,":",E762),Comp!$1:$1,0),4),"1",""),"2:",SUBSTITUTE(ADDRESS(1,MATCH(CONCATENATE(C762,":",D762,":",E762),Comp!$1:$1,0),4),"1",""),"99"))),0)</f>
        <v>0</v>
      </c>
    </row>
    <row r="763" spans="1:55">
      <c r="A763" s="20" t="s">
        <v>73</v>
      </c>
      <c r="B763" s="21"/>
      <c r="C763" s="20"/>
      <c r="D763" s="22"/>
      <c r="E763" s="22"/>
      <c r="F763" s="21"/>
      <c r="G763" s="23"/>
      <c r="H763" s="24"/>
      <c r="I763" s="22"/>
      <c r="J763" s="22"/>
      <c r="K763" s="22"/>
      <c r="L763" s="21"/>
      <c r="M763" s="20"/>
      <c r="N763" s="20"/>
      <c r="O763" s="23"/>
      <c r="P763" s="21"/>
      <c r="Q763" s="20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1"/>
      <c r="AU763" s="25" t="str">
        <f t="shared" si="22"/>
        <v>1Q42</v>
      </c>
      <c r="AV763" t="str">
        <f t="shared" si="23"/>
        <v>1Q42</v>
      </c>
      <c r="BA763">
        <f ca="1">IF(COUNTBLANK(C763)=0,COUNTA(INDIRECT(CONCATENATE("Area!",LEFT(ADDRESS(1,MATCH(C763,Area!$1:$1,0),4),1),"2:",LEFT(ADDRESS(1,MATCH(C763,Area!$1:$1,0),4),1),"99"))),0)</f>
        <v>0</v>
      </c>
      <c r="BB763">
        <f ca="1">IF(COUNTBLANK(D763)=0,COUNTA(INDIRECT(CONCATENATE("Setup!",LEFT(ADDRESS(1,MATCH(CONCATENATE(C763,":",D763),Setup!$1:$1,0),4),1),"2:",LEFT(ADDRESS(1,MATCH(CONCATENATE(C763,":",D763),Setup!$1:$1,0),4),1),"99"))),0)</f>
        <v>0</v>
      </c>
      <c r="BC763">
        <f ca="1">IF(COUNTBLANK(E763)=0,COUNTA(INDIRECT(CONCATENATE("Comp!",SUBSTITUTE(ADDRESS(1,MATCH(CONCATENATE(C763,":",D763,":",E763),Comp!$1:$1,0),4),"1",""),"2:",SUBSTITUTE(ADDRESS(1,MATCH(CONCATENATE(C763,":",D763,":",E763),Comp!$1:$1,0),4),"1",""),"99"))),0)</f>
        <v>0</v>
      </c>
    </row>
    <row r="764" spans="1:55">
      <c r="A764" s="20" t="s">
        <v>73</v>
      </c>
      <c r="B764" s="21"/>
      <c r="C764" s="20"/>
      <c r="D764" s="22"/>
      <c r="E764" s="22"/>
      <c r="F764" s="21"/>
      <c r="G764" s="23"/>
      <c r="H764" s="24"/>
      <c r="I764" s="22"/>
      <c r="J764" s="22"/>
      <c r="K764" s="22"/>
      <c r="L764" s="21"/>
      <c r="M764" s="20"/>
      <c r="N764" s="20"/>
      <c r="O764" s="23"/>
      <c r="P764" s="21"/>
      <c r="Q764" s="20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1"/>
      <c r="AU764" s="25" t="str">
        <f t="shared" si="22"/>
        <v>1Q42</v>
      </c>
      <c r="AV764" t="str">
        <f t="shared" si="23"/>
        <v>1Q42</v>
      </c>
      <c r="BA764">
        <f ca="1">IF(COUNTBLANK(C764)=0,COUNTA(INDIRECT(CONCATENATE("Area!",LEFT(ADDRESS(1,MATCH(C764,Area!$1:$1,0),4),1),"2:",LEFT(ADDRESS(1,MATCH(C764,Area!$1:$1,0),4),1),"99"))),0)</f>
        <v>0</v>
      </c>
      <c r="BB764">
        <f ca="1">IF(COUNTBLANK(D764)=0,COUNTA(INDIRECT(CONCATENATE("Setup!",LEFT(ADDRESS(1,MATCH(CONCATENATE(C764,":",D764),Setup!$1:$1,0),4),1),"2:",LEFT(ADDRESS(1,MATCH(CONCATENATE(C764,":",D764),Setup!$1:$1,0),4),1),"99"))),0)</f>
        <v>0</v>
      </c>
      <c r="BC764">
        <f ca="1">IF(COUNTBLANK(E764)=0,COUNTA(INDIRECT(CONCATENATE("Comp!",SUBSTITUTE(ADDRESS(1,MATCH(CONCATENATE(C764,":",D764,":",E764),Comp!$1:$1,0),4),"1",""),"2:",SUBSTITUTE(ADDRESS(1,MATCH(CONCATENATE(C764,":",D764,":",E764),Comp!$1:$1,0),4),"1",""),"99"))),0)</f>
        <v>0</v>
      </c>
    </row>
    <row r="765" spans="1:55">
      <c r="A765" s="20" t="s">
        <v>73</v>
      </c>
      <c r="B765" s="21"/>
      <c r="C765" s="20"/>
      <c r="D765" s="22"/>
      <c r="E765" s="22"/>
      <c r="F765" s="21"/>
      <c r="G765" s="23"/>
      <c r="H765" s="24"/>
      <c r="I765" s="22"/>
      <c r="J765" s="22"/>
      <c r="K765" s="22"/>
      <c r="L765" s="21"/>
      <c r="M765" s="20"/>
      <c r="N765" s="20"/>
      <c r="O765" s="23"/>
      <c r="P765" s="21"/>
      <c r="Q765" s="20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1"/>
      <c r="AU765" s="25" t="str">
        <f t="shared" si="22"/>
        <v>1Q42</v>
      </c>
      <c r="AV765" t="str">
        <f t="shared" si="23"/>
        <v>1Q42</v>
      </c>
      <c r="BA765">
        <f ca="1">IF(COUNTBLANK(C765)=0,COUNTA(INDIRECT(CONCATENATE("Area!",LEFT(ADDRESS(1,MATCH(C765,Area!$1:$1,0),4),1),"2:",LEFT(ADDRESS(1,MATCH(C765,Area!$1:$1,0),4),1),"99"))),0)</f>
        <v>0</v>
      </c>
      <c r="BB765">
        <f ca="1">IF(COUNTBLANK(D765)=0,COUNTA(INDIRECT(CONCATENATE("Setup!",LEFT(ADDRESS(1,MATCH(CONCATENATE(C765,":",D765),Setup!$1:$1,0),4),1),"2:",LEFT(ADDRESS(1,MATCH(CONCATENATE(C765,":",D765),Setup!$1:$1,0),4),1),"99"))),0)</f>
        <v>0</v>
      </c>
      <c r="BC765">
        <f ca="1">IF(COUNTBLANK(E765)=0,COUNTA(INDIRECT(CONCATENATE("Comp!",SUBSTITUTE(ADDRESS(1,MATCH(CONCATENATE(C765,":",D765,":",E765),Comp!$1:$1,0),4),"1",""),"2:",SUBSTITUTE(ADDRESS(1,MATCH(CONCATENATE(C765,":",D765,":",E765),Comp!$1:$1,0),4),"1",""),"99"))),0)</f>
        <v>0</v>
      </c>
    </row>
    <row r="766" spans="1:55">
      <c r="A766" s="20" t="s">
        <v>73</v>
      </c>
      <c r="B766" s="21"/>
      <c r="C766" s="20"/>
      <c r="D766" s="22"/>
      <c r="E766" s="22"/>
      <c r="F766" s="21"/>
      <c r="G766" s="23"/>
      <c r="H766" s="24"/>
      <c r="I766" s="22"/>
      <c r="J766" s="22"/>
      <c r="K766" s="22"/>
      <c r="L766" s="21"/>
      <c r="M766" s="20"/>
      <c r="N766" s="20"/>
      <c r="O766" s="23"/>
      <c r="P766" s="21"/>
      <c r="Q766" s="20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1"/>
      <c r="AU766" s="25" t="str">
        <f t="shared" si="22"/>
        <v>1Q42</v>
      </c>
      <c r="AV766" t="str">
        <f t="shared" si="23"/>
        <v>1Q42</v>
      </c>
      <c r="BA766">
        <f ca="1">IF(COUNTBLANK(C766)=0,COUNTA(INDIRECT(CONCATENATE("Area!",LEFT(ADDRESS(1,MATCH(C766,Area!$1:$1,0),4),1),"2:",LEFT(ADDRESS(1,MATCH(C766,Area!$1:$1,0),4),1),"99"))),0)</f>
        <v>0</v>
      </c>
      <c r="BB766">
        <f ca="1">IF(COUNTBLANK(D766)=0,COUNTA(INDIRECT(CONCATENATE("Setup!",LEFT(ADDRESS(1,MATCH(CONCATENATE(C766,":",D766),Setup!$1:$1,0),4),1),"2:",LEFT(ADDRESS(1,MATCH(CONCATENATE(C766,":",D766),Setup!$1:$1,0),4),1),"99"))),0)</f>
        <v>0</v>
      </c>
      <c r="BC766">
        <f ca="1">IF(COUNTBLANK(E766)=0,COUNTA(INDIRECT(CONCATENATE("Comp!",SUBSTITUTE(ADDRESS(1,MATCH(CONCATENATE(C766,":",D766,":",E766),Comp!$1:$1,0),4),"1",""),"2:",SUBSTITUTE(ADDRESS(1,MATCH(CONCATENATE(C766,":",D766,":",E766),Comp!$1:$1,0),4),"1",""),"99"))),0)</f>
        <v>0</v>
      </c>
    </row>
    <row r="767" spans="1:55">
      <c r="A767" s="20" t="s">
        <v>73</v>
      </c>
      <c r="B767" s="21"/>
      <c r="C767" s="20"/>
      <c r="D767" s="22"/>
      <c r="E767" s="22"/>
      <c r="F767" s="21"/>
      <c r="G767" s="23"/>
      <c r="H767" s="24"/>
      <c r="I767" s="22"/>
      <c r="J767" s="22"/>
      <c r="K767" s="22"/>
      <c r="L767" s="21"/>
      <c r="M767" s="20"/>
      <c r="N767" s="20"/>
      <c r="O767" s="23"/>
      <c r="P767" s="21"/>
      <c r="Q767" s="20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1"/>
      <c r="AU767" s="25" t="str">
        <f t="shared" si="22"/>
        <v>1Q42</v>
      </c>
      <c r="AV767" t="str">
        <f t="shared" si="23"/>
        <v>1Q42</v>
      </c>
      <c r="BA767">
        <f ca="1">IF(COUNTBLANK(C767)=0,COUNTA(INDIRECT(CONCATENATE("Area!",LEFT(ADDRESS(1,MATCH(C767,Area!$1:$1,0),4),1),"2:",LEFT(ADDRESS(1,MATCH(C767,Area!$1:$1,0),4),1),"99"))),0)</f>
        <v>0</v>
      </c>
      <c r="BB767">
        <f ca="1">IF(COUNTBLANK(D767)=0,COUNTA(INDIRECT(CONCATENATE("Setup!",LEFT(ADDRESS(1,MATCH(CONCATENATE(C767,":",D767),Setup!$1:$1,0),4),1),"2:",LEFT(ADDRESS(1,MATCH(CONCATENATE(C767,":",D767),Setup!$1:$1,0),4),1),"99"))),0)</f>
        <v>0</v>
      </c>
      <c r="BC767">
        <f ca="1">IF(COUNTBLANK(E767)=0,COUNTA(INDIRECT(CONCATENATE("Comp!",SUBSTITUTE(ADDRESS(1,MATCH(CONCATENATE(C767,":",D767,":",E767),Comp!$1:$1,0),4),"1",""),"2:",SUBSTITUTE(ADDRESS(1,MATCH(CONCATENATE(C767,":",D767,":",E767),Comp!$1:$1,0),4),"1",""),"99"))),0)</f>
        <v>0</v>
      </c>
    </row>
    <row r="768" spans="1:55">
      <c r="A768" s="20" t="s">
        <v>73</v>
      </c>
      <c r="B768" s="21"/>
      <c r="C768" s="20"/>
      <c r="D768" s="22"/>
      <c r="E768" s="22"/>
      <c r="F768" s="21"/>
      <c r="G768" s="23"/>
      <c r="H768" s="24"/>
      <c r="I768" s="22"/>
      <c r="J768" s="22"/>
      <c r="K768" s="22"/>
      <c r="L768" s="21"/>
      <c r="M768" s="20"/>
      <c r="N768" s="20"/>
      <c r="O768" s="23"/>
      <c r="P768" s="21"/>
      <c r="Q768" s="20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1"/>
      <c r="AU768" s="25" t="str">
        <f t="shared" si="22"/>
        <v>1Q42</v>
      </c>
      <c r="AV768" t="str">
        <f t="shared" si="23"/>
        <v>1Q42</v>
      </c>
      <c r="BA768">
        <f ca="1">IF(COUNTBLANK(C768)=0,COUNTA(INDIRECT(CONCATENATE("Area!",LEFT(ADDRESS(1,MATCH(C768,Area!$1:$1,0),4),1),"2:",LEFT(ADDRESS(1,MATCH(C768,Area!$1:$1,0),4),1),"99"))),0)</f>
        <v>0</v>
      </c>
      <c r="BB768">
        <f ca="1">IF(COUNTBLANK(D768)=0,COUNTA(INDIRECT(CONCATENATE("Setup!",LEFT(ADDRESS(1,MATCH(CONCATENATE(C768,":",D768),Setup!$1:$1,0),4),1),"2:",LEFT(ADDRESS(1,MATCH(CONCATENATE(C768,":",D768),Setup!$1:$1,0),4),1),"99"))),0)</f>
        <v>0</v>
      </c>
      <c r="BC768">
        <f ca="1">IF(COUNTBLANK(E768)=0,COUNTA(INDIRECT(CONCATENATE("Comp!",SUBSTITUTE(ADDRESS(1,MATCH(CONCATENATE(C768,":",D768,":",E768),Comp!$1:$1,0),4),"1",""),"2:",SUBSTITUTE(ADDRESS(1,MATCH(CONCATENATE(C768,":",D768,":",E768),Comp!$1:$1,0),4),"1",""),"99"))),0)</f>
        <v>0</v>
      </c>
    </row>
    <row r="769" spans="1:55">
      <c r="A769" s="20" t="s">
        <v>73</v>
      </c>
      <c r="B769" s="21"/>
      <c r="C769" s="20"/>
      <c r="D769" s="22"/>
      <c r="E769" s="22"/>
      <c r="F769" s="21"/>
      <c r="G769" s="23"/>
      <c r="H769" s="24"/>
      <c r="I769" s="22"/>
      <c r="J769" s="22"/>
      <c r="K769" s="22"/>
      <c r="L769" s="21"/>
      <c r="M769" s="20"/>
      <c r="N769" s="20"/>
      <c r="O769" s="23"/>
      <c r="P769" s="21"/>
      <c r="Q769" s="20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1"/>
      <c r="AU769" s="25" t="str">
        <f t="shared" si="22"/>
        <v>1Q42</v>
      </c>
      <c r="AV769" t="str">
        <f t="shared" si="23"/>
        <v>1Q42</v>
      </c>
      <c r="BA769">
        <f ca="1">IF(COUNTBLANK(C769)=0,COUNTA(INDIRECT(CONCATENATE("Area!",LEFT(ADDRESS(1,MATCH(C769,Area!$1:$1,0),4),1),"2:",LEFT(ADDRESS(1,MATCH(C769,Area!$1:$1,0),4),1),"99"))),0)</f>
        <v>0</v>
      </c>
      <c r="BB769">
        <f ca="1">IF(COUNTBLANK(D769)=0,COUNTA(INDIRECT(CONCATENATE("Setup!",LEFT(ADDRESS(1,MATCH(CONCATENATE(C769,":",D769),Setup!$1:$1,0),4),1),"2:",LEFT(ADDRESS(1,MATCH(CONCATENATE(C769,":",D769),Setup!$1:$1,0),4),1),"99"))),0)</f>
        <v>0</v>
      </c>
      <c r="BC769">
        <f ca="1">IF(COUNTBLANK(E769)=0,COUNTA(INDIRECT(CONCATENATE("Comp!",SUBSTITUTE(ADDRESS(1,MATCH(CONCATENATE(C769,":",D769,":",E769),Comp!$1:$1,0),4),"1",""),"2:",SUBSTITUTE(ADDRESS(1,MATCH(CONCATENATE(C769,":",D769,":",E769),Comp!$1:$1,0),4),"1",""),"99"))),0)</f>
        <v>0</v>
      </c>
    </row>
    <row r="770" spans="1:55">
      <c r="A770" s="20" t="s">
        <v>73</v>
      </c>
      <c r="B770" s="21"/>
      <c r="C770" s="20"/>
      <c r="D770" s="22"/>
      <c r="E770" s="22"/>
      <c r="F770" s="21"/>
      <c r="G770" s="23"/>
      <c r="H770" s="24"/>
      <c r="I770" s="22"/>
      <c r="J770" s="22"/>
      <c r="K770" s="22"/>
      <c r="L770" s="21"/>
      <c r="M770" s="20"/>
      <c r="N770" s="20"/>
      <c r="O770" s="23"/>
      <c r="P770" s="21"/>
      <c r="Q770" s="20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1"/>
      <c r="AU770" s="25" t="str">
        <f t="shared" si="22"/>
        <v>1Q42</v>
      </c>
      <c r="AV770" t="str">
        <f t="shared" si="23"/>
        <v>1Q42</v>
      </c>
      <c r="BA770">
        <f ca="1">IF(COUNTBLANK(C770)=0,COUNTA(INDIRECT(CONCATENATE("Area!",LEFT(ADDRESS(1,MATCH(C770,Area!$1:$1,0),4),1),"2:",LEFT(ADDRESS(1,MATCH(C770,Area!$1:$1,0),4),1),"99"))),0)</f>
        <v>0</v>
      </c>
      <c r="BB770">
        <f ca="1">IF(COUNTBLANK(D770)=0,COUNTA(INDIRECT(CONCATENATE("Setup!",LEFT(ADDRESS(1,MATCH(CONCATENATE(C770,":",D770),Setup!$1:$1,0),4),1),"2:",LEFT(ADDRESS(1,MATCH(CONCATENATE(C770,":",D770),Setup!$1:$1,0),4),1),"99"))),0)</f>
        <v>0</v>
      </c>
      <c r="BC770">
        <f ca="1">IF(COUNTBLANK(E770)=0,COUNTA(INDIRECT(CONCATENATE("Comp!",SUBSTITUTE(ADDRESS(1,MATCH(CONCATENATE(C770,":",D770,":",E770),Comp!$1:$1,0),4),"1",""),"2:",SUBSTITUTE(ADDRESS(1,MATCH(CONCATENATE(C770,":",D770,":",E770),Comp!$1:$1,0),4),"1",""),"99"))),0)</f>
        <v>0</v>
      </c>
    </row>
    <row r="771" spans="1:55">
      <c r="A771" s="20" t="s">
        <v>73</v>
      </c>
      <c r="B771" s="21"/>
      <c r="C771" s="20"/>
      <c r="D771" s="22"/>
      <c r="E771" s="22"/>
      <c r="F771" s="21"/>
      <c r="G771" s="23"/>
      <c r="H771" s="24"/>
      <c r="I771" s="22"/>
      <c r="J771" s="22"/>
      <c r="K771" s="22"/>
      <c r="L771" s="21"/>
      <c r="M771" s="20"/>
      <c r="N771" s="20"/>
      <c r="O771" s="23"/>
      <c r="P771" s="21"/>
      <c r="Q771" s="20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1"/>
      <c r="AU771" s="25" t="str">
        <f t="shared" si="22"/>
        <v>1Q42</v>
      </c>
      <c r="AV771" t="str">
        <f t="shared" si="23"/>
        <v>1Q42</v>
      </c>
      <c r="BA771">
        <f ca="1">IF(COUNTBLANK(C771)=0,COUNTA(INDIRECT(CONCATENATE("Area!",LEFT(ADDRESS(1,MATCH(C771,Area!$1:$1,0),4),1),"2:",LEFT(ADDRESS(1,MATCH(C771,Area!$1:$1,0),4),1),"99"))),0)</f>
        <v>0</v>
      </c>
      <c r="BB771">
        <f ca="1">IF(COUNTBLANK(D771)=0,COUNTA(INDIRECT(CONCATENATE("Setup!",LEFT(ADDRESS(1,MATCH(CONCATENATE(C771,":",D771),Setup!$1:$1,0),4),1),"2:",LEFT(ADDRESS(1,MATCH(CONCATENATE(C771,":",D771),Setup!$1:$1,0),4),1),"99"))),0)</f>
        <v>0</v>
      </c>
      <c r="BC771">
        <f ca="1">IF(COUNTBLANK(E771)=0,COUNTA(INDIRECT(CONCATENATE("Comp!",SUBSTITUTE(ADDRESS(1,MATCH(CONCATENATE(C771,":",D771,":",E771),Comp!$1:$1,0),4),"1",""),"2:",SUBSTITUTE(ADDRESS(1,MATCH(CONCATENATE(C771,":",D771,":",E771),Comp!$1:$1,0),4),"1",""),"99"))),0)</f>
        <v>0</v>
      </c>
    </row>
    <row r="772" spans="1:55">
      <c r="A772" s="20" t="s">
        <v>73</v>
      </c>
      <c r="B772" s="21"/>
      <c r="C772" s="20"/>
      <c r="D772" s="22"/>
      <c r="E772" s="22"/>
      <c r="F772" s="21"/>
      <c r="G772" s="23"/>
      <c r="H772" s="24"/>
      <c r="I772" s="22"/>
      <c r="J772" s="22"/>
      <c r="K772" s="22"/>
      <c r="L772" s="21"/>
      <c r="M772" s="20"/>
      <c r="N772" s="20"/>
      <c r="O772" s="23"/>
      <c r="P772" s="21"/>
      <c r="Q772" s="20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1"/>
      <c r="AU772" s="25" t="str">
        <f t="shared" si="22"/>
        <v>1Q42</v>
      </c>
      <c r="AV772" t="str">
        <f t="shared" si="23"/>
        <v>1Q42</v>
      </c>
      <c r="BA772">
        <f ca="1">IF(COUNTBLANK(C772)=0,COUNTA(INDIRECT(CONCATENATE("Area!",LEFT(ADDRESS(1,MATCH(C772,Area!$1:$1,0),4),1),"2:",LEFT(ADDRESS(1,MATCH(C772,Area!$1:$1,0),4),1),"99"))),0)</f>
        <v>0</v>
      </c>
      <c r="BB772">
        <f ca="1">IF(COUNTBLANK(D772)=0,COUNTA(INDIRECT(CONCATENATE("Setup!",LEFT(ADDRESS(1,MATCH(CONCATENATE(C772,":",D772),Setup!$1:$1,0),4),1),"2:",LEFT(ADDRESS(1,MATCH(CONCATENATE(C772,":",D772),Setup!$1:$1,0),4),1),"99"))),0)</f>
        <v>0</v>
      </c>
      <c r="BC772">
        <f ca="1">IF(COUNTBLANK(E772)=0,COUNTA(INDIRECT(CONCATENATE("Comp!",SUBSTITUTE(ADDRESS(1,MATCH(CONCATENATE(C772,":",D772,":",E772),Comp!$1:$1,0),4),"1",""),"2:",SUBSTITUTE(ADDRESS(1,MATCH(CONCATENATE(C772,":",D772,":",E772),Comp!$1:$1,0),4),"1",""),"99"))),0)</f>
        <v>0</v>
      </c>
    </row>
    <row r="773" spans="1:55">
      <c r="A773" s="20" t="s">
        <v>73</v>
      </c>
      <c r="B773" s="21"/>
      <c r="C773" s="20"/>
      <c r="D773" s="22"/>
      <c r="E773" s="22"/>
      <c r="F773" s="21"/>
      <c r="G773" s="23"/>
      <c r="H773" s="24"/>
      <c r="I773" s="22"/>
      <c r="J773" s="22"/>
      <c r="K773" s="22"/>
      <c r="L773" s="21"/>
      <c r="M773" s="20"/>
      <c r="N773" s="20"/>
      <c r="O773" s="23"/>
      <c r="P773" s="21"/>
      <c r="Q773" s="20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1"/>
      <c r="AU773" s="25" t="str">
        <f t="shared" si="22"/>
        <v>1Q42</v>
      </c>
      <c r="AV773" t="str">
        <f t="shared" si="23"/>
        <v>1Q42</v>
      </c>
      <c r="BA773">
        <f ca="1">IF(COUNTBLANK(C773)=0,COUNTA(INDIRECT(CONCATENATE("Area!",LEFT(ADDRESS(1,MATCH(C773,Area!$1:$1,0),4),1),"2:",LEFT(ADDRESS(1,MATCH(C773,Area!$1:$1,0),4),1),"99"))),0)</f>
        <v>0</v>
      </c>
      <c r="BB773">
        <f ca="1">IF(COUNTBLANK(D773)=0,COUNTA(INDIRECT(CONCATENATE("Setup!",LEFT(ADDRESS(1,MATCH(CONCATENATE(C773,":",D773),Setup!$1:$1,0),4),1),"2:",LEFT(ADDRESS(1,MATCH(CONCATENATE(C773,":",D773),Setup!$1:$1,0),4),1),"99"))),0)</f>
        <v>0</v>
      </c>
      <c r="BC773">
        <f ca="1">IF(COUNTBLANK(E773)=0,COUNTA(INDIRECT(CONCATENATE("Comp!",SUBSTITUTE(ADDRESS(1,MATCH(CONCATENATE(C773,":",D773,":",E773),Comp!$1:$1,0),4),"1",""),"2:",SUBSTITUTE(ADDRESS(1,MATCH(CONCATENATE(C773,":",D773,":",E773),Comp!$1:$1,0),4),"1",""),"99"))),0)</f>
        <v>0</v>
      </c>
    </row>
    <row r="774" spans="1:55">
      <c r="A774" s="20" t="s">
        <v>73</v>
      </c>
      <c r="B774" s="21"/>
      <c r="C774" s="20"/>
      <c r="D774" s="22"/>
      <c r="E774" s="22"/>
      <c r="F774" s="21"/>
      <c r="G774" s="23"/>
      <c r="H774" s="24"/>
      <c r="I774" s="22"/>
      <c r="J774" s="22"/>
      <c r="K774" s="22"/>
      <c r="L774" s="21"/>
      <c r="M774" s="20"/>
      <c r="N774" s="20"/>
      <c r="O774" s="23"/>
      <c r="P774" s="21"/>
      <c r="Q774" s="20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1"/>
      <c r="AU774" s="25" t="str">
        <f t="shared" si="22"/>
        <v>1Q42</v>
      </c>
      <c r="AV774" t="str">
        <f t="shared" si="23"/>
        <v>1Q42</v>
      </c>
      <c r="BA774">
        <f ca="1">IF(COUNTBLANK(C774)=0,COUNTA(INDIRECT(CONCATENATE("Area!",LEFT(ADDRESS(1,MATCH(C774,Area!$1:$1,0),4),1),"2:",LEFT(ADDRESS(1,MATCH(C774,Area!$1:$1,0),4),1),"99"))),0)</f>
        <v>0</v>
      </c>
      <c r="BB774">
        <f ca="1">IF(COUNTBLANK(D774)=0,COUNTA(INDIRECT(CONCATENATE("Setup!",LEFT(ADDRESS(1,MATCH(CONCATENATE(C774,":",D774),Setup!$1:$1,0),4),1),"2:",LEFT(ADDRESS(1,MATCH(CONCATENATE(C774,":",D774),Setup!$1:$1,0),4),1),"99"))),0)</f>
        <v>0</v>
      </c>
      <c r="BC774">
        <f ca="1">IF(COUNTBLANK(E774)=0,COUNTA(INDIRECT(CONCATENATE("Comp!",SUBSTITUTE(ADDRESS(1,MATCH(CONCATENATE(C774,":",D774,":",E774),Comp!$1:$1,0),4),"1",""),"2:",SUBSTITUTE(ADDRESS(1,MATCH(CONCATENATE(C774,":",D774,":",E774),Comp!$1:$1,0),4),"1",""),"99"))),0)</f>
        <v>0</v>
      </c>
    </row>
    <row r="775" spans="1:55">
      <c r="A775" s="20" t="s">
        <v>73</v>
      </c>
      <c r="B775" s="21"/>
      <c r="C775" s="20"/>
      <c r="D775" s="22"/>
      <c r="E775" s="22"/>
      <c r="F775" s="21"/>
      <c r="G775" s="23"/>
      <c r="H775" s="24"/>
      <c r="I775" s="22"/>
      <c r="J775" s="22"/>
      <c r="K775" s="22"/>
      <c r="L775" s="21"/>
      <c r="M775" s="20"/>
      <c r="N775" s="20"/>
      <c r="O775" s="23"/>
      <c r="P775" s="21"/>
      <c r="Q775" s="20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1"/>
      <c r="AU775" s="25" t="str">
        <f t="shared" si="22"/>
        <v>1Q42</v>
      </c>
      <c r="AV775" t="str">
        <f t="shared" si="23"/>
        <v>1Q42</v>
      </c>
      <c r="BA775">
        <f ca="1">IF(COUNTBLANK(C775)=0,COUNTA(INDIRECT(CONCATENATE("Area!",LEFT(ADDRESS(1,MATCH(C775,Area!$1:$1,0),4),1),"2:",LEFT(ADDRESS(1,MATCH(C775,Area!$1:$1,0),4),1),"99"))),0)</f>
        <v>0</v>
      </c>
      <c r="BB775">
        <f ca="1">IF(COUNTBLANK(D775)=0,COUNTA(INDIRECT(CONCATENATE("Setup!",LEFT(ADDRESS(1,MATCH(CONCATENATE(C775,":",D775),Setup!$1:$1,0),4),1),"2:",LEFT(ADDRESS(1,MATCH(CONCATENATE(C775,":",D775),Setup!$1:$1,0),4),1),"99"))),0)</f>
        <v>0</v>
      </c>
      <c r="BC775">
        <f ca="1">IF(COUNTBLANK(E775)=0,COUNTA(INDIRECT(CONCATENATE("Comp!",SUBSTITUTE(ADDRESS(1,MATCH(CONCATENATE(C775,":",D775,":",E775),Comp!$1:$1,0),4),"1",""),"2:",SUBSTITUTE(ADDRESS(1,MATCH(CONCATENATE(C775,":",D775,":",E775),Comp!$1:$1,0),4),"1",""),"99"))),0)</f>
        <v>0</v>
      </c>
    </row>
    <row r="776" spans="1:55">
      <c r="A776" s="20" t="s">
        <v>73</v>
      </c>
      <c r="B776" s="21"/>
      <c r="C776" s="20"/>
      <c r="D776" s="22"/>
      <c r="E776" s="22"/>
      <c r="F776" s="21"/>
      <c r="G776" s="23"/>
      <c r="H776" s="24"/>
      <c r="I776" s="22"/>
      <c r="J776" s="22"/>
      <c r="K776" s="22"/>
      <c r="L776" s="21"/>
      <c r="M776" s="20"/>
      <c r="N776" s="20"/>
      <c r="O776" s="23"/>
      <c r="P776" s="21"/>
      <c r="Q776" s="20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1"/>
      <c r="AU776" s="25" t="str">
        <f t="shared" si="22"/>
        <v>1Q42</v>
      </c>
      <c r="AV776" t="str">
        <f t="shared" si="23"/>
        <v>1Q42</v>
      </c>
      <c r="BA776">
        <f ca="1">IF(COUNTBLANK(C776)=0,COUNTA(INDIRECT(CONCATENATE("Area!",LEFT(ADDRESS(1,MATCH(C776,Area!$1:$1,0),4),1),"2:",LEFT(ADDRESS(1,MATCH(C776,Area!$1:$1,0),4),1),"99"))),0)</f>
        <v>0</v>
      </c>
      <c r="BB776">
        <f ca="1">IF(COUNTBLANK(D776)=0,COUNTA(INDIRECT(CONCATENATE("Setup!",LEFT(ADDRESS(1,MATCH(CONCATENATE(C776,":",D776),Setup!$1:$1,0),4),1),"2:",LEFT(ADDRESS(1,MATCH(CONCATENATE(C776,":",D776),Setup!$1:$1,0),4),1),"99"))),0)</f>
        <v>0</v>
      </c>
      <c r="BC776">
        <f ca="1">IF(COUNTBLANK(E776)=0,COUNTA(INDIRECT(CONCATENATE("Comp!",SUBSTITUTE(ADDRESS(1,MATCH(CONCATENATE(C776,":",D776,":",E776),Comp!$1:$1,0),4),"1",""),"2:",SUBSTITUTE(ADDRESS(1,MATCH(CONCATENATE(C776,":",D776,":",E776),Comp!$1:$1,0),4),"1",""),"99"))),0)</f>
        <v>0</v>
      </c>
    </row>
    <row r="777" spans="1:55">
      <c r="A777" s="20" t="s">
        <v>73</v>
      </c>
      <c r="B777" s="21"/>
      <c r="C777" s="20"/>
      <c r="D777" s="22"/>
      <c r="E777" s="22"/>
      <c r="F777" s="21"/>
      <c r="G777" s="23"/>
      <c r="H777" s="24"/>
      <c r="I777" s="22"/>
      <c r="J777" s="22"/>
      <c r="K777" s="22"/>
      <c r="L777" s="21"/>
      <c r="M777" s="20"/>
      <c r="N777" s="20"/>
      <c r="O777" s="23"/>
      <c r="P777" s="21"/>
      <c r="Q777" s="20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1"/>
      <c r="AU777" s="25" t="str">
        <f t="shared" ref="AU777:AU840" si="24">CONCATENATE(A777,B777)</f>
        <v>1Q42</v>
      </c>
      <c r="AV777" t="str">
        <f t="shared" ref="AV777:AV840" si="25">CONCATENATE(A777,B777)</f>
        <v>1Q42</v>
      </c>
      <c r="BA777">
        <f ca="1">IF(COUNTBLANK(C777)=0,COUNTA(INDIRECT(CONCATENATE("Area!",LEFT(ADDRESS(1,MATCH(C777,Area!$1:$1,0),4),1),"2:",LEFT(ADDRESS(1,MATCH(C777,Area!$1:$1,0),4),1),"99"))),0)</f>
        <v>0</v>
      </c>
      <c r="BB777">
        <f ca="1">IF(COUNTBLANK(D777)=0,COUNTA(INDIRECT(CONCATENATE("Setup!",LEFT(ADDRESS(1,MATCH(CONCATENATE(C777,":",D777),Setup!$1:$1,0),4),1),"2:",LEFT(ADDRESS(1,MATCH(CONCATENATE(C777,":",D777),Setup!$1:$1,0),4),1),"99"))),0)</f>
        <v>0</v>
      </c>
      <c r="BC777">
        <f ca="1">IF(COUNTBLANK(E777)=0,COUNTA(INDIRECT(CONCATENATE("Comp!",SUBSTITUTE(ADDRESS(1,MATCH(CONCATENATE(C777,":",D777,":",E777),Comp!$1:$1,0),4),"1",""),"2:",SUBSTITUTE(ADDRESS(1,MATCH(CONCATENATE(C777,":",D777,":",E777),Comp!$1:$1,0),4),"1",""),"99"))),0)</f>
        <v>0</v>
      </c>
    </row>
    <row r="778" spans="1:55">
      <c r="A778" s="20" t="s">
        <v>73</v>
      </c>
      <c r="B778" s="21"/>
      <c r="C778" s="20"/>
      <c r="D778" s="22"/>
      <c r="E778" s="22"/>
      <c r="F778" s="21"/>
      <c r="G778" s="23"/>
      <c r="H778" s="24"/>
      <c r="I778" s="22"/>
      <c r="J778" s="22"/>
      <c r="K778" s="22"/>
      <c r="L778" s="21"/>
      <c r="M778" s="20"/>
      <c r="N778" s="20"/>
      <c r="O778" s="23"/>
      <c r="P778" s="21"/>
      <c r="Q778" s="20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1"/>
      <c r="AU778" s="25" t="str">
        <f t="shared" si="24"/>
        <v>1Q42</v>
      </c>
      <c r="AV778" t="str">
        <f t="shared" si="25"/>
        <v>1Q42</v>
      </c>
      <c r="BA778">
        <f ca="1">IF(COUNTBLANK(C778)=0,COUNTA(INDIRECT(CONCATENATE("Area!",LEFT(ADDRESS(1,MATCH(C778,Area!$1:$1,0),4),1),"2:",LEFT(ADDRESS(1,MATCH(C778,Area!$1:$1,0),4),1),"99"))),0)</f>
        <v>0</v>
      </c>
      <c r="BB778">
        <f ca="1">IF(COUNTBLANK(D778)=0,COUNTA(INDIRECT(CONCATENATE("Setup!",LEFT(ADDRESS(1,MATCH(CONCATENATE(C778,":",D778),Setup!$1:$1,0),4),1),"2:",LEFT(ADDRESS(1,MATCH(CONCATENATE(C778,":",D778),Setup!$1:$1,0),4),1),"99"))),0)</f>
        <v>0</v>
      </c>
      <c r="BC778">
        <f ca="1">IF(COUNTBLANK(E778)=0,COUNTA(INDIRECT(CONCATENATE("Comp!",SUBSTITUTE(ADDRESS(1,MATCH(CONCATENATE(C778,":",D778,":",E778),Comp!$1:$1,0),4),"1",""),"2:",SUBSTITUTE(ADDRESS(1,MATCH(CONCATENATE(C778,":",D778,":",E778),Comp!$1:$1,0),4),"1",""),"99"))),0)</f>
        <v>0</v>
      </c>
    </row>
    <row r="779" spans="1:55">
      <c r="A779" s="20" t="s">
        <v>73</v>
      </c>
      <c r="B779" s="21"/>
      <c r="C779" s="20"/>
      <c r="D779" s="22"/>
      <c r="E779" s="22"/>
      <c r="F779" s="21"/>
      <c r="G779" s="23"/>
      <c r="H779" s="24"/>
      <c r="I779" s="22"/>
      <c r="J779" s="22"/>
      <c r="K779" s="22"/>
      <c r="L779" s="21"/>
      <c r="M779" s="20"/>
      <c r="N779" s="20"/>
      <c r="O779" s="23"/>
      <c r="P779" s="21"/>
      <c r="Q779" s="20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1"/>
      <c r="AU779" s="25" t="str">
        <f t="shared" si="24"/>
        <v>1Q42</v>
      </c>
      <c r="AV779" t="str">
        <f t="shared" si="25"/>
        <v>1Q42</v>
      </c>
      <c r="BA779">
        <f ca="1">IF(COUNTBLANK(C779)=0,COUNTA(INDIRECT(CONCATENATE("Area!",LEFT(ADDRESS(1,MATCH(C779,Area!$1:$1,0),4),1),"2:",LEFT(ADDRESS(1,MATCH(C779,Area!$1:$1,0),4),1),"99"))),0)</f>
        <v>0</v>
      </c>
      <c r="BB779">
        <f ca="1">IF(COUNTBLANK(D779)=0,COUNTA(INDIRECT(CONCATENATE("Setup!",LEFT(ADDRESS(1,MATCH(CONCATENATE(C779,":",D779),Setup!$1:$1,0),4),1),"2:",LEFT(ADDRESS(1,MATCH(CONCATENATE(C779,":",D779),Setup!$1:$1,0),4),1),"99"))),0)</f>
        <v>0</v>
      </c>
      <c r="BC779">
        <f ca="1">IF(COUNTBLANK(E779)=0,COUNTA(INDIRECT(CONCATENATE("Comp!",SUBSTITUTE(ADDRESS(1,MATCH(CONCATENATE(C779,":",D779,":",E779),Comp!$1:$1,0),4),"1",""),"2:",SUBSTITUTE(ADDRESS(1,MATCH(CONCATENATE(C779,":",D779,":",E779),Comp!$1:$1,0),4),"1",""),"99"))),0)</f>
        <v>0</v>
      </c>
    </row>
    <row r="780" spans="1:55">
      <c r="A780" s="20" t="s">
        <v>73</v>
      </c>
      <c r="B780" s="21"/>
      <c r="C780" s="20"/>
      <c r="D780" s="22"/>
      <c r="E780" s="22"/>
      <c r="F780" s="21"/>
      <c r="G780" s="23"/>
      <c r="H780" s="24"/>
      <c r="I780" s="22"/>
      <c r="J780" s="22"/>
      <c r="K780" s="22"/>
      <c r="L780" s="21"/>
      <c r="M780" s="20"/>
      <c r="N780" s="20"/>
      <c r="O780" s="23"/>
      <c r="P780" s="21"/>
      <c r="Q780" s="20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1"/>
      <c r="AU780" s="25" t="str">
        <f t="shared" si="24"/>
        <v>1Q42</v>
      </c>
      <c r="AV780" t="str">
        <f t="shared" si="25"/>
        <v>1Q42</v>
      </c>
      <c r="BA780">
        <f ca="1">IF(COUNTBLANK(C780)=0,COUNTA(INDIRECT(CONCATENATE("Area!",LEFT(ADDRESS(1,MATCH(C780,Area!$1:$1,0),4),1),"2:",LEFT(ADDRESS(1,MATCH(C780,Area!$1:$1,0),4),1),"99"))),0)</f>
        <v>0</v>
      </c>
      <c r="BB780">
        <f ca="1">IF(COUNTBLANK(D780)=0,COUNTA(INDIRECT(CONCATENATE("Setup!",LEFT(ADDRESS(1,MATCH(CONCATENATE(C780,":",D780),Setup!$1:$1,0),4),1),"2:",LEFT(ADDRESS(1,MATCH(CONCATENATE(C780,":",D780),Setup!$1:$1,0),4),1),"99"))),0)</f>
        <v>0</v>
      </c>
      <c r="BC780">
        <f ca="1">IF(COUNTBLANK(E780)=0,COUNTA(INDIRECT(CONCATENATE("Comp!",SUBSTITUTE(ADDRESS(1,MATCH(CONCATENATE(C780,":",D780,":",E780),Comp!$1:$1,0),4),"1",""),"2:",SUBSTITUTE(ADDRESS(1,MATCH(CONCATENATE(C780,":",D780,":",E780),Comp!$1:$1,0),4),"1",""),"99"))),0)</f>
        <v>0</v>
      </c>
    </row>
    <row r="781" spans="1:55">
      <c r="A781" s="20" t="s">
        <v>73</v>
      </c>
      <c r="B781" s="21"/>
      <c r="C781" s="20"/>
      <c r="D781" s="22"/>
      <c r="E781" s="22"/>
      <c r="F781" s="21"/>
      <c r="G781" s="23"/>
      <c r="H781" s="24"/>
      <c r="I781" s="22"/>
      <c r="J781" s="22"/>
      <c r="K781" s="22"/>
      <c r="L781" s="21"/>
      <c r="M781" s="20"/>
      <c r="N781" s="20"/>
      <c r="O781" s="23"/>
      <c r="P781" s="21"/>
      <c r="Q781" s="20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1"/>
      <c r="AU781" s="25" t="str">
        <f t="shared" si="24"/>
        <v>1Q42</v>
      </c>
      <c r="AV781" t="str">
        <f t="shared" si="25"/>
        <v>1Q42</v>
      </c>
      <c r="BA781">
        <f ca="1">IF(COUNTBLANK(C781)=0,COUNTA(INDIRECT(CONCATENATE("Area!",LEFT(ADDRESS(1,MATCH(C781,Area!$1:$1,0),4),1),"2:",LEFT(ADDRESS(1,MATCH(C781,Area!$1:$1,0),4),1),"99"))),0)</f>
        <v>0</v>
      </c>
      <c r="BB781">
        <f ca="1">IF(COUNTBLANK(D781)=0,COUNTA(INDIRECT(CONCATENATE("Setup!",LEFT(ADDRESS(1,MATCH(CONCATENATE(C781,":",D781),Setup!$1:$1,0),4),1),"2:",LEFT(ADDRESS(1,MATCH(CONCATENATE(C781,":",D781),Setup!$1:$1,0),4),1),"99"))),0)</f>
        <v>0</v>
      </c>
      <c r="BC781">
        <f ca="1">IF(COUNTBLANK(E781)=0,COUNTA(INDIRECT(CONCATENATE("Comp!",SUBSTITUTE(ADDRESS(1,MATCH(CONCATENATE(C781,":",D781,":",E781),Comp!$1:$1,0),4),"1",""),"2:",SUBSTITUTE(ADDRESS(1,MATCH(CONCATENATE(C781,":",D781,":",E781),Comp!$1:$1,0),4),"1",""),"99"))),0)</f>
        <v>0</v>
      </c>
    </row>
    <row r="782" spans="1:55">
      <c r="A782" s="20" t="s">
        <v>73</v>
      </c>
      <c r="B782" s="21"/>
      <c r="C782" s="20"/>
      <c r="D782" s="22"/>
      <c r="E782" s="22"/>
      <c r="F782" s="21"/>
      <c r="G782" s="23"/>
      <c r="H782" s="24"/>
      <c r="I782" s="22"/>
      <c r="J782" s="22"/>
      <c r="K782" s="22"/>
      <c r="L782" s="21"/>
      <c r="M782" s="20"/>
      <c r="N782" s="20"/>
      <c r="O782" s="23"/>
      <c r="P782" s="21"/>
      <c r="Q782" s="20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1"/>
      <c r="AU782" s="25" t="str">
        <f t="shared" si="24"/>
        <v>1Q42</v>
      </c>
      <c r="AV782" t="str">
        <f t="shared" si="25"/>
        <v>1Q42</v>
      </c>
      <c r="BA782">
        <f ca="1">IF(COUNTBLANK(C782)=0,COUNTA(INDIRECT(CONCATENATE("Area!",LEFT(ADDRESS(1,MATCH(C782,Area!$1:$1,0),4),1),"2:",LEFT(ADDRESS(1,MATCH(C782,Area!$1:$1,0),4),1),"99"))),0)</f>
        <v>0</v>
      </c>
      <c r="BB782">
        <f ca="1">IF(COUNTBLANK(D782)=0,COUNTA(INDIRECT(CONCATENATE("Setup!",LEFT(ADDRESS(1,MATCH(CONCATENATE(C782,":",D782),Setup!$1:$1,0),4),1),"2:",LEFT(ADDRESS(1,MATCH(CONCATENATE(C782,":",D782),Setup!$1:$1,0),4),1),"99"))),0)</f>
        <v>0</v>
      </c>
      <c r="BC782">
        <f ca="1">IF(COUNTBLANK(E782)=0,COUNTA(INDIRECT(CONCATENATE("Comp!",SUBSTITUTE(ADDRESS(1,MATCH(CONCATENATE(C782,":",D782,":",E782),Comp!$1:$1,0),4),"1",""),"2:",SUBSTITUTE(ADDRESS(1,MATCH(CONCATENATE(C782,":",D782,":",E782),Comp!$1:$1,0),4),"1",""),"99"))),0)</f>
        <v>0</v>
      </c>
    </row>
    <row r="783" spans="1:55">
      <c r="A783" s="20" t="s">
        <v>73</v>
      </c>
      <c r="B783" s="21"/>
      <c r="C783" s="20"/>
      <c r="D783" s="22"/>
      <c r="E783" s="22"/>
      <c r="F783" s="21"/>
      <c r="G783" s="23"/>
      <c r="H783" s="24"/>
      <c r="I783" s="22"/>
      <c r="J783" s="22"/>
      <c r="K783" s="22"/>
      <c r="L783" s="21"/>
      <c r="M783" s="20"/>
      <c r="N783" s="20"/>
      <c r="O783" s="23"/>
      <c r="P783" s="21"/>
      <c r="Q783" s="20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1"/>
      <c r="AU783" s="25" t="str">
        <f t="shared" si="24"/>
        <v>1Q42</v>
      </c>
      <c r="AV783" t="str">
        <f t="shared" si="25"/>
        <v>1Q42</v>
      </c>
      <c r="BA783">
        <f ca="1">IF(COUNTBLANK(C783)=0,COUNTA(INDIRECT(CONCATENATE("Area!",LEFT(ADDRESS(1,MATCH(C783,Area!$1:$1,0),4),1),"2:",LEFT(ADDRESS(1,MATCH(C783,Area!$1:$1,0),4),1),"99"))),0)</f>
        <v>0</v>
      </c>
      <c r="BB783">
        <f ca="1">IF(COUNTBLANK(D783)=0,COUNTA(INDIRECT(CONCATENATE("Setup!",LEFT(ADDRESS(1,MATCH(CONCATENATE(C783,":",D783),Setup!$1:$1,0),4),1),"2:",LEFT(ADDRESS(1,MATCH(CONCATENATE(C783,":",D783),Setup!$1:$1,0),4),1),"99"))),0)</f>
        <v>0</v>
      </c>
      <c r="BC783">
        <f ca="1">IF(COUNTBLANK(E783)=0,COUNTA(INDIRECT(CONCATENATE("Comp!",SUBSTITUTE(ADDRESS(1,MATCH(CONCATENATE(C783,":",D783,":",E783),Comp!$1:$1,0),4),"1",""),"2:",SUBSTITUTE(ADDRESS(1,MATCH(CONCATENATE(C783,":",D783,":",E783),Comp!$1:$1,0),4),"1",""),"99"))),0)</f>
        <v>0</v>
      </c>
    </row>
    <row r="784" spans="1:55">
      <c r="A784" s="20" t="s">
        <v>73</v>
      </c>
      <c r="B784" s="21"/>
      <c r="C784" s="20"/>
      <c r="D784" s="22"/>
      <c r="E784" s="22"/>
      <c r="F784" s="21"/>
      <c r="G784" s="23"/>
      <c r="H784" s="24"/>
      <c r="I784" s="22"/>
      <c r="J784" s="22"/>
      <c r="K784" s="22"/>
      <c r="L784" s="21"/>
      <c r="M784" s="20"/>
      <c r="N784" s="20"/>
      <c r="O784" s="23"/>
      <c r="P784" s="21"/>
      <c r="Q784" s="20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1"/>
      <c r="AU784" s="25" t="str">
        <f t="shared" si="24"/>
        <v>1Q42</v>
      </c>
      <c r="AV784" t="str">
        <f t="shared" si="25"/>
        <v>1Q42</v>
      </c>
      <c r="BA784">
        <f ca="1">IF(COUNTBLANK(C784)=0,COUNTA(INDIRECT(CONCATENATE("Area!",LEFT(ADDRESS(1,MATCH(C784,Area!$1:$1,0),4),1),"2:",LEFT(ADDRESS(1,MATCH(C784,Area!$1:$1,0),4),1),"99"))),0)</f>
        <v>0</v>
      </c>
      <c r="BB784">
        <f ca="1">IF(COUNTBLANK(D784)=0,COUNTA(INDIRECT(CONCATENATE("Setup!",LEFT(ADDRESS(1,MATCH(CONCATENATE(C784,":",D784),Setup!$1:$1,0),4),1),"2:",LEFT(ADDRESS(1,MATCH(CONCATENATE(C784,":",D784),Setup!$1:$1,0),4),1),"99"))),0)</f>
        <v>0</v>
      </c>
      <c r="BC784">
        <f ca="1">IF(COUNTBLANK(E784)=0,COUNTA(INDIRECT(CONCATENATE("Comp!",SUBSTITUTE(ADDRESS(1,MATCH(CONCATENATE(C784,":",D784,":",E784),Comp!$1:$1,0),4),"1",""),"2:",SUBSTITUTE(ADDRESS(1,MATCH(CONCATENATE(C784,":",D784,":",E784),Comp!$1:$1,0),4),"1",""),"99"))),0)</f>
        <v>0</v>
      </c>
    </row>
    <row r="785" spans="1:55">
      <c r="A785" s="20" t="s">
        <v>73</v>
      </c>
      <c r="B785" s="21"/>
      <c r="C785" s="20"/>
      <c r="D785" s="22"/>
      <c r="E785" s="22"/>
      <c r="F785" s="21"/>
      <c r="G785" s="23"/>
      <c r="H785" s="24"/>
      <c r="I785" s="22"/>
      <c r="J785" s="22"/>
      <c r="K785" s="22"/>
      <c r="L785" s="21"/>
      <c r="M785" s="20"/>
      <c r="N785" s="20"/>
      <c r="O785" s="23"/>
      <c r="P785" s="21"/>
      <c r="Q785" s="20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1"/>
      <c r="AU785" s="25" t="str">
        <f t="shared" si="24"/>
        <v>1Q42</v>
      </c>
      <c r="AV785" t="str">
        <f t="shared" si="25"/>
        <v>1Q42</v>
      </c>
      <c r="BA785">
        <f ca="1">IF(COUNTBLANK(C785)=0,COUNTA(INDIRECT(CONCATENATE("Area!",LEFT(ADDRESS(1,MATCH(C785,Area!$1:$1,0),4),1),"2:",LEFT(ADDRESS(1,MATCH(C785,Area!$1:$1,0),4),1),"99"))),0)</f>
        <v>0</v>
      </c>
      <c r="BB785">
        <f ca="1">IF(COUNTBLANK(D785)=0,COUNTA(INDIRECT(CONCATENATE("Setup!",LEFT(ADDRESS(1,MATCH(CONCATENATE(C785,":",D785),Setup!$1:$1,0),4),1),"2:",LEFT(ADDRESS(1,MATCH(CONCATENATE(C785,":",D785),Setup!$1:$1,0),4),1),"99"))),0)</f>
        <v>0</v>
      </c>
      <c r="BC785">
        <f ca="1">IF(COUNTBLANK(E785)=0,COUNTA(INDIRECT(CONCATENATE("Comp!",SUBSTITUTE(ADDRESS(1,MATCH(CONCATENATE(C785,":",D785,":",E785),Comp!$1:$1,0),4),"1",""),"2:",SUBSTITUTE(ADDRESS(1,MATCH(CONCATENATE(C785,":",D785,":",E785),Comp!$1:$1,0),4),"1",""),"99"))),0)</f>
        <v>0</v>
      </c>
    </row>
    <row r="786" spans="1:55">
      <c r="A786" s="20" t="s">
        <v>73</v>
      </c>
      <c r="B786" s="21"/>
      <c r="C786" s="20"/>
      <c r="D786" s="22"/>
      <c r="E786" s="22"/>
      <c r="F786" s="21"/>
      <c r="G786" s="23"/>
      <c r="H786" s="24"/>
      <c r="I786" s="22"/>
      <c r="J786" s="22"/>
      <c r="K786" s="22"/>
      <c r="L786" s="21"/>
      <c r="M786" s="20"/>
      <c r="N786" s="20"/>
      <c r="O786" s="23"/>
      <c r="P786" s="21"/>
      <c r="Q786" s="20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1"/>
      <c r="AU786" s="25" t="str">
        <f t="shared" si="24"/>
        <v>1Q42</v>
      </c>
      <c r="AV786" t="str">
        <f t="shared" si="25"/>
        <v>1Q42</v>
      </c>
      <c r="BA786">
        <f ca="1">IF(COUNTBLANK(C786)=0,COUNTA(INDIRECT(CONCATENATE("Area!",LEFT(ADDRESS(1,MATCH(C786,Area!$1:$1,0),4),1),"2:",LEFT(ADDRESS(1,MATCH(C786,Area!$1:$1,0),4),1),"99"))),0)</f>
        <v>0</v>
      </c>
      <c r="BB786">
        <f ca="1">IF(COUNTBLANK(D786)=0,COUNTA(INDIRECT(CONCATENATE("Setup!",LEFT(ADDRESS(1,MATCH(CONCATENATE(C786,":",D786),Setup!$1:$1,0),4),1),"2:",LEFT(ADDRESS(1,MATCH(CONCATENATE(C786,":",D786),Setup!$1:$1,0),4),1),"99"))),0)</f>
        <v>0</v>
      </c>
      <c r="BC786">
        <f ca="1">IF(COUNTBLANK(E786)=0,COUNTA(INDIRECT(CONCATENATE("Comp!",SUBSTITUTE(ADDRESS(1,MATCH(CONCATENATE(C786,":",D786,":",E786),Comp!$1:$1,0),4),"1",""),"2:",SUBSTITUTE(ADDRESS(1,MATCH(CONCATENATE(C786,":",D786,":",E786),Comp!$1:$1,0),4),"1",""),"99"))),0)</f>
        <v>0</v>
      </c>
    </row>
    <row r="787" spans="1:55">
      <c r="A787" s="20" t="s">
        <v>73</v>
      </c>
      <c r="B787" s="21"/>
      <c r="C787" s="20"/>
      <c r="D787" s="22"/>
      <c r="E787" s="22"/>
      <c r="F787" s="21"/>
      <c r="G787" s="23"/>
      <c r="H787" s="24"/>
      <c r="I787" s="22"/>
      <c r="J787" s="22"/>
      <c r="K787" s="22"/>
      <c r="L787" s="21"/>
      <c r="M787" s="20"/>
      <c r="N787" s="20"/>
      <c r="O787" s="23"/>
      <c r="P787" s="21"/>
      <c r="Q787" s="20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1"/>
      <c r="AU787" s="25" t="str">
        <f t="shared" si="24"/>
        <v>1Q42</v>
      </c>
      <c r="AV787" t="str">
        <f t="shared" si="25"/>
        <v>1Q42</v>
      </c>
      <c r="BA787">
        <f ca="1">IF(COUNTBLANK(C787)=0,COUNTA(INDIRECT(CONCATENATE("Area!",LEFT(ADDRESS(1,MATCH(C787,Area!$1:$1,0),4),1),"2:",LEFT(ADDRESS(1,MATCH(C787,Area!$1:$1,0),4),1),"99"))),0)</f>
        <v>0</v>
      </c>
      <c r="BB787">
        <f ca="1">IF(COUNTBLANK(D787)=0,COUNTA(INDIRECT(CONCATENATE("Setup!",LEFT(ADDRESS(1,MATCH(CONCATENATE(C787,":",D787),Setup!$1:$1,0),4),1),"2:",LEFT(ADDRESS(1,MATCH(CONCATENATE(C787,":",D787),Setup!$1:$1,0),4),1),"99"))),0)</f>
        <v>0</v>
      </c>
      <c r="BC787">
        <f ca="1">IF(COUNTBLANK(E787)=0,COUNTA(INDIRECT(CONCATENATE("Comp!",SUBSTITUTE(ADDRESS(1,MATCH(CONCATENATE(C787,":",D787,":",E787),Comp!$1:$1,0),4),"1",""),"2:",SUBSTITUTE(ADDRESS(1,MATCH(CONCATENATE(C787,":",D787,":",E787),Comp!$1:$1,0),4),"1",""),"99"))),0)</f>
        <v>0</v>
      </c>
    </row>
    <row r="788" spans="1:55">
      <c r="A788" s="20" t="s">
        <v>73</v>
      </c>
      <c r="B788" s="21"/>
      <c r="C788" s="20"/>
      <c r="D788" s="22"/>
      <c r="E788" s="22"/>
      <c r="F788" s="21"/>
      <c r="G788" s="23"/>
      <c r="H788" s="24"/>
      <c r="I788" s="22"/>
      <c r="J788" s="22"/>
      <c r="K788" s="22"/>
      <c r="L788" s="21"/>
      <c r="M788" s="20"/>
      <c r="N788" s="20"/>
      <c r="O788" s="23"/>
      <c r="P788" s="21"/>
      <c r="Q788" s="20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1"/>
      <c r="AU788" s="25" t="str">
        <f t="shared" si="24"/>
        <v>1Q42</v>
      </c>
      <c r="AV788" t="str">
        <f t="shared" si="25"/>
        <v>1Q42</v>
      </c>
      <c r="BA788">
        <f ca="1">IF(COUNTBLANK(C788)=0,COUNTA(INDIRECT(CONCATENATE("Area!",LEFT(ADDRESS(1,MATCH(C788,Area!$1:$1,0),4),1),"2:",LEFT(ADDRESS(1,MATCH(C788,Area!$1:$1,0),4),1),"99"))),0)</f>
        <v>0</v>
      </c>
      <c r="BB788">
        <f ca="1">IF(COUNTBLANK(D788)=0,COUNTA(INDIRECT(CONCATENATE("Setup!",LEFT(ADDRESS(1,MATCH(CONCATENATE(C788,":",D788),Setup!$1:$1,0),4),1),"2:",LEFT(ADDRESS(1,MATCH(CONCATENATE(C788,":",D788),Setup!$1:$1,0),4),1),"99"))),0)</f>
        <v>0</v>
      </c>
      <c r="BC788">
        <f ca="1">IF(COUNTBLANK(E788)=0,COUNTA(INDIRECT(CONCATENATE("Comp!",SUBSTITUTE(ADDRESS(1,MATCH(CONCATENATE(C788,":",D788,":",E788),Comp!$1:$1,0),4),"1",""),"2:",SUBSTITUTE(ADDRESS(1,MATCH(CONCATENATE(C788,":",D788,":",E788),Comp!$1:$1,0),4),"1",""),"99"))),0)</f>
        <v>0</v>
      </c>
    </row>
    <row r="789" spans="1:55">
      <c r="A789" s="20" t="s">
        <v>73</v>
      </c>
      <c r="B789" s="21"/>
      <c r="C789" s="20"/>
      <c r="D789" s="22"/>
      <c r="E789" s="22"/>
      <c r="F789" s="21"/>
      <c r="G789" s="23"/>
      <c r="H789" s="24"/>
      <c r="I789" s="22"/>
      <c r="J789" s="22"/>
      <c r="K789" s="22"/>
      <c r="L789" s="21"/>
      <c r="M789" s="20"/>
      <c r="N789" s="20"/>
      <c r="O789" s="23"/>
      <c r="P789" s="21"/>
      <c r="Q789" s="20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1"/>
      <c r="AU789" s="25" t="str">
        <f t="shared" si="24"/>
        <v>1Q42</v>
      </c>
      <c r="AV789" t="str">
        <f t="shared" si="25"/>
        <v>1Q42</v>
      </c>
      <c r="BA789">
        <f ca="1">IF(COUNTBLANK(C789)=0,COUNTA(INDIRECT(CONCATENATE("Area!",LEFT(ADDRESS(1,MATCH(C789,Area!$1:$1,0),4),1),"2:",LEFT(ADDRESS(1,MATCH(C789,Area!$1:$1,0),4),1),"99"))),0)</f>
        <v>0</v>
      </c>
      <c r="BB789">
        <f ca="1">IF(COUNTBLANK(D789)=0,COUNTA(INDIRECT(CONCATENATE("Setup!",LEFT(ADDRESS(1,MATCH(CONCATENATE(C789,":",D789),Setup!$1:$1,0),4),1),"2:",LEFT(ADDRESS(1,MATCH(CONCATENATE(C789,":",D789),Setup!$1:$1,0),4),1),"99"))),0)</f>
        <v>0</v>
      </c>
      <c r="BC789">
        <f ca="1">IF(COUNTBLANK(E789)=0,COUNTA(INDIRECT(CONCATENATE("Comp!",SUBSTITUTE(ADDRESS(1,MATCH(CONCATENATE(C789,":",D789,":",E789),Comp!$1:$1,0),4),"1",""),"2:",SUBSTITUTE(ADDRESS(1,MATCH(CONCATENATE(C789,":",D789,":",E789),Comp!$1:$1,0),4),"1",""),"99"))),0)</f>
        <v>0</v>
      </c>
    </row>
    <row r="790" spans="1:55">
      <c r="A790" s="20" t="s">
        <v>73</v>
      </c>
      <c r="B790" s="21"/>
      <c r="C790" s="20"/>
      <c r="D790" s="22"/>
      <c r="E790" s="22"/>
      <c r="F790" s="21"/>
      <c r="G790" s="23"/>
      <c r="H790" s="24"/>
      <c r="I790" s="22"/>
      <c r="J790" s="22"/>
      <c r="K790" s="22"/>
      <c r="L790" s="21"/>
      <c r="M790" s="20"/>
      <c r="N790" s="20"/>
      <c r="O790" s="23"/>
      <c r="P790" s="21"/>
      <c r="Q790" s="20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1"/>
      <c r="AU790" s="25" t="str">
        <f t="shared" si="24"/>
        <v>1Q42</v>
      </c>
      <c r="AV790" t="str">
        <f t="shared" si="25"/>
        <v>1Q42</v>
      </c>
      <c r="BA790">
        <f ca="1">IF(COUNTBLANK(C790)=0,COUNTA(INDIRECT(CONCATENATE("Area!",LEFT(ADDRESS(1,MATCH(C790,Area!$1:$1,0),4),1),"2:",LEFT(ADDRESS(1,MATCH(C790,Area!$1:$1,0),4),1),"99"))),0)</f>
        <v>0</v>
      </c>
      <c r="BB790">
        <f ca="1">IF(COUNTBLANK(D790)=0,COUNTA(INDIRECT(CONCATENATE("Setup!",LEFT(ADDRESS(1,MATCH(CONCATENATE(C790,":",D790),Setup!$1:$1,0),4),1),"2:",LEFT(ADDRESS(1,MATCH(CONCATENATE(C790,":",D790),Setup!$1:$1,0),4),1),"99"))),0)</f>
        <v>0</v>
      </c>
      <c r="BC790">
        <f ca="1">IF(COUNTBLANK(E790)=0,COUNTA(INDIRECT(CONCATENATE("Comp!",SUBSTITUTE(ADDRESS(1,MATCH(CONCATENATE(C790,":",D790,":",E790),Comp!$1:$1,0),4),"1",""),"2:",SUBSTITUTE(ADDRESS(1,MATCH(CONCATENATE(C790,":",D790,":",E790),Comp!$1:$1,0),4),"1",""),"99"))),0)</f>
        <v>0</v>
      </c>
    </row>
    <row r="791" spans="1:55">
      <c r="A791" s="20" t="s">
        <v>73</v>
      </c>
      <c r="B791" s="21"/>
      <c r="C791" s="20"/>
      <c r="D791" s="22"/>
      <c r="E791" s="22"/>
      <c r="F791" s="21"/>
      <c r="G791" s="23"/>
      <c r="H791" s="24"/>
      <c r="I791" s="22"/>
      <c r="J791" s="22"/>
      <c r="K791" s="22"/>
      <c r="L791" s="21"/>
      <c r="M791" s="20"/>
      <c r="N791" s="20"/>
      <c r="O791" s="23"/>
      <c r="P791" s="21"/>
      <c r="Q791" s="20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1"/>
      <c r="AU791" s="25" t="str">
        <f t="shared" si="24"/>
        <v>1Q42</v>
      </c>
      <c r="AV791" t="str">
        <f t="shared" si="25"/>
        <v>1Q42</v>
      </c>
      <c r="BA791">
        <f ca="1">IF(COUNTBLANK(C791)=0,COUNTA(INDIRECT(CONCATENATE("Area!",LEFT(ADDRESS(1,MATCH(C791,Area!$1:$1,0),4),1),"2:",LEFT(ADDRESS(1,MATCH(C791,Area!$1:$1,0),4),1),"99"))),0)</f>
        <v>0</v>
      </c>
      <c r="BB791">
        <f ca="1">IF(COUNTBLANK(D791)=0,COUNTA(INDIRECT(CONCATENATE("Setup!",LEFT(ADDRESS(1,MATCH(CONCATENATE(C791,":",D791),Setup!$1:$1,0),4),1),"2:",LEFT(ADDRESS(1,MATCH(CONCATENATE(C791,":",D791),Setup!$1:$1,0),4),1),"99"))),0)</f>
        <v>0</v>
      </c>
      <c r="BC791">
        <f ca="1">IF(COUNTBLANK(E791)=0,COUNTA(INDIRECT(CONCATENATE("Comp!",SUBSTITUTE(ADDRESS(1,MATCH(CONCATENATE(C791,":",D791,":",E791),Comp!$1:$1,0),4),"1",""),"2:",SUBSTITUTE(ADDRESS(1,MATCH(CONCATENATE(C791,":",D791,":",E791),Comp!$1:$1,0),4),"1",""),"99"))),0)</f>
        <v>0</v>
      </c>
    </row>
    <row r="792" spans="1:55">
      <c r="A792" s="20" t="s">
        <v>73</v>
      </c>
      <c r="B792" s="21"/>
      <c r="C792" s="20"/>
      <c r="D792" s="22"/>
      <c r="E792" s="22"/>
      <c r="F792" s="21"/>
      <c r="G792" s="23"/>
      <c r="H792" s="24"/>
      <c r="I792" s="22"/>
      <c r="J792" s="22"/>
      <c r="K792" s="22"/>
      <c r="L792" s="21"/>
      <c r="M792" s="20"/>
      <c r="N792" s="20"/>
      <c r="O792" s="23"/>
      <c r="P792" s="21"/>
      <c r="Q792" s="20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1"/>
      <c r="AU792" s="25" t="str">
        <f t="shared" si="24"/>
        <v>1Q42</v>
      </c>
      <c r="AV792" t="str">
        <f t="shared" si="25"/>
        <v>1Q42</v>
      </c>
      <c r="BA792">
        <f ca="1">IF(COUNTBLANK(C792)=0,COUNTA(INDIRECT(CONCATENATE("Area!",LEFT(ADDRESS(1,MATCH(C792,Area!$1:$1,0),4),1),"2:",LEFT(ADDRESS(1,MATCH(C792,Area!$1:$1,0),4),1),"99"))),0)</f>
        <v>0</v>
      </c>
      <c r="BB792">
        <f ca="1">IF(COUNTBLANK(D792)=0,COUNTA(INDIRECT(CONCATENATE("Setup!",LEFT(ADDRESS(1,MATCH(CONCATENATE(C792,":",D792),Setup!$1:$1,0),4),1),"2:",LEFT(ADDRESS(1,MATCH(CONCATENATE(C792,":",D792),Setup!$1:$1,0),4),1),"99"))),0)</f>
        <v>0</v>
      </c>
      <c r="BC792">
        <f ca="1">IF(COUNTBLANK(E792)=0,COUNTA(INDIRECT(CONCATENATE("Comp!",SUBSTITUTE(ADDRESS(1,MATCH(CONCATENATE(C792,":",D792,":",E792),Comp!$1:$1,0),4),"1",""),"2:",SUBSTITUTE(ADDRESS(1,MATCH(CONCATENATE(C792,":",D792,":",E792),Comp!$1:$1,0),4),"1",""),"99"))),0)</f>
        <v>0</v>
      </c>
    </row>
    <row r="793" spans="1:55">
      <c r="A793" s="20" t="s">
        <v>73</v>
      </c>
      <c r="B793" s="21"/>
      <c r="C793" s="20"/>
      <c r="D793" s="22"/>
      <c r="E793" s="22"/>
      <c r="F793" s="21"/>
      <c r="G793" s="23"/>
      <c r="H793" s="24"/>
      <c r="I793" s="22"/>
      <c r="J793" s="22"/>
      <c r="K793" s="22"/>
      <c r="L793" s="21"/>
      <c r="M793" s="20"/>
      <c r="N793" s="20"/>
      <c r="O793" s="23"/>
      <c r="P793" s="21"/>
      <c r="Q793" s="20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1"/>
      <c r="AU793" s="25" t="str">
        <f t="shared" si="24"/>
        <v>1Q42</v>
      </c>
      <c r="AV793" t="str">
        <f t="shared" si="25"/>
        <v>1Q42</v>
      </c>
      <c r="BA793">
        <f ca="1">IF(COUNTBLANK(C793)=0,COUNTA(INDIRECT(CONCATENATE("Area!",LEFT(ADDRESS(1,MATCH(C793,Area!$1:$1,0),4),1),"2:",LEFT(ADDRESS(1,MATCH(C793,Area!$1:$1,0),4),1),"99"))),0)</f>
        <v>0</v>
      </c>
      <c r="BB793">
        <f ca="1">IF(COUNTBLANK(D793)=0,COUNTA(INDIRECT(CONCATENATE("Setup!",LEFT(ADDRESS(1,MATCH(CONCATENATE(C793,":",D793),Setup!$1:$1,0),4),1),"2:",LEFT(ADDRESS(1,MATCH(CONCATENATE(C793,":",D793),Setup!$1:$1,0),4),1),"99"))),0)</f>
        <v>0</v>
      </c>
      <c r="BC793">
        <f ca="1">IF(COUNTBLANK(E793)=0,COUNTA(INDIRECT(CONCATENATE("Comp!",SUBSTITUTE(ADDRESS(1,MATCH(CONCATENATE(C793,":",D793,":",E793),Comp!$1:$1,0),4),"1",""),"2:",SUBSTITUTE(ADDRESS(1,MATCH(CONCATENATE(C793,":",D793,":",E793),Comp!$1:$1,0),4),"1",""),"99"))),0)</f>
        <v>0</v>
      </c>
    </row>
    <row r="794" spans="1:55">
      <c r="A794" s="20" t="s">
        <v>73</v>
      </c>
      <c r="B794" s="21"/>
      <c r="C794" s="20"/>
      <c r="D794" s="22"/>
      <c r="E794" s="22"/>
      <c r="F794" s="21"/>
      <c r="G794" s="23"/>
      <c r="H794" s="24"/>
      <c r="I794" s="22"/>
      <c r="J794" s="22"/>
      <c r="K794" s="22"/>
      <c r="L794" s="21"/>
      <c r="M794" s="20"/>
      <c r="N794" s="20"/>
      <c r="O794" s="23"/>
      <c r="P794" s="21"/>
      <c r="Q794" s="20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1"/>
      <c r="AU794" s="25" t="str">
        <f t="shared" si="24"/>
        <v>1Q42</v>
      </c>
      <c r="AV794" t="str">
        <f t="shared" si="25"/>
        <v>1Q42</v>
      </c>
      <c r="BA794">
        <f ca="1">IF(COUNTBLANK(C794)=0,COUNTA(INDIRECT(CONCATENATE("Area!",LEFT(ADDRESS(1,MATCH(C794,Area!$1:$1,0),4),1),"2:",LEFT(ADDRESS(1,MATCH(C794,Area!$1:$1,0),4),1),"99"))),0)</f>
        <v>0</v>
      </c>
      <c r="BB794">
        <f ca="1">IF(COUNTBLANK(D794)=0,COUNTA(INDIRECT(CONCATENATE("Setup!",LEFT(ADDRESS(1,MATCH(CONCATENATE(C794,":",D794),Setup!$1:$1,0),4),1),"2:",LEFT(ADDRESS(1,MATCH(CONCATENATE(C794,":",D794),Setup!$1:$1,0),4),1),"99"))),0)</f>
        <v>0</v>
      </c>
      <c r="BC794">
        <f ca="1">IF(COUNTBLANK(E794)=0,COUNTA(INDIRECT(CONCATENATE("Comp!",SUBSTITUTE(ADDRESS(1,MATCH(CONCATENATE(C794,":",D794,":",E794),Comp!$1:$1,0),4),"1",""),"2:",SUBSTITUTE(ADDRESS(1,MATCH(CONCATENATE(C794,":",D794,":",E794),Comp!$1:$1,0),4),"1",""),"99"))),0)</f>
        <v>0</v>
      </c>
    </row>
    <row r="795" spans="1:55">
      <c r="A795" s="20" t="s">
        <v>73</v>
      </c>
      <c r="B795" s="21"/>
      <c r="C795" s="20"/>
      <c r="D795" s="22"/>
      <c r="E795" s="22"/>
      <c r="F795" s="21"/>
      <c r="G795" s="23"/>
      <c r="H795" s="24"/>
      <c r="I795" s="22"/>
      <c r="J795" s="22"/>
      <c r="K795" s="22"/>
      <c r="L795" s="21"/>
      <c r="M795" s="20"/>
      <c r="N795" s="20"/>
      <c r="O795" s="23"/>
      <c r="P795" s="21"/>
      <c r="Q795" s="20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1"/>
      <c r="AU795" s="25" t="str">
        <f t="shared" si="24"/>
        <v>1Q42</v>
      </c>
      <c r="AV795" t="str">
        <f t="shared" si="25"/>
        <v>1Q42</v>
      </c>
      <c r="BA795">
        <f ca="1">IF(COUNTBLANK(C795)=0,COUNTA(INDIRECT(CONCATENATE("Area!",LEFT(ADDRESS(1,MATCH(C795,Area!$1:$1,0),4),1),"2:",LEFT(ADDRESS(1,MATCH(C795,Area!$1:$1,0),4),1),"99"))),0)</f>
        <v>0</v>
      </c>
      <c r="BB795">
        <f ca="1">IF(COUNTBLANK(D795)=0,COUNTA(INDIRECT(CONCATENATE("Setup!",LEFT(ADDRESS(1,MATCH(CONCATENATE(C795,":",D795),Setup!$1:$1,0),4),1),"2:",LEFT(ADDRESS(1,MATCH(CONCATENATE(C795,":",D795),Setup!$1:$1,0),4),1),"99"))),0)</f>
        <v>0</v>
      </c>
      <c r="BC795">
        <f ca="1">IF(COUNTBLANK(E795)=0,COUNTA(INDIRECT(CONCATENATE("Comp!",SUBSTITUTE(ADDRESS(1,MATCH(CONCATENATE(C795,":",D795,":",E795),Comp!$1:$1,0),4),"1",""),"2:",SUBSTITUTE(ADDRESS(1,MATCH(CONCATENATE(C795,":",D795,":",E795),Comp!$1:$1,0),4),"1",""),"99"))),0)</f>
        <v>0</v>
      </c>
    </row>
    <row r="796" spans="1:55">
      <c r="A796" s="20" t="s">
        <v>73</v>
      </c>
      <c r="B796" s="21"/>
      <c r="C796" s="20"/>
      <c r="D796" s="22"/>
      <c r="E796" s="22"/>
      <c r="F796" s="21"/>
      <c r="G796" s="23"/>
      <c r="H796" s="24"/>
      <c r="I796" s="22"/>
      <c r="J796" s="22"/>
      <c r="K796" s="22"/>
      <c r="L796" s="21"/>
      <c r="M796" s="20"/>
      <c r="N796" s="20"/>
      <c r="O796" s="23"/>
      <c r="P796" s="21"/>
      <c r="Q796" s="20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1"/>
      <c r="AU796" s="25" t="str">
        <f t="shared" si="24"/>
        <v>1Q42</v>
      </c>
      <c r="AV796" t="str">
        <f t="shared" si="25"/>
        <v>1Q42</v>
      </c>
      <c r="BA796">
        <f ca="1">IF(COUNTBLANK(C796)=0,COUNTA(INDIRECT(CONCATENATE("Area!",LEFT(ADDRESS(1,MATCH(C796,Area!$1:$1,0),4),1),"2:",LEFT(ADDRESS(1,MATCH(C796,Area!$1:$1,0),4),1),"99"))),0)</f>
        <v>0</v>
      </c>
      <c r="BB796">
        <f ca="1">IF(COUNTBLANK(D796)=0,COUNTA(INDIRECT(CONCATENATE("Setup!",LEFT(ADDRESS(1,MATCH(CONCATENATE(C796,":",D796),Setup!$1:$1,0),4),1),"2:",LEFT(ADDRESS(1,MATCH(CONCATENATE(C796,":",D796),Setup!$1:$1,0),4),1),"99"))),0)</f>
        <v>0</v>
      </c>
      <c r="BC796">
        <f ca="1">IF(COUNTBLANK(E796)=0,COUNTA(INDIRECT(CONCATENATE("Comp!",SUBSTITUTE(ADDRESS(1,MATCH(CONCATENATE(C796,":",D796,":",E796),Comp!$1:$1,0),4),"1",""),"2:",SUBSTITUTE(ADDRESS(1,MATCH(CONCATENATE(C796,":",D796,":",E796),Comp!$1:$1,0),4),"1",""),"99"))),0)</f>
        <v>0</v>
      </c>
    </row>
    <row r="797" spans="1:55">
      <c r="A797" s="20" t="s">
        <v>73</v>
      </c>
      <c r="B797" s="21"/>
      <c r="C797" s="20"/>
      <c r="D797" s="22"/>
      <c r="E797" s="22"/>
      <c r="F797" s="21"/>
      <c r="G797" s="23"/>
      <c r="H797" s="24"/>
      <c r="I797" s="22"/>
      <c r="J797" s="22"/>
      <c r="K797" s="22"/>
      <c r="L797" s="21"/>
      <c r="M797" s="20"/>
      <c r="N797" s="20"/>
      <c r="O797" s="23"/>
      <c r="P797" s="21"/>
      <c r="Q797" s="20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1"/>
      <c r="AU797" s="25" t="str">
        <f t="shared" si="24"/>
        <v>1Q42</v>
      </c>
      <c r="AV797" t="str">
        <f t="shared" si="25"/>
        <v>1Q42</v>
      </c>
      <c r="BA797">
        <f ca="1">IF(COUNTBLANK(C797)=0,COUNTA(INDIRECT(CONCATENATE("Area!",LEFT(ADDRESS(1,MATCH(C797,Area!$1:$1,0),4),1),"2:",LEFT(ADDRESS(1,MATCH(C797,Area!$1:$1,0),4),1),"99"))),0)</f>
        <v>0</v>
      </c>
      <c r="BB797">
        <f ca="1">IF(COUNTBLANK(D797)=0,COUNTA(INDIRECT(CONCATENATE("Setup!",LEFT(ADDRESS(1,MATCH(CONCATENATE(C797,":",D797),Setup!$1:$1,0),4),1),"2:",LEFT(ADDRESS(1,MATCH(CONCATENATE(C797,":",D797),Setup!$1:$1,0),4),1),"99"))),0)</f>
        <v>0</v>
      </c>
      <c r="BC797">
        <f ca="1">IF(COUNTBLANK(E797)=0,COUNTA(INDIRECT(CONCATENATE("Comp!",SUBSTITUTE(ADDRESS(1,MATCH(CONCATENATE(C797,":",D797,":",E797),Comp!$1:$1,0),4),"1",""),"2:",SUBSTITUTE(ADDRESS(1,MATCH(CONCATENATE(C797,":",D797,":",E797),Comp!$1:$1,0),4),"1",""),"99"))),0)</f>
        <v>0</v>
      </c>
    </row>
    <row r="798" spans="1:55">
      <c r="A798" s="20" t="s">
        <v>73</v>
      </c>
      <c r="B798" s="21"/>
      <c r="C798" s="20"/>
      <c r="D798" s="22"/>
      <c r="E798" s="22"/>
      <c r="F798" s="21"/>
      <c r="G798" s="23"/>
      <c r="H798" s="24"/>
      <c r="I798" s="22"/>
      <c r="J798" s="22"/>
      <c r="K798" s="22"/>
      <c r="L798" s="21"/>
      <c r="M798" s="20"/>
      <c r="N798" s="20"/>
      <c r="O798" s="23"/>
      <c r="P798" s="21"/>
      <c r="Q798" s="20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1"/>
      <c r="AU798" s="25" t="str">
        <f t="shared" si="24"/>
        <v>1Q42</v>
      </c>
      <c r="AV798" t="str">
        <f t="shared" si="25"/>
        <v>1Q42</v>
      </c>
      <c r="BA798">
        <f ca="1">IF(COUNTBLANK(C798)=0,COUNTA(INDIRECT(CONCATENATE("Area!",LEFT(ADDRESS(1,MATCH(C798,Area!$1:$1,0),4),1),"2:",LEFT(ADDRESS(1,MATCH(C798,Area!$1:$1,0),4),1),"99"))),0)</f>
        <v>0</v>
      </c>
      <c r="BB798">
        <f ca="1">IF(COUNTBLANK(D798)=0,COUNTA(INDIRECT(CONCATENATE("Setup!",LEFT(ADDRESS(1,MATCH(CONCATENATE(C798,":",D798),Setup!$1:$1,0),4),1),"2:",LEFT(ADDRESS(1,MATCH(CONCATENATE(C798,":",D798),Setup!$1:$1,0),4),1),"99"))),0)</f>
        <v>0</v>
      </c>
      <c r="BC798">
        <f ca="1">IF(COUNTBLANK(E798)=0,COUNTA(INDIRECT(CONCATENATE("Comp!",SUBSTITUTE(ADDRESS(1,MATCH(CONCATENATE(C798,":",D798,":",E798),Comp!$1:$1,0),4),"1",""),"2:",SUBSTITUTE(ADDRESS(1,MATCH(CONCATENATE(C798,":",D798,":",E798),Comp!$1:$1,0),4),"1",""),"99"))),0)</f>
        <v>0</v>
      </c>
    </row>
    <row r="799" spans="1:55">
      <c r="A799" s="20" t="s">
        <v>73</v>
      </c>
      <c r="B799" s="21"/>
      <c r="C799" s="20"/>
      <c r="D799" s="22"/>
      <c r="E799" s="22"/>
      <c r="F799" s="21"/>
      <c r="G799" s="23"/>
      <c r="H799" s="24"/>
      <c r="I799" s="22"/>
      <c r="J799" s="22"/>
      <c r="K799" s="22"/>
      <c r="L799" s="21"/>
      <c r="M799" s="20"/>
      <c r="N799" s="20"/>
      <c r="O799" s="23"/>
      <c r="P799" s="21"/>
      <c r="Q799" s="20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1"/>
      <c r="AU799" s="25" t="str">
        <f t="shared" si="24"/>
        <v>1Q42</v>
      </c>
      <c r="AV799" t="str">
        <f t="shared" si="25"/>
        <v>1Q42</v>
      </c>
      <c r="BA799">
        <f ca="1">IF(COUNTBLANK(C799)=0,COUNTA(INDIRECT(CONCATENATE("Area!",LEFT(ADDRESS(1,MATCH(C799,Area!$1:$1,0),4),1),"2:",LEFT(ADDRESS(1,MATCH(C799,Area!$1:$1,0),4),1),"99"))),0)</f>
        <v>0</v>
      </c>
      <c r="BB799">
        <f ca="1">IF(COUNTBLANK(D799)=0,COUNTA(INDIRECT(CONCATENATE("Setup!",LEFT(ADDRESS(1,MATCH(CONCATENATE(C799,":",D799),Setup!$1:$1,0),4),1),"2:",LEFT(ADDRESS(1,MATCH(CONCATENATE(C799,":",D799),Setup!$1:$1,0),4),1),"99"))),0)</f>
        <v>0</v>
      </c>
      <c r="BC799">
        <f ca="1">IF(COUNTBLANK(E799)=0,COUNTA(INDIRECT(CONCATENATE("Comp!",SUBSTITUTE(ADDRESS(1,MATCH(CONCATENATE(C799,":",D799,":",E799),Comp!$1:$1,0),4),"1",""),"2:",SUBSTITUTE(ADDRESS(1,MATCH(CONCATENATE(C799,":",D799,":",E799),Comp!$1:$1,0),4),"1",""),"99"))),0)</f>
        <v>0</v>
      </c>
    </row>
    <row r="800" spans="1:55">
      <c r="A800" s="20" t="s">
        <v>73</v>
      </c>
      <c r="B800" s="21"/>
      <c r="C800" s="20"/>
      <c r="D800" s="22"/>
      <c r="E800" s="22"/>
      <c r="F800" s="21"/>
      <c r="G800" s="23"/>
      <c r="H800" s="24"/>
      <c r="I800" s="22"/>
      <c r="J800" s="22"/>
      <c r="K800" s="22"/>
      <c r="L800" s="21"/>
      <c r="M800" s="20"/>
      <c r="N800" s="20"/>
      <c r="O800" s="23"/>
      <c r="P800" s="21"/>
      <c r="Q800" s="20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1"/>
      <c r="AU800" s="25" t="str">
        <f t="shared" si="24"/>
        <v>1Q42</v>
      </c>
      <c r="AV800" t="str">
        <f t="shared" si="25"/>
        <v>1Q42</v>
      </c>
      <c r="BA800">
        <f ca="1">IF(COUNTBLANK(C800)=0,COUNTA(INDIRECT(CONCATENATE("Area!",LEFT(ADDRESS(1,MATCH(C800,Area!$1:$1,0),4),1),"2:",LEFT(ADDRESS(1,MATCH(C800,Area!$1:$1,0),4),1),"99"))),0)</f>
        <v>0</v>
      </c>
      <c r="BB800">
        <f ca="1">IF(COUNTBLANK(D800)=0,COUNTA(INDIRECT(CONCATENATE("Setup!",LEFT(ADDRESS(1,MATCH(CONCATENATE(C800,":",D800),Setup!$1:$1,0),4),1),"2:",LEFT(ADDRESS(1,MATCH(CONCATENATE(C800,":",D800),Setup!$1:$1,0),4),1),"99"))),0)</f>
        <v>0</v>
      </c>
      <c r="BC800">
        <f ca="1">IF(COUNTBLANK(E800)=0,COUNTA(INDIRECT(CONCATENATE("Comp!",SUBSTITUTE(ADDRESS(1,MATCH(CONCATENATE(C800,":",D800,":",E800),Comp!$1:$1,0),4),"1",""),"2:",SUBSTITUTE(ADDRESS(1,MATCH(CONCATENATE(C800,":",D800,":",E800),Comp!$1:$1,0),4),"1",""),"99"))),0)</f>
        <v>0</v>
      </c>
    </row>
    <row r="801" spans="1:55">
      <c r="A801" s="20" t="s">
        <v>73</v>
      </c>
      <c r="B801" s="21"/>
      <c r="C801" s="20"/>
      <c r="D801" s="22"/>
      <c r="E801" s="22"/>
      <c r="F801" s="21"/>
      <c r="G801" s="23"/>
      <c r="H801" s="24"/>
      <c r="I801" s="22"/>
      <c r="J801" s="22"/>
      <c r="K801" s="22"/>
      <c r="L801" s="21"/>
      <c r="M801" s="20"/>
      <c r="N801" s="20"/>
      <c r="O801" s="23"/>
      <c r="P801" s="21"/>
      <c r="Q801" s="20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1"/>
      <c r="AU801" s="25" t="str">
        <f t="shared" si="24"/>
        <v>1Q42</v>
      </c>
      <c r="AV801" t="str">
        <f t="shared" si="25"/>
        <v>1Q42</v>
      </c>
      <c r="BA801">
        <f ca="1">IF(COUNTBLANK(C801)=0,COUNTA(INDIRECT(CONCATENATE("Area!",LEFT(ADDRESS(1,MATCH(C801,Area!$1:$1,0),4),1),"2:",LEFT(ADDRESS(1,MATCH(C801,Area!$1:$1,0),4),1),"99"))),0)</f>
        <v>0</v>
      </c>
      <c r="BB801">
        <f ca="1">IF(COUNTBLANK(D801)=0,COUNTA(INDIRECT(CONCATENATE("Setup!",LEFT(ADDRESS(1,MATCH(CONCATENATE(C801,":",D801),Setup!$1:$1,0),4),1),"2:",LEFT(ADDRESS(1,MATCH(CONCATENATE(C801,":",D801),Setup!$1:$1,0),4),1),"99"))),0)</f>
        <v>0</v>
      </c>
      <c r="BC801">
        <f ca="1">IF(COUNTBLANK(E801)=0,COUNTA(INDIRECT(CONCATENATE("Comp!",SUBSTITUTE(ADDRESS(1,MATCH(CONCATENATE(C801,":",D801,":",E801),Comp!$1:$1,0),4),"1",""),"2:",SUBSTITUTE(ADDRESS(1,MATCH(CONCATENATE(C801,":",D801,":",E801),Comp!$1:$1,0),4),"1",""),"99"))),0)</f>
        <v>0</v>
      </c>
    </row>
    <row r="802" spans="1:55">
      <c r="A802" s="20" t="s">
        <v>73</v>
      </c>
      <c r="B802" s="21"/>
      <c r="C802" s="20"/>
      <c r="D802" s="22"/>
      <c r="E802" s="22"/>
      <c r="F802" s="21"/>
      <c r="G802" s="23"/>
      <c r="H802" s="24"/>
      <c r="I802" s="22"/>
      <c r="J802" s="22"/>
      <c r="K802" s="22"/>
      <c r="L802" s="21"/>
      <c r="M802" s="20"/>
      <c r="N802" s="20"/>
      <c r="O802" s="23"/>
      <c r="P802" s="21"/>
      <c r="Q802" s="20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1"/>
      <c r="AU802" s="25" t="str">
        <f t="shared" si="24"/>
        <v>1Q42</v>
      </c>
      <c r="AV802" t="str">
        <f t="shared" si="25"/>
        <v>1Q42</v>
      </c>
      <c r="BA802">
        <f ca="1">IF(COUNTBLANK(C802)=0,COUNTA(INDIRECT(CONCATENATE("Area!",LEFT(ADDRESS(1,MATCH(C802,Area!$1:$1,0),4),1),"2:",LEFT(ADDRESS(1,MATCH(C802,Area!$1:$1,0),4),1),"99"))),0)</f>
        <v>0</v>
      </c>
      <c r="BB802">
        <f ca="1">IF(COUNTBLANK(D802)=0,COUNTA(INDIRECT(CONCATENATE("Setup!",LEFT(ADDRESS(1,MATCH(CONCATENATE(C802,":",D802),Setup!$1:$1,0),4),1),"2:",LEFT(ADDRESS(1,MATCH(CONCATENATE(C802,":",D802),Setup!$1:$1,0),4),1),"99"))),0)</f>
        <v>0</v>
      </c>
      <c r="BC802">
        <f ca="1">IF(COUNTBLANK(E802)=0,COUNTA(INDIRECT(CONCATENATE("Comp!",SUBSTITUTE(ADDRESS(1,MATCH(CONCATENATE(C802,":",D802,":",E802),Comp!$1:$1,0),4),"1",""),"2:",SUBSTITUTE(ADDRESS(1,MATCH(CONCATENATE(C802,":",D802,":",E802),Comp!$1:$1,0),4),"1",""),"99"))),0)</f>
        <v>0</v>
      </c>
    </row>
    <row r="803" spans="1:55">
      <c r="A803" s="20" t="s">
        <v>73</v>
      </c>
      <c r="B803" s="21"/>
      <c r="C803" s="20"/>
      <c r="D803" s="22"/>
      <c r="E803" s="22"/>
      <c r="F803" s="21"/>
      <c r="G803" s="23"/>
      <c r="H803" s="24"/>
      <c r="I803" s="22"/>
      <c r="J803" s="22"/>
      <c r="K803" s="22"/>
      <c r="L803" s="21"/>
      <c r="M803" s="20"/>
      <c r="N803" s="20"/>
      <c r="O803" s="23"/>
      <c r="P803" s="21"/>
      <c r="Q803" s="20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1"/>
      <c r="AU803" s="25" t="str">
        <f t="shared" si="24"/>
        <v>1Q42</v>
      </c>
      <c r="AV803" t="str">
        <f t="shared" si="25"/>
        <v>1Q42</v>
      </c>
      <c r="BA803">
        <f ca="1">IF(COUNTBLANK(C803)=0,COUNTA(INDIRECT(CONCATENATE("Area!",LEFT(ADDRESS(1,MATCH(C803,Area!$1:$1,0),4),1),"2:",LEFT(ADDRESS(1,MATCH(C803,Area!$1:$1,0),4),1),"99"))),0)</f>
        <v>0</v>
      </c>
      <c r="BB803">
        <f ca="1">IF(COUNTBLANK(D803)=0,COUNTA(INDIRECT(CONCATENATE("Setup!",LEFT(ADDRESS(1,MATCH(CONCATENATE(C803,":",D803),Setup!$1:$1,0),4),1),"2:",LEFT(ADDRESS(1,MATCH(CONCATENATE(C803,":",D803),Setup!$1:$1,0),4),1),"99"))),0)</f>
        <v>0</v>
      </c>
      <c r="BC803">
        <f ca="1">IF(COUNTBLANK(E803)=0,COUNTA(INDIRECT(CONCATENATE("Comp!",SUBSTITUTE(ADDRESS(1,MATCH(CONCATENATE(C803,":",D803,":",E803),Comp!$1:$1,0),4),"1",""),"2:",SUBSTITUTE(ADDRESS(1,MATCH(CONCATENATE(C803,":",D803,":",E803),Comp!$1:$1,0),4),"1",""),"99"))),0)</f>
        <v>0</v>
      </c>
    </row>
    <row r="804" spans="1:55">
      <c r="A804" s="20" t="s">
        <v>73</v>
      </c>
      <c r="B804" s="21"/>
      <c r="C804" s="20"/>
      <c r="D804" s="22"/>
      <c r="E804" s="22"/>
      <c r="F804" s="21"/>
      <c r="G804" s="23"/>
      <c r="H804" s="24"/>
      <c r="I804" s="22"/>
      <c r="J804" s="22"/>
      <c r="K804" s="22"/>
      <c r="L804" s="21"/>
      <c r="M804" s="20"/>
      <c r="N804" s="20"/>
      <c r="O804" s="23"/>
      <c r="P804" s="21"/>
      <c r="Q804" s="20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1"/>
      <c r="AU804" s="25" t="str">
        <f t="shared" si="24"/>
        <v>1Q42</v>
      </c>
      <c r="AV804" t="str">
        <f t="shared" si="25"/>
        <v>1Q42</v>
      </c>
      <c r="BA804">
        <f ca="1">IF(COUNTBLANK(C804)=0,COUNTA(INDIRECT(CONCATENATE("Area!",LEFT(ADDRESS(1,MATCH(C804,Area!$1:$1,0),4),1),"2:",LEFT(ADDRESS(1,MATCH(C804,Area!$1:$1,0),4),1),"99"))),0)</f>
        <v>0</v>
      </c>
      <c r="BB804">
        <f ca="1">IF(COUNTBLANK(D804)=0,COUNTA(INDIRECT(CONCATENATE("Setup!",LEFT(ADDRESS(1,MATCH(CONCATENATE(C804,":",D804),Setup!$1:$1,0),4),1),"2:",LEFT(ADDRESS(1,MATCH(CONCATENATE(C804,":",D804),Setup!$1:$1,0),4),1),"99"))),0)</f>
        <v>0</v>
      </c>
      <c r="BC804">
        <f ca="1">IF(COUNTBLANK(E804)=0,COUNTA(INDIRECT(CONCATENATE("Comp!",SUBSTITUTE(ADDRESS(1,MATCH(CONCATENATE(C804,":",D804,":",E804),Comp!$1:$1,0),4),"1",""),"2:",SUBSTITUTE(ADDRESS(1,MATCH(CONCATENATE(C804,":",D804,":",E804),Comp!$1:$1,0),4),"1",""),"99"))),0)</f>
        <v>0</v>
      </c>
    </row>
    <row r="805" spans="1:55">
      <c r="A805" s="20" t="s">
        <v>73</v>
      </c>
      <c r="B805" s="21"/>
      <c r="C805" s="20"/>
      <c r="D805" s="22"/>
      <c r="E805" s="22"/>
      <c r="F805" s="21"/>
      <c r="G805" s="23"/>
      <c r="H805" s="24"/>
      <c r="I805" s="22"/>
      <c r="J805" s="22"/>
      <c r="K805" s="22"/>
      <c r="L805" s="21"/>
      <c r="M805" s="20"/>
      <c r="N805" s="20"/>
      <c r="O805" s="23"/>
      <c r="P805" s="21"/>
      <c r="Q805" s="20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1"/>
      <c r="AU805" s="25" t="str">
        <f t="shared" si="24"/>
        <v>1Q42</v>
      </c>
      <c r="AV805" t="str">
        <f t="shared" si="25"/>
        <v>1Q42</v>
      </c>
      <c r="BA805">
        <f ca="1">IF(COUNTBLANK(C805)=0,COUNTA(INDIRECT(CONCATENATE("Area!",LEFT(ADDRESS(1,MATCH(C805,Area!$1:$1,0),4),1),"2:",LEFT(ADDRESS(1,MATCH(C805,Area!$1:$1,0),4),1),"99"))),0)</f>
        <v>0</v>
      </c>
      <c r="BB805">
        <f ca="1">IF(COUNTBLANK(D805)=0,COUNTA(INDIRECT(CONCATENATE("Setup!",LEFT(ADDRESS(1,MATCH(CONCATENATE(C805,":",D805),Setup!$1:$1,0),4),1),"2:",LEFT(ADDRESS(1,MATCH(CONCATENATE(C805,":",D805),Setup!$1:$1,0),4),1),"99"))),0)</f>
        <v>0</v>
      </c>
      <c r="BC805">
        <f ca="1">IF(COUNTBLANK(E805)=0,COUNTA(INDIRECT(CONCATENATE("Comp!",SUBSTITUTE(ADDRESS(1,MATCH(CONCATENATE(C805,":",D805,":",E805),Comp!$1:$1,0),4),"1",""),"2:",SUBSTITUTE(ADDRESS(1,MATCH(CONCATENATE(C805,":",D805,":",E805),Comp!$1:$1,0),4),"1",""),"99"))),0)</f>
        <v>0</v>
      </c>
    </row>
    <row r="806" spans="1:55">
      <c r="A806" s="20" t="s">
        <v>73</v>
      </c>
      <c r="B806" s="21"/>
      <c r="C806" s="20"/>
      <c r="D806" s="22"/>
      <c r="E806" s="22"/>
      <c r="F806" s="21"/>
      <c r="G806" s="23"/>
      <c r="H806" s="24"/>
      <c r="I806" s="22"/>
      <c r="J806" s="22"/>
      <c r="K806" s="22"/>
      <c r="L806" s="21"/>
      <c r="M806" s="20"/>
      <c r="N806" s="20"/>
      <c r="O806" s="23"/>
      <c r="P806" s="21"/>
      <c r="Q806" s="20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1"/>
      <c r="AU806" s="25" t="str">
        <f t="shared" si="24"/>
        <v>1Q42</v>
      </c>
      <c r="AV806" t="str">
        <f t="shared" si="25"/>
        <v>1Q42</v>
      </c>
      <c r="BA806">
        <f ca="1">IF(COUNTBLANK(C806)=0,COUNTA(INDIRECT(CONCATENATE("Area!",LEFT(ADDRESS(1,MATCH(C806,Area!$1:$1,0),4),1),"2:",LEFT(ADDRESS(1,MATCH(C806,Area!$1:$1,0),4),1),"99"))),0)</f>
        <v>0</v>
      </c>
      <c r="BB806">
        <f ca="1">IF(COUNTBLANK(D806)=0,COUNTA(INDIRECT(CONCATENATE("Setup!",LEFT(ADDRESS(1,MATCH(CONCATENATE(C806,":",D806),Setup!$1:$1,0),4),1),"2:",LEFT(ADDRESS(1,MATCH(CONCATENATE(C806,":",D806),Setup!$1:$1,0),4),1),"99"))),0)</f>
        <v>0</v>
      </c>
      <c r="BC806">
        <f ca="1">IF(COUNTBLANK(E806)=0,COUNTA(INDIRECT(CONCATENATE("Comp!",SUBSTITUTE(ADDRESS(1,MATCH(CONCATENATE(C806,":",D806,":",E806),Comp!$1:$1,0),4),"1",""),"2:",SUBSTITUTE(ADDRESS(1,MATCH(CONCATENATE(C806,":",D806,":",E806),Comp!$1:$1,0),4),"1",""),"99"))),0)</f>
        <v>0</v>
      </c>
    </row>
    <row r="807" spans="1:55">
      <c r="A807" s="20" t="s">
        <v>73</v>
      </c>
      <c r="B807" s="21"/>
      <c r="C807" s="20"/>
      <c r="D807" s="22"/>
      <c r="E807" s="22"/>
      <c r="F807" s="21"/>
      <c r="G807" s="23"/>
      <c r="H807" s="24"/>
      <c r="I807" s="22"/>
      <c r="J807" s="22"/>
      <c r="K807" s="22"/>
      <c r="L807" s="21"/>
      <c r="M807" s="20"/>
      <c r="N807" s="20"/>
      <c r="O807" s="23"/>
      <c r="P807" s="21"/>
      <c r="Q807" s="20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1"/>
      <c r="AU807" s="25" t="str">
        <f t="shared" si="24"/>
        <v>1Q42</v>
      </c>
      <c r="AV807" t="str">
        <f t="shared" si="25"/>
        <v>1Q42</v>
      </c>
      <c r="BA807">
        <f ca="1">IF(COUNTBLANK(C807)=0,COUNTA(INDIRECT(CONCATENATE("Area!",LEFT(ADDRESS(1,MATCH(C807,Area!$1:$1,0),4),1),"2:",LEFT(ADDRESS(1,MATCH(C807,Area!$1:$1,0),4),1),"99"))),0)</f>
        <v>0</v>
      </c>
      <c r="BB807">
        <f ca="1">IF(COUNTBLANK(D807)=0,COUNTA(INDIRECT(CONCATENATE("Setup!",LEFT(ADDRESS(1,MATCH(CONCATENATE(C807,":",D807),Setup!$1:$1,0),4),1),"2:",LEFT(ADDRESS(1,MATCH(CONCATENATE(C807,":",D807),Setup!$1:$1,0),4),1),"99"))),0)</f>
        <v>0</v>
      </c>
      <c r="BC807">
        <f ca="1">IF(COUNTBLANK(E807)=0,COUNTA(INDIRECT(CONCATENATE("Comp!",SUBSTITUTE(ADDRESS(1,MATCH(CONCATENATE(C807,":",D807,":",E807),Comp!$1:$1,0),4),"1",""),"2:",SUBSTITUTE(ADDRESS(1,MATCH(CONCATENATE(C807,":",D807,":",E807),Comp!$1:$1,0),4),"1",""),"99"))),0)</f>
        <v>0</v>
      </c>
    </row>
    <row r="808" spans="1:55">
      <c r="A808" s="20" t="s">
        <v>73</v>
      </c>
      <c r="B808" s="21"/>
      <c r="C808" s="20"/>
      <c r="D808" s="22"/>
      <c r="E808" s="22"/>
      <c r="F808" s="21"/>
      <c r="G808" s="23"/>
      <c r="H808" s="24"/>
      <c r="I808" s="22"/>
      <c r="J808" s="22"/>
      <c r="K808" s="22"/>
      <c r="L808" s="21"/>
      <c r="M808" s="20"/>
      <c r="N808" s="20"/>
      <c r="O808" s="23"/>
      <c r="P808" s="21"/>
      <c r="Q808" s="20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1"/>
      <c r="AU808" s="25" t="str">
        <f t="shared" si="24"/>
        <v>1Q42</v>
      </c>
      <c r="AV808" t="str">
        <f t="shared" si="25"/>
        <v>1Q42</v>
      </c>
      <c r="BA808">
        <f ca="1">IF(COUNTBLANK(C808)=0,COUNTA(INDIRECT(CONCATENATE("Area!",LEFT(ADDRESS(1,MATCH(C808,Area!$1:$1,0),4),1),"2:",LEFT(ADDRESS(1,MATCH(C808,Area!$1:$1,0),4),1),"99"))),0)</f>
        <v>0</v>
      </c>
      <c r="BB808">
        <f ca="1">IF(COUNTBLANK(D808)=0,COUNTA(INDIRECT(CONCATENATE("Setup!",LEFT(ADDRESS(1,MATCH(CONCATENATE(C808,":",D808),Setup!$1:$1,0),4),1),"2:",LEFT(ADDRESS(1,MATCH(CONCATENATE(C808,":",D808),Setup!$1:$1,0),4),1),"99"))),0)</f>
        <v>0</v>
      </c>
      <c r="BC808">
        <f ca="1">IF(COUNTBLANK(E808)=0,COUNTA(INDIRECT(CONCATENATE("Comp!",SUBSTITUTE(ADDRESS(1,MATCH(CONCATENATE(C808,":",D808,":",E808),Comp!$1:$1,0),4),"1",""),"2:",SUBSTITUTE(ADDRESS(1,MATCH(CONCATENATE(C808,":",D808,":",E808),Comp!$1:$1,0),4),"1",""),"99"))),0)</f>
        <v>0</v>
      </c>
    </row>
    <row r="809" spans="1:55">
      <c r="A809" s="20" t="s">
        <v>73</v>
      </c>
      <c r="B809" s="21"/>
      <c r="C809" s="20"/>
      <c r="D809" s="22"/>
      <c r="E809" s="22"/>
      <c r="F809" s="21"/>
      <c r="G809" s="23"/>
      <c r="H809" s="24"/>
      <c r="I809" s="22"/>
      <c r="J809" s="22"/>
      <c r="K809" s="22"/>
      <c r="L809" s="21"/>
      <c r="M809" s="20"/>
      <c r="N809" s="20"/>
      <c r="O809" s="23"/>
      <c r="P809" s="21"/>
      <c r="Q809" s="20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1"/>
      <c r="AU809" s="25" t="str">
        <f t="shared" si="24"/>
        <v>1Q42</v>
      </c>
      <c r="AV809" t="str">
        <f t="shared" si="25"/>
        <v>1Q42</v>
      </c>
      <c r="BA809">
        <f ca="1">IF(COUNTBLANK(C809)=0,COUNTA(INDIRECT(CONCATENATE("Area!",LEFT(ADDRESS(1,MATCH(C809,Area!$1:$1,0),4),1),"2:",LEFT(ADDRESS(1,MATCH(C809,Area!$1:$1,0),4),1),"99"))),0)</f>
        <v>0</v>
      </c>
      <c r="BB809">
        <f ca="1">IF(COUNTBLANK(D809)=0,COUNTA(INDIRECT(CONCATENATE("Setup!",LEFT(ADDRESS(1,MATCH(CONCATENATE(C809,":",D809),Setup!$1:$1,0),4),1),"2:",LEFT(ADDRESS(1,MATCH(CONCATENATE(C809,":",D809),Setup!$1:$1,0),4),1),"99"))),0)</f>
        <v>0</v>
      </c>
      <c r="BC809">
        <f ca="1">IF(COUNTBLANK(E809)=0,COUNTA(INDIRECT(CONCATENATE("Comp!",SUBSTITUTE(ADDRESS(1,MATCH(CONCATENATE(C809,":",D809,":",E809),Comp!$1:$1,0),4),"1",""),"2:",SUBSTITUTE(ADDRESS(1,MATCH(CONCATENATE(C809,":",D809,":",E809),Comp!$1:$1,0),4),"1",""),"99"))),0)</f>
        <v>0</v>
      </c>
    </row>
    <row r="810" spans="1:55">
      <c r="A810" s="20" t="s">
        <v>73</v>
      </c>
      <c r="B810" s="21"/>
      <c r="C810" s="20"/>
      <c r="D810" s="22"/>
      <c r="E810" s="22"/>
      <c r="F810" s="21"/>
      <c r="G810" s="23"/>
      <c r="H810" s="24"/>
      <c r="I810" s="22"/>
      <c r="J810" s="22"/>
      <c r="K810" s="22"/>
      <c r="L810" s="21"/>
      <c r="M810" s="20"/>
      <c r="N810" s="20"/>
      <c r="O810" s="23"/>
      <c r="P810" s="21"/>
      <c r="Q810" s="20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1"/>
      <c r="AU810" s="25" t="str">
        <f t="shared" si="24"/>
        <v>1Q42</v>
      </c>
      <c r="AV810" t="str">
        <f t="shared" si="25"/>
        <v>1Q42</v>
      </c>
      <c r="BA810">
        <f ca="1">IF(COUNTBLANK(C810)=0,COUNTA(INDIRECT(CONCATENATE("Area!",LEFT(ADDRESS(1,MATCH(C810,Area!$1:$1,0),4),1),"2:",LEFT(ADDRESS(1,MATCH(C810,Area!$1:$1,0),4),1),"99"))),0)</f>
        <v>0</v>
      </c>
      <c r="BB810">
        <f ca="1">IF(COUNTBLANK(D810)=0,COUNTA(INDIRECT(CONCATENATE("Setup!",LEFT(ADDRESS(1,MATCH(CONCATENATE(C810,":",D810),Setup!$1:$1,0),4),1),"2:",LEFT(ADDRESS(1,MATCH(CONCATENATE(C810,":",D810),Setup!$1:$1,0),4),1),"99"))),0)</f>
        <v>0</v>
      </c>
      <c r="BC810">
        <f ca="1">IF(COUNTBLANK(E810)=0,COUNTA(INDIRECT(CONCATENATE("Comp!",SUBSTITUTE(ADDRESS(1,MATCH(CONCATENATE(C810,":",D810,":",E810),Comp!$1:$1,0),4),"1",""),"2:",SUBSTITUTE(ADDRESS(1,MATCH(CONCATENATE(C810,":",D810,":",E810),Comp!$1:$1,0),4),"1",""),"99"))),0)</f>
        <v>0</v>
      </c>
    </row>
    <row r="811" spans="1:55">
      <c r="A811" s="20" t="s">
        <v>73</v>
      </c>
      <c r="B811" s="21"/>
      <c r="C811" s="20"/>
      <c r="D811" s="22"/>
      <c r="E811" s="22"/>
      <c r="F811" s="21"/>
      <c r="G811" s="23"/>
      <c r="H811" s="24"/>
      <c r="I811" s="22"/>
      <c r="J811" s="22"/>
      <c r="K811" s="22"/>
      <c r="L811" s="21"/>
      <c r="M811" s="20"/>
      <c r="N811" s="20"/>
      <c r="O811" s="23"/>
      <c r="P811" s="21"/>
      <c r="Q811" s="20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1"/>
      <c r="AU811" s="25" t="str">
        <f t="shared" si="24"/>
        <v>1Q42</v>
      </c>
      <c r="AV811" t="str">
        <f t="shared" si="25"/>
        <v>1Q42</v>
      </c>
      <c r="BA811">
        <f ca="1">IF(COUNTBLANK(C811)=0,COUNTA(INDIRECT(CONCATENATE("Area!",LEFT(ADDRESS(1,MATCH(C811,Area!$1:$1,0),4),1),"2:",LEFT(ADDRESS(1,MATCH(C811,Area!$1:$1,0),4),1),"99"))),0)</f>
        <v>0</v>
      </c>
      <c r="BB811">
        <f ca="1">IF(COUNTBLANK(D811)=0,COUNTA(INDIRECT(CONCATENATE("Setup!",LEFT(ADDRESS(1,MATCH(CONCATENATE(C811,":",D811),Setup!$1:$1,0),4),1),"2:",LEFT(ADDRESS(1,MATCH(CONCATENATE(C811,":",D811),Setup!$1:$1,0),4),1),"99"))),0)</f>
        <v>0</v>
      </c>
      <c r="BC811">
        <f ca="1">IF(COUNTBLANK(E811)=0,COUNTA(INDIRECT(CONCATENATE("Comp!",SUBSTITUTE(ADDRESS(1,MATCH(CONCATENATE(C811,":",D811,":",E811),Comp!$1:$1,0),4),"1",""),"2:",SUBSTITUTE(ADDRESS(1,MATCH(CONCATENATE(C811,":",D811,":",E811),Comp!$1:$1,0),4),"1",""),"99"))),0)</f>
        <v>0</v>
      </c>
    </row>
    <row r="812" spans="1:55">
      <c r="A812" s="20" t="s">
        <v>73</v>
      </c>
      <c r="B812" s="21"/>
      <c r="C812" s="20"/>
      <c r="D812" s="22"/>
      <c r="E812" s="22"/>
      <c r="F812" s="21"/>
      <c r="G812" s="23"/>
      <c r="H812" s="24"/>
      <c r="I812" s="22"/>
      <c r="J812" s="22"/>
      <c r="K812" s="22"/>
      <c r="L812" s="21"/>
      <c r="M812" s="20"/>
      <c r="N812" s="20"/>
      <c r="O812" s="23"/>
      <c r="P812" s="21"/>
      <c r="Q812" s="20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1"/>
      <c r="AU812" s="25" t="str">
        <f t="shared" si="24"/>
        <v>1Q42</v>
      </c>
      <c r="AV812" t="str">
        <f t="shared" si="25"/>
        <v>1Q42</v>
      </c>
      <c r="BA812">
        <f ca="1">IF(COUNTBLANK(C812)=0,COUNTA(INDIRECT(CONCATENATE("Area!",LEFT(ADDRESS(1,MATCH(C812,Area!$1:$1,0),4),1),"2:",LEFT(ADDRESS(1,MATCH(C812,Area!$1:$1,0),4),1),"99"))),0)</f>
        <v>0</v>
      </c>
      <c r="BB812">
        <f ca="1">IF(COUNTBLANK(D812)=0,COUNTA(INDIRECT(CONCATENATE("Setup!",LEFT(ADDRESS(1,MATCH(CONCATENATE(C812,":",D812),Setup!$1:$1,0),4),1),"2:",LEFT(ADDRESS(1,MATCH(CONCATENATE(C812,":",D812),Setup!$1:$1,0),4),1),"99"))),0)</f>
        <v>0</v>
      </c>
      <c r="BC812">
        <f ca="1">IF(COUNTBLANK(E812)=0,COUNTA(INDIRECT(CONCATENATE("Comp!",SUBSTITUTE(ADDRESS(1,MATCH(CONCATENATE(C812,":",D812,":",E812),Comp!$1:$1,0),4),"1",""),"2:",SUBSTITUTE(ADDRESS(1,MATCH(CONCATENATE(C812,":",D812,":",E812),Comp!$1:$1,0),4),"1",""),"99"))),0)</f>
        <v>0</v>
      </c>
    </row>
    <row r="813" spans="1:55">
      <c r="A813" s="20" t="s">
        <v>73</v>
      </c>
      <c r="B813" s="21"/>
      <c r="C813" s="20"/>
      <c r="D813" s="22"/>
      <c r="E813" s="22"/>
      <c r="F813" s="21"/>
      <c r="G813" s="23"/>
      <c r="H813" s="24"/>
      <c r="I813" s="22"/>
      <c r="J813" s="22"/>
      <c r="K813" s="22"/>
      <c r="L813" s="21"/>
      <c r="M813" s="20"/>
      <c r="N813" s="20"/>
      <c r="O813" s="23"/>
      <c r="P813" s="21"/>
      <c r="Q813" s="20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1"/>
      <c r="AU813" s="25" t="str">
        <f t="shared" si="24"/>
        <v>1Q42</v>
      </c>
      <c r="AV813" t="str">
        <f t="shared" si="25"/>
        <v>1Q42</v>
      </c>
      <c r="BA813">
        <f ca="1">IF(COUNTBLANK(C813)=0,COUNTA(INDIRECT(CONCATENATE("Area!",LEFT(ADDRESS(1,MATCH(C813,Area!$1:$1,0),4),1),"2:",LEFT(ADDRESS(1,MATCH(C813,Area!$1:$1,0),4),1),"99"))),0)</f>
        <v>0</v>
      </c>
      <c r="BB813">
        <f ca="1">IF(COUNTBLANK(D813)=0,COUNTA(INDIRECT(CONCATENATE("Setup!",LEFT(ADDRESS(1,MATCH(CONCATENATE(C813,":",D813),Setup!$1:$1,0),4),1),"2:",LEFT(ADDRESS(1,MATCH(CONCATENATE(C813,":",D813),Setup!$1:$1,0),4),1),"99"))),0)</f>
        <v>0</v>
      </c>
      <c r="BC813">
        <f ca="1">IF(COUNTBLANK(E813)=0,COUNTA(INDIRECT(CONCATENATE("Comp!",SUBSTITUTE(ADDRESS(1,MATCH(CONCATENATE(C813,":",D813,":",E813),Comp!$1:$1,0),4),"1",""),"2:",SUBSTITUTE(ADDRESS(1,MATCH(CONCATENATE(C813,":",D813,":",E813),Comp!$1:$1,0),4),"1",""),"99"))),0)</f>
        <v>0</v>
      </c>
    </row>
    <row r="814" spans="1:55">
      <c r="A814" s="20" t="s">
        <v>73</v>
      </c>
      <c r="B814" s="21"/>
      <c r="C814" s="20"/>
      <c r="D814" s="22"/>
      <c r="E814" s="22"/>
      <c r="F814" s="21"/>
      <c r="G814" s="23"/>
      <c r="H814" s="24"/>
      <c r="I814" s="22"/>
      <c r="J814" s="22"/>
      <c r="K814" s="22"/>
      <c r="L814" s="21"/>
      <c r="M814" s="20"/>
      <c r="N814" s="20"/>
      <c r="O814" s="23"/>
      <c r="P814" s="21"/>
      <c r="Q814" s="20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1"/>
      <c r="AU814" s="25" t="str">
        <f t="shared" si="24"/>
        <v>1Q42</v>
      </c>
      <c r="AV814" t="str">
        <f t="shared" si="25"/>
        <v>1Q42</v>
      </c>
      <c r="BA814">
        <f ca="1">IF(COUNTBLANK(C814)=0,COUNTA(INDIRECT(CONCATENATE("Area!",LEFT(ADDRESS(1,MATCH(C814,Area!$1:$1,0),4),1),"2:",LEFT(ADDRESS(1,MATCH(C814,Area!$1:$1,0),4),1),"99"))),0)</f>
        <v>0</v>
      </c>
      <c r="BB814">
        <f ca="1">IF(COUNTBLANK(D814)=0,COUNTA(INDIRECT(CONCATENATE("Setup!",LEFT(ADDRESS(1,MATCH(CONCATENATE(C814,":",D814),Setup!$1:$1,0),4),1),"2:",LEFT(ADDRESS(1,MATCH(CONCATENATE(C814,":",D814),Setup!$1:$1,0),4),1),"99"))),0)</f>
        <v>0</v>
      </c>
      <c r="BC814">
        <f ca="1">IF(COUNTBLANK(E814)=0,COUNTA(INDIRECT(CONCATENATE("Comp!",SUBSTITUTE(ADDRESS(1,MATCH(CONCATENATE(C814,":",D814,":",E814),Comp!$1:$1,0),4),"1",""),"2:",SUBSTITUTE(ADDRESS(1,MATCH(CONCATENATE(C814,":",D814,":",E814),Comp!$1:$1,0),4),"1",""),"99"))),0)</f>
        <v>0</v>
      </c>
    </row>
    <row r="815" spans="1:55">
      <c r="A815" s="20" t="s">
        <v>73</v>
      </c>
      <c r="B815" s="21"/>
      <c r="C815" s="20"/>
      <c r="D815" s="22"/>
      <c r="E815" s="22"/>
      <c r="F815" s="21"/>
      <c r="G815" s="23"/>
      <c r="H815" s="24"/>
      <c r="I815" s="22"/>
      <c r="J815" s="22"/>
      <c r="K815" s="22"/>
      <c r="L815" s="21"/>
      <c r="M815" s="20"/>
      <c r="N815" s="20"/>
      <c r="O815" s="23"/>
      <c r="P815" s="21"/>
      <c r="Q815" s="20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1"/>
      <c r="AU815" s="25" t="str">
        <f t="shared" si="24"/>
        <v>1Q42</v>
      </c>
      <c r="AV815" t="str">
        <f t="shared" si="25"/>
        <v>1Q42</v>
      </c>
      <c r="BA815">
        <f ca="1">IF(COUNTBLANK(C815)=0,COUNTA(INDIRECT(CONCATENATE("Area!",LEFT(ADDRESS(1,MATCH(C815,Area!$1:$1,0),4),1),"2:",LEFT(ADDRESS(1,MATCH(C815,Area!$1:$1,0),4),1),"99"))),0)</f>
        <v>0</v>
      </c>
      <c r="BB815">
        <f ca="1">IF(COUNTBLANK(D815)=0,COUNTA(INDIRECT(CONCATENATE("Setup!",LEFT(ADDRESS(1,MATCH(CONCATENATE(C815,":",D815),Setup!$1:$1,0),4),1),"2:",LEFT(ADDRESS(1,MATCH(CONCATENATE(C815,":",D815),Setup!$1:$1,0),4),1),"99"))),0)</f>
        <v>0</v>
      </c>
      <c r="BC815">
        <f ca="1">IF(COUNTBLANK(E815)=0,COUNTA(INDIRECT(CONCATENATE("Comp!",SUBSTITUTE(ADDRESS(1,MATCH(CONCATENATE(C815,":",D815,":",E815),Comp!$1:$1,0),4),"1",""),"2:",SUBSTITUTE(ADDRESS(1,MATCH(CONCATENATE(C815,":",D815,":",E815),Comp!$1:$1,0),4),"1",""),"99"))),0)</f>
        <v>0</v>
      </c>
    </row>
    <row r="816" spans="1:55">
      <c r="A816" s="20" t="s">
        <v>73</v>
      </c>
      <c r="B816" s="21"/>
      <c r="C816" s="20"/>
      <c r="D816" s="22"/>
      <c r="E816" s="22"/>
      <c r="F816" s="21"/>
      <c r="G816" s="23"/>
      <c r="H816" s="24"/>
      <c r="I816" s="22"/>
      <c r="J816" s="22"/>
      <c r="K816" s="22"/>
      <c r="L816" s="21"/>
      <c r="M816" s="20"/>
      <c r="N816" s="20"/>
      <c r="O816" s="23"/>
      <c r="P816" s="21"/>
      <c r="Q816" s="20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1"/>
      <c r="AU816" s="25" t="str">
        <f t="shared" si="24"/>
        <v>1Q42</v>
      </c>
      <c r="AV816" t="str">
        <f t="shared" si="25"/>
        <v>1Q42</v>
      </c>
      <c r="BA816">
        <f ca="1">IF(COUNTBLANK(C816)=0,COUNTA(INDIRECT(CONCATENATE("Area!",LEFT(ADDRESS(1,MATCH(C816,Area!$1:$1,0),4),1),"2:",LEFT(ADDRESS(1,MATCH(C816,Area!$1:$1,0),4),1),"99"))),0)</f>
        <v>0</v>
      </c>
      <c r="BB816">
        <f ca="1">IF(COUNTBLANK(D816)=0,COUNTA(INDIRECT(CONCATENATE("Setup!",LEFT(ADDRESS(1,MATCH(CONCATENATE(C816,":",D816),Setup!$1:$1,0),4),1),"2:",LEFT(ADDRESS(1,MATCH(CONCATENATE(C816,":",D816),Setup!$1:$1,0),4),1),"99"))),0)</f>
        <v>0</v>
      </c>
      <c r="BC816">
        <f ca="1">IF(COUNTBLANK(E816)=0,COUNTA(INDIRECT(CONCATENATE("Comp!",SUBSTITUTE(ADDRESS(1,MATCH(CONCATENATE(C816,":",D816,":",E816),Comp!$1:$1,0),4),"1",""),"2:",SUBSTITUTE(ADDRESS(1,MATCH(CONCATENATE(C816,":",D816,":",E816),Comp!$1:$1,0),4),"1",""),"99"))),0)</f>
        <v>0</v>
      </c>
    </row>
    <row r="817" spans="1:55">
      <c r="A817" s="20" t="s">
        <v>73</v>
      </c>
      <c r="B817" s="21"/>
      <c r="C817" s="20"/>
      <c r="D817" s="22"/>
      <c r="E817" s="22"/>
      <c r="F817" s="21"/>
      <c r="G817" s="23"/>
      <c r="H817" s="24"/>
      <c r="I817" s="22"/>
      <c r="J817" s="22"/>
      <c r="K817" s="22"/>
      <c r="L817" s="21"/>
      <c r="M817" s="20"/>
      <c r="N817" s="20"/>
      <c r="O817" s="23"/>
      <c r="P817" s="21"/>
      <c r="Q817" s="20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1"/>
      <c r="AU817" s="25" t="str">
        <f t="shared" si="24"/>
        <v>1Q42</v>
      </c>
      <c r="AV817" t="str">
        <f t="shared" si="25"/>
        <v>1Q42</v>
      </c>
      <c r="BA817">
        <f ca="1">IF(COUNTBLANK(C817)=0,COUNTA(INDIRECT(CONCATENATE("Area!",LEFT(ADDRESS(1,MATCH(C817,Area!$1:$1,0),4),1),"2:",LEFT(ADDRESS(1,MATCH(C817,Area!$1:$1,0),4),1),"99"))),0)</f>
        <v>0</v>
      </c>
      <c r="BB817">
        <f ca="1">IF(COUNTBLANK(D817)=0,COUNTA(INDIRECT(CONCATENATE("Setup!",LEFT(ADDRESS(1,MATCH(CONCATENATE(C817,":",D817),Setup!$1:$1,0),4),1),"2:",LEFT(ADDRESS(1,MATCH(CONCATENATE(C817,":",D817),Setup!$1:$1,0),4),1),"99"))),0)</f>
        <v>0</v>
      </c>
      <c r="BC817">
        <f ca="1">IF(COUNTBLANK(E817)=0,COUNTA(INDIRECT(CONCATENATE("Comp!",SUBSTITUTE(ADDRESS(1,MATCH(CONCATENATE(C817,":",D817,":",E817),Comp!$1:$1,0),4),"1",""),"2:",SUBSTITUTE(ADDRESS(1,MATCH(CONCATENATE(C817,":",D817,":",E817),Comp!$1:$1,0),4),"1",""),"99"))),0)</f>
        <v>0</v>
      </c>
    </row>
    <row r="818" spans="1:55">
      <c r="A818" s="20" t="s">
        <v>73</v>
      </c>
      <c r="B818" s="21"/>
      <c r="C818" s="20"/>
      <c r="D818" s="22"/>
      <c r="E818" s="22"/>
      <c r="F818" s="21"/>
      <c r="G818" s="23"/>
      <c r="H818" s="24"/>
      <c r="I818" s="22"/>
      <c r="J818" s="22"/>
      <c r="K818" s="22"/>
      <c r="L818" s="21"/>
      <c r="M818" s="20"/>
      <c r="N818" s="20"/>
      <c r="O818" s="23"/>
      <c r="P818" s="21"/>
      <c r="Q818" s="20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1"/>
      <c r="AU818" s="25" t="str">
        <f t="shared" si="24"/>
        <v>1Q42</v>
      </c>
      <c r="AV818" t="str">
        <f t="shared" si="25"/>
        <v>1Q42</v>
      </c>
      <c r="BA818">
        <f ca="1">IF(COUNTBLANK(C818)=0,COUNTA(INDIRECT(CONCATENATE("Area!",LEFT(ADDRESS(1,MATCH(C818,Area!$1:$1,0),4),1),"2:",LEFT(ADDRESS(1,MATCH(C818,Area!$1:$1,0),4),1),"99"))),0)</f>
        <v>0</v>
      </c>
      <c r="BB818">
        <f ca="1">IF(COUNTBLANK(D818)=0,COUNTA(INDIRECT(CONCATENATE("Setup!",LEFT(ADDRESS(1,MATCH(CONCATENATE(C818,":",D818),Setup!$1:$1,0),4),1),"2:",LEFT(ADDRESS(1,MATCH(CONCATENATE(C818,":",D818),Setup!$1:$1,0),4),1),"99"))),0)</f>
        <v>0</v>
      </c>
      <c r="BC818">
        <f ca="1">IF(COUNTBLANK(E818)=0,COUNTA(INDIRECT(CONCATENATE("Comp!",SUBSTITUTE(ADDRESS(1,MATCH(CONCATENATE(C818,":",D818,":",E818),Comp!$1:$1,0),4),"1",""),"2:",SUBSTITUTE(ADDRESS(1,MATCH(CONCATENATE(C818,":",D818,":",E818),Comp!$1:$1,0),4),"1",""),"99"))),0)</f>
        <v>0</v>
      </c>
    </row>
    <row r="819" spans="1:55">
      <c r="A819" s="20" t="s">
        <v>73</v>
      </c>
      <c r="B819" s="21"/>
      <c r="C819" s="20"/>
      <c r="D819" s="22"/>
      <c r="E819" s="22"/>
      <c r="F819" s="21"/>
      <c r="G819" s="23"/>
      <c r="H819" s="24"/>
      <c r="I819" s="22"/>
      <c r="J819" s="22"/>
      <c r="K819" s="22"/>
      <c r="L819" s="21"/>
      <c r="M819" s="20"/>
      <c r="N819" s="20"/>
      <c r="O819" s="23"/>
      <c r="P819" s="21"/>
      <c r="Q819" s="20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1"/>
      <c r="AU819" s="25" t="str">
        <f t="shared" si="24"/>
        <v>1Q42</v>
      </c>
      <c r="AV819" t="str">
        <f t="shared" si="25"/>
        <v>1Q42</v>
      </c>
      <c r="BA819">
        <f ca="1">IF(COUNTBLANK(C819)=0,COUNTA(INDIRECT(CONCATENATE("Area!",LEFT(ADDRESS(1,MATCH(C819,Area!$1:$1,0),4),1),"2:",LEFT(ADDRESS(1,MATCH(C819,Area!$1:$1,0),4),1),"99"))),0)</f>
        <v>0</v>
      </c>
      <c r="BB819">
        <f ca="1">IF(COUNTBLANK(D819)=0,COUNTA(INDIRECT(CONCATENATE("Setup!",LEFT(ADDRESS(1,MATCH(CONCATENATE(C819,":",D819),Setup!$1:$1,0),4),1),"2:",LEFT(ADDRESS(1,MATCH(CONCATENATE(C819,":",D819),Setup!$1:$1,0),4),1),"99"))),0)</f>
        <v>0</v>
      </c>
      <c r="BC819">
        <f ca="1">IF(COUNTBLANK(E819)=0,COUNTA(INDIRECT(CONCATENATE("Comp!",SUBSTITUTE(ADDRESS(1,MATCH(CONCATENATE(C819,":",D819,":",E819),Comp!$1:$1,0),4),"1",""),"2:",SUBSTITUTE(ADDRESS(1,MATCH(CONCATENATE(C819,":",D819,":",E819),Comp!$1:$1,0),4),"1",""),"99"))),0)</f>
        <v>0</v>
      </c>
    </row>
    <row r="820" spans="1:55">
      <c r="A820" s="20" t="s">
        <v>73</v>
      </c>
      <c r="B820" s="21"/>
      <c r="C820" s="20"/>
      <c r="D820" s="22"/>
      <c r="E820" s="22"/>
      <c r="F820" s="21"/>
      <c r="G820" s="23"/>
      <c r="H820" s="24"/>
      <c r="I820" s="22"/>
      <c r="J820" s="22"/>
      <c r="K820" s="22"/>
      <c r="L820" s="21"/>
      <c r="M820" s="20"/>
      <c r="N820" s="20"/>
      <c r="O820" s="23"/>
      <c r="P820" s="21"/>
      <c r="Q820" s="20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1"/>
      <c r="AU820" s="25" t="str">
        <f t="shared" si="24"/>
        <v>1Q42</v>
      </c>
      <c r="AV820" t="str">
        <f t="shared" si="25"/>
        <v>1Q42</v>
      </c>
      <c r="BA820">
        <f ca="1">IF(COUNTBLANK(C820)=0,COUNTA(INDIRECT(CONCATENATE("Area!",LEFT(ADDRESS(1,MATCH(C820,Area!$1:$1,0),4),1),"2:",LEFT(ADDRESS(1,MATCH(C820,Area!$1:$1,0),4),1),"99"))),0)</f>
        <v>0</v>
      </c>
      <c r="BB820">
        <f ca="1">IF(COUNTBLANK(D820)=0,COUNTA(INDIRECT(CONCATENATE("Setup!",LEFT(ADDRESS(1,MATCH(CONCATENATE(C820,":",D820),Setup!$1:$1,0),4),1),"2:",LEFT(ADDRESS(1,MATCH(CONCATENATE(C820,":",D820),Setup!$1:$1,0),4),1),"99"))),0)</f>
        <v>0</v>
      </c>
      <c r="BC820">
        <f ca="1">IF(COUNTBLANK(E820)=0,COUNTA(INDIRECT(CONCATENATE("Comp!",SUBSTITUTE(ADDRESS(1,MATCH(CONCATENATE(C820,":",D820,":",E820),Comp!$1:$1,0),4),"1",""),"2:",SUBSTITUTE(ADDRESS(1,MATCH(CONCATENATE(C820,":",D820,":",E820),Comp!$1:$1,0),4),"1",""),"99"))),0)</f>
        <v>0</v>
      </c>
    </row>
    <row r="821" spans="1:55">
      <c r="A821" s="20" t="s">
        <v>73</v>
      </c>
      <c r="B821" s="21"/>
      <c r="C821" s="20"/>
      <c r="D821" s="22"/>
      <c r="E821" s="22"/>
      <c r="F821" s="21"/>
      <c r="G821" s="23"/>
      <c r="H821" s="24"/>
      <c r="I821" s="22"/>
      <c r="J821" s="22"/>
      <c r="K821" s="22"/>
      <c r="L821" s="21"/>
      <c r="M821" s="20"/>
      <c r="N821" s="20"/>
      <c r="O821" s="23"/>
      <c r="P821" s="21"/>
      <c r="Q821" s="20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1"/>
      <c r="AU821" s="25" t="str">
        <f t="shared" si="24"/>
        <v>1Q42</v>
      </c>
      <c r="AV821" t="str">
        <f t="shared" si="25"/>
        <v>1Q42</v>
      </c>
      <c r="BA821">
        <f ca="1">IF(COUNTBLANK(C821)=0,COUNTA(INDIRECT(CONCATENATE("Area!",LEFT(ADDRESS(1,MATCH(C821,Area!$1:$1,0),4),1),"2:",LEFT(ADDRESS(1,MATCH(C821,Area!$1:$1,0),4),1),"99"))),0)</f>
        <v>0</v>
      </c>
      <c r="BB821">
        <f ca="1">IF(COUNTBLANK(D821)=0,COUNTA(INDIRECT(CONCATENATE("Setup!",LEFT(ADDRESS(1,MATCH(CONCATENATE(C821,":",D821),Setup!$1:$1,0),4),1),"2:",LEFT(ADDRESS(1,MATCH(CONCATENATE(C821,":",D821),Setup!$1:$1,0),4),1),"99"))),0)</f>
        <v>0</v>
      </c>
      <c r="BC821">
        <f ca="1">IF(COUNTBLANK(E821)=0,COUNTA(INDIRECT(CONCATENATE("Comp!",SUBSTITUTE(ADDRESS(1,MATCH(CONCATENATE(C821,":",D821,":",E821),Comp!$1:$1,0),4),"1",""),"2:",SUBSTITUTE(ADDRESS(1,MATCH(CONCATENATE(C821,":",D821,":",E821),Comp!$1:$1,0),4),"1",""),"99"))),0)</f>
        <v>0</v>
      </c>
    </row>
    <row r="822" spans="1:55">
      <c r="A822" s="20" t="s">
        <v>73</v>
      </c>
      <c r="B822" s="21"/>
      <c r="C822" s="20"/>
      <c r="D822" s="22"/>
      <c r="E822" s="22"/>
      <c r="F822" s="21"/>
      <c r="G822" s="23"/>
      <c r="H822" s="24"/>
      <c r="I822" s="22"/>
      <c r="J822" s="22"/>
      <c r="K822" s="22"/>
      <c r="L822" s="21"/>
      <c r="M822" s="20"/>
      <c r="N822" s="20"/>
      <c r="O822" s="23"/>
      <c r="P822" s="21"/>
      <c r="Q822" s="20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1"/>
      <c r="AU822" s="25" t="str">
        <f t="shared" si="24"/>
        <v>1Q42</v>
      </c>
      <c r="AV822" t="str">
        <f t="shared" si="25"/>
        <v>1Q42</v>
      </c>
      <c r="BA822">
        <f ca="1">IF(COUNTBLANK(C822)=0,COUNTA(INDIRECT(CONCATENATE("Area!",LEFT(ADDRESS(1,MATCH(C822,Area!$1:$1,0),4),1),"2:",LEFT(ADDRESS(1,MATCH(C822,Area!$1:$1,0),4),1),"99"))),0)</f>
        <v>0</v>
      </c>
      <c r="BB822">
        <f ca="1">IF(COUNTBLANK(D822)=0,COUNTA(INDIRECT(CONCATENATE("Setup!",LEFT(ADDRESS(1,MATCH(CONCATENATE(C822,":",D822),Setup!$1:$1,0),4),1),"2:",LEFT(ADDRESS(1,MATCH(CONCATENATE(C822,":",D822),Setup!$1:$1,0),4),1),"99"))),0)</f>
        <v>0</v>
      </c>
      <c r="BC822">
        <f ca="1">IF(COUNTBLANK(E822)=0,COUNTA(INDIRECT(CONCATENATE("Comp!",SUBSTITUTE(ADDRESS(1,MATCH(CONCATENATE(C822,":",D822,":",E822),Comp!$1:$1,0),4),"1",""),"2:",SUBSTITUTE(ADDRESS(1,MATCH(CONCATENATE(C822,":",D822,":",E822),Comp!$1:$1,0),4),"1",""),"99"))),0)</f>
        <v>0</v>
      </c>
    </row>
    <row r="823" spans="1:55">
      <c r="A823" s="20" t="s">
        <v>73</v>
      </c>
      <c r="B823" s="21"/>
      <c r="C823" s="20"/>
      <c r="D823" s="22"/>
      <c r="E823" s="22"/>
      <c r="F823" s="21"/>
      <c r="G823" s="23"/>
      <c r="H823" s="24"/>
      <c r="I823" s="22"/>
      <c r="J823" s="22"/>
      <c r="K823" s="22"/>
      <c r="L823" s="21"/>
      <c r="M823" s="20"/>
      <c r="N823" s="20"/>
      <c r="O823" s="23"/>
      <c r="P823" s="21"/>
      <c r="Q823" s="20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1"/>
      <c r="AU823" s="25" t="str">
        <f t="shared" si="24"/>
        <v>1Q42</v>
      </c>
      <c r="AV823" t="str">
        <f t="shared" si="25"/>
        <v>1Q42</v>
      </c>
      <c r="BA823">
        <f ca="1">IF(COUNTBLANK(C823)=0,COUNTA(INDIRECT(CONCATENATE("Area!",LEFT(ADDRESS(1,MATCH(C823,Area!$1:$1,0),4),1),"2:",LEFT(ADDRESS(1,MATCH(C823,Area!$1:$1,0),4),1),"99"))),0)</f>
        <v>0</v>
      </c>
      <c r="BB823">
        <f ca="1">IF(COUNTBLANK(D823)=0,COUNTA(INDIRECT(CONCATENATE("Setup!",LEFT(ADDRESS(1,MATCH(CONCATENATE(C823,":",D823),Setup!$1:$1,0),4),1),"2:",LEFT(ADDRESS(1,MATCH(CONCATENATE(C823,":",D823),Setup!$1:$1,0),4),1),"99"))),0)</f>
        <v>0</v>
      </c>
      <c r="BC823">
        <f ca="1">IF(COUNTBLANK(E823)=0,COUNTA(INDIRECT(CONCATENATE("Comp!",SUBSTITUTE(ADDRESS(1,MATCH(CONCATENATE(C823,":",D823,":",E823),Comp!$1:$1,0),4),"1",""),"2:",SUBSTITUTE(ADDRESS(1,MATCH(CONCATENATE(C823,":",D823,":",E823),Comp!$1:$1,0),4),"1",""),"99"))),0)</f>
        <v>0</v>
      </c>
    </row>
    <row r="824" spans="1:55">
      <c r="A824" s="20" t="s">
        <v>73</v>
      </c>
      <c r="B824" s="21"/>
      <c r="C824" s="20"/>
      <c r="D824" s="22"/>
      <c r="E824" s="22"/>
      <c r="F824" s="21"/>
      <c r="G824" s="23"/>
      <c r="H824" s="24"/>
      <c r="I824" s="22"/>
      <c r="J824" s="22"/>
      <c r="K824" s="22"/>
      <c r="L824" s="21"/>
      <c r="M824" s="20"/>
      <c r="N824" s="20"/>
      <c r="O824" s="23"/>
      <c r="P824" s="21"/>
      <c r="Q824" s="20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1"/>
      <c r="AU824" s="25" t="str">
        <f t="shared" si="24"/>
        <v>1Q42</v>
      </c>
      <c r="AV824" t="str">
        <f t="shared" si="25"/>
        <v>1Q42</v>
      </c>
      <c r="BA824">
        <f ca="1">IF(COUNTBLANK(C824)=0,COUNTA(INDIRECT(CONCATENATE("Area!",LEFT(ADDRESS(1,MATCH(C824,Area!$1:$1,0),4),1),"2:",LEFT(ADDRESS(1,MATCH(C824,Area!$1:$1,0),4),1),"99"))),0)</f>
        <v>0</v>
      </c>
      <c r="BB824">
        <f ca="1">IF(COUNTBLANK(D824)=0,COUNTA(INDIRECT(CONCATENATE("Setup!",LEFT(ADDRESS(1,MATCH(CONCATENATE(C824,":",D824),Setup!$1:$1,0),4),1),"2:",LEFT(ADDRESS(1,MATCH(CONCATENATE(C824,":",D824),Setup!$1:$1,0),4),1),"99"))),0)</f>
        <v>0</v>
      </c>
      <c r="BC824">
        <f ca="1">IF(COUNTBLANK(E824)=0,COUNTA(INDIRECT(CONCATENATE("Comp!",SUBSTITUTE(ADDRESS(1,MATCH(CONCATENATE(C824,":",D824,":",E824),Comp!$1:$1,0),4),"1",""),"2:",SUBSTITUTE(ADDRESS(1,MATCH(CONCATENATE(C824,":",D824,":",E824),Comp!$1:$1,0),4),"1",""),"99"))),0)</f>
        <v>0</v>
      </c>
    </row>
    <row r="825" spans="1:55">
      <c r="A825" s="20" t="s">
        <v>73</v>
      </c>
      <c r="B825" s="21"/>
      <c r="C825" s="20"/>
      <c r="D825" s="22"/>
      <c r="E825" s="22"/>
      <c r="F825" s="21"/>
      <c r="G825" s="23"/>
      <c r="H825" s="24"/>
      <c r="I825" s="22"/>
      <c r="J825" s="22"/>
      <c r="K825" s="22"/>
      <c r="L825" s="21"/>
      <c r="M825" s="20"/>
      <c r="N825" s="20"/>
      <c r="O825" s="23"/>
      <c r="P825" s="21"/>
      <c r="Q825" s="20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1"/>
      <c r="AU825" s="25" t="str">
        <f t="shared" si="24"/>
        <v>1Q42</v>
      </c>
      <c r="AV825" t="str">
        <f t="shared" si="25"/>
        <v>1Q42</v>
      </c>
      <c r="BA825">
        <f ca="1">IF(COUNTBLANK(C825)=0,COUNTA(INDIRECT(CONCATENATE("Area!",LEFT(ADDRESS(1,MATCH(C825,Area!$1:$1,0),4),1),"2:",LEFT(ADDRESS(1,MATCH(C825,Area!$1:$1,0),4),1),"99"))),0)</f>
        <v>0</v>
      </c>
      <c r="BB825">
        <f ca="1">IF(COUNTBLANK(D825)=0,COUNTA(INDIRECT(CONCATENATE("Setup!",LEFT(ADDRESS(1,MATCH(CONCATENATE(C825,":",D825),Setup!$1:$1,0),4),1),"2:",LEFT(ADDRESS(1,MATCH(CONCATENATE(C825,":",D825),Setup!$1:$1,0),4),1),"99"))),0)</f>
        <v>0</v>
      </c>
      <c r="BC825">
        <f ca="1">IF(COUNTBLANK(E825)=0,COUNTA(INDIRECT(CONCATENATE("Comp!",SUBSTITUTE(ADDRESS(1,MATCH(CONCATENATE(C825,":",D825,":",E825),Comp!$1:$1,0),4),"1",""),"2:",SUBSTITUTE(ADDRESS(1,MATCH(CONCATENATE(C825,":",D825,":",E825),Comp!$1:$1,0),4),"1",""),"99"))),0)</f>
        <v>0</v>
      </c>
    </row>
    <row r="826" spans="1:55">
      <c r="A826" s="20" t="s">
        <v>73</v>
      </c>
      <c r="B826" s="21"/>
      <c r="C826" s="20"/>
      <c r="D826" s="22"/>
      <c r="E826" s="22"/>
      <c r="F826" s="21"/>
      <c r="G826" s="23"/>
      <c r="H826" s="24"/>
      <c r="I826" s="22"/>
      <c r="J826" s="22"/>
      <c r="K826" s="22"/>
      <c r="L826" s="21"/>
      <c r="M826" s="20"/>
      <c r="N826" s="20"/>
      <c r="O826" s="23"/>
      <c r="P826" s="21"/>
      <c r="Q826" s="20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1"/>
      <c r="AU826" s="25" t="str">
        <f t="shared" si="24"/>
        <v>1Q42</v>
      </c>
      <c r="AV826" t="str">
        <f t="shared" si="25"/>
        <v>1Q42</v>
      </c>
      <c r="BA826">
        <f ca="1">IF(COUNTBLANK(C826)=0,COUNTA(INDIRECT(CONCATENATE("Area!",LEFT(ADDRESS(1,MATCH(C826,Area!$1:$1,0),4),1),"2:",LEFT(ADDRESS(1,MATCH(C826,Area!$1:$1,0),4),1),"99"))),0)</f>
        <v>0</v>
      </c>
      <c r="BB826">
        <f ca="1">IF(COUNTBLANK(D826)=0,COUNTA(INDIRECT(CONCATENATE("Setup!",LEFT(ADDRESS(1,MATCH(CONCATENATE(C826,":",D826),Setup!$1:$1,0),4),1),"2:",LEFT(ADDRESS(1,MATCH(CONCATENATE(C826,":",D826),Setup!$1:$1,0),4),1),"99"))),0)</f>
        <v>0</v>
      </c>
      <c r="BC826">
        <f ca="1">IF(COUNTBLANK(E826)=0,COUNTA(INDIRECT(CONCATENATE("Comp!",SUBSTITUTE(ADDRESS(1,MATCH(CONCATENATE(C826,":",D826,":",E826),Comp!$1:$1,0),4),"1",""),"2:",SUBSTITUTE(ADDRESS(1,MATCH(CONCATENATE(C826,":",D826,":",E826),Comp!$1:$1,0),4),"1",""),"99"))),0)</f>
        <v>0</v>
      </c>
    </row>
    <row r="827" spans="1:55">
      <c r="A827" s="20" t="s">
        <v>73</v>
      </c>
      <c r="B827" s="21"/>
      <c r="C827" s="20"/>
      <c r="D827" s="22"/>
      <c r="E827" s="22"/>
      <c r="F827" s="21"/>
      <c r="G827" s="23"/>
      <c r="H827" s="24"/>
      <c r="I827" s="22"/>
      <c r="J827" s="22"/>
      <c r="K827" s="22"/>
      <c r="L827" s="21"/>
      <c r="M827" s="20"/>
      <c r="N827" s="20"/>
      <c r="O827" s="23"/>
      <c r="P827" s="21"/>
      <c r="Q827" s="20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1"/>
      <c r="AU827" s="25" t="str">
        <f t="shared" si="24"/>
        <v>1Q42</v>
      </c>
      <c r="AV827" t="str">
        <f t="shared" si="25"/>
        <v>1Q42</v>
      </c>
      <c r="BA827">
        <f ca="1">IF(COUNTBLANK(C827)=0,COUNTA(INDIRECT(CONCATENATE("Area!",LEFT(ADDRESS(1,MATCH(C827,Area!$1:$1,0),4),1),"2:",LEFT(ADDRESS(1,MATCH(C827,Area!$1:$1,0),4),1),"99"))),0)</f>
        <v>0</v>
      </c>
      <c r="BB827">
        <f ca="1">IF(COUNTBLANK(D827)=0,COUNTA(INDIRECT(CONCATENATE("Setup!",LEFT(ADDRESS(1,MATCH(CONCATENATE(C827,":",D827),Setup!$1:$1,0),4),1),"2:",LEFT(ADDRESS(1,MATCH(CONCATENATE(C827,":",D827),Setup!$1:$1,0),4),1),"99"))),0)</f>
        <v>0</v>
      </c>
      <c r="BC827">
        <f ca="1">IF(COUNTBLANK(E827)=0,COUNTA(INDIRECT(CONCATENATE("Comp!",SUBSTITUTE(ADDRESS(1,MATCH(CONCATENATE(C827,":",D827,":",E827),Comp!$1:$1,0),4),"1",""),"2:",SUBSTITUTE(ADDRESS(1,MATCH(CONCATENATE(C827,":",D827,":",E827),Comp!$1:$1,0),4),"1",""),"99"))),0)</f>
        <v>0</v>
      </c>
    </row>
    <row r="828" spans="1:55">
      <c r="A828" s="20" t="s">
        <v>73</v>
      </c>
      <c r="B828" s="21"/>
      <c r="C828" s="20"/>
      <c r="D828" s="22"/>
      <c r="E828" s="22"/>
      <c r="F828" s="21"/>
      <c r="G828" s="23"/>
      <c r="H828" s="24"/>
      <c r="I828" s="22"/>
      <c r="J828" s="22"/>
      <c r="K828" s="22"/>
      <c r="L828" s="21"/>
      <c r="M828" s="20"/>
      <c r="N828" s="20"/>
      <c r="O828" s="23"/>
      <c r="P828" s="21"/>
      <c r="Q828" s="20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1"/>
      <c r="AU828" s="25" t="str">
        <f t="shared" si="24"/>
        <v>1Q42</v>
      </c>
      <c r="AV828" t="str">
        <f t="shared" si="25"/>
        <v>1Q42</v>
      </c>
      <c r="BA828">
        <f ca="1">IF(COUNTBLANK(C828)=0,COUNTA(INDIRECT(CONCATENATE("Area!",LEFT(ADDRESS(1,MATCH(C828,Area!$1:$1,0),4),1),"2:",LEFT(ADDRESS(1,MATCH(C828,Area!$1:$1,0),4),1),"99"))),0)</f>
        <v>0</v>
      </c>
      <c r="BB828">
        <f ca="1">IF(COUNTBLANK(D828)=0,COUNTA(INDIRECT(CONCATENATE("Setup!",LEFT(ADDRESS(1,MATCH(CONCATENATE(C828,":",D828),Setup!$1:$1,0),4),1),"2:",LEFT(ADDRESS(1,MATCH(CONCATENATE(C828,":",D828),Setup!$1:$1,0),4),1),"99"))),0)</f>
        <v>0</v>
      </c>
      <c r="BC828">
        <f ca="1">IF(COUNTBLANK(E828)=0,COUNTA(INDIRECT(CONCATENATE("Comp!",SUBSTITUTE(ADDRESS(1,MATCH(CONCATENATE(C828,":",D828,":",E828),Comp!$1:$1,0),4),"1",""),"2:",SUBSTITUTE(ADDRESS(1,MATCH(CONCATENATE(C828,":",D828,":",E828),Comp!$1:$1,0),4),"1",""),"99"))),0)</f>
        <v>0</v>
      </c>
    </row>
    <row r="829" spans="1:55">
      <c r="A829" s="20" t="s">
        <v>73</v>
      </c>
      <c r="B829" s="21"/>
      <c r="C829" s="20"/>
      <c r="D829" s="22"/>
      <c r="E829" s="22"/>
      <c r="F829" s="21"/>
      <c r="G829" s="23"/>
      <c r="H829" s="24"/>
      <c r="I829" s="22"/>
      <c r="J829" s="22"/>
      <c r="K829" s="22"/>
      <c r="L829" s="21"/>
      <c r="M829" s="20"/>
      <c r="N829" s="20"/>
      <c r="O829" s="23"/>
      <c r="P829" s="21"/>
      <c r="Q829" s="20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1"/>
      <c r="AU829" s="25" t="str">
        <f t="shared" si="24"/>
        <v>1Q42</v>
      </c>
      <c r="AV829" t="str">
        <f t="shared" si="25"/>
        <v>1Q42</v>
      </c>
      <c r="BA829">
        <f ca="1">IF(COUNTBLANK(C829)=0,COUNTA(INDIRECT(CONCATENATE("Area!",LEFT(ADDRESS(1,MATCH(C829,Area!$1:$1,0),4),1),"2:",LEFT(ADDRESS(1,MATCH(C829,Area!$1:$1,0),4),1),"99"))),0)</f>
        <v>0</v>
      </c>
      <c r="BB829">
        <f ca="1">IF(COUNTBLANK(D829)=0,COUNTA(INDIRECT(CONCATENATE("Setup!",LEFT(ADDRESS(1,MATCH(CONCATENATE(C829,":",D829),Setup!$1:$1,0),4),1),"2:",LEFT(ADDRESS(1,MATCH(CONCATENATE(C829,":",D829),Setup!$1:$1,0),4),1),"99"))),0)</f>
        <v>0</v>
      </c>
      <c r="BC829">
        <f ca="1">IF(COUNTBLANK(E829)=0,COUNTA(INDIRECT(CONCATENATE("Comp!",SUBSTITUTE(ADDRESS(1,MATCH(CONCATENATE(C829,":",D829,":",E829),Comp!$1:$1,0),4),"1",""),"2:",SUBSTITUTE(ADDRESS(1,MATCH(CONCATENATE(C829,":",D829,":",E829),Comp!$1:$1,0),4),"1",""),"99"))),0)</f>
        <v>0</v>
      </c>
    </row>
    <row r="830" spans="1:55">
      <c r="A830" s="20" t="s">
        <v>73</v>
      </c>
      <c r="B830" s="21"/>
      <c r="C830" s="20"/>
      <c r="D830" s="22"/>
      <c r="E830" s="22"/>
      <c r="F830" s="21"/>
      <c r="G830" s="23"/>
      <c r="H830" s="24"/>
      <c r="I830" s="22"/>
      <c r="J830" s="22"/>
      <c r="K830" s="22"/>
      <c r="L830" s="21"/>
      <c r="M830" s="20"/>
      <c r="N830" s="20"/>
      <c r="O830" s="23"/>
      <c r="P830" s="21"/>
      <c r="Q830" s="20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1"/>
      <c r="AU830" s="25" t="str">
        <f t="shared" si="24"/>
        <v>1Q42</v>
      </c>
      <c r="AV830" t="str">
        <f t="shared" si="25"/>
        <v>1Q42</v>
      </c>
      <c r="BA830">
        <f ca="1">IF(COUNTBLANK(C830)=0,COUNTA(INDIRECT(CONCATENATE("Area!",LEFT(ADDRESS(1,MATCH(C830,Area!$1:$1,0),4),1),"2:",LEFT(ADDRESS(1,MATCH(C830,Area!$1:$1,0),4),1),"99"))),0)</f>
        <v>0</v>
      </c>
      <c r="BB830">
        <f ca="1">IF(COUNTBLANK(D830)=0,COUNTA(INDIRECT(CONCATENATE("Setup!",LEFT(ADDRESS(1,MATCH(CONCATENATE(C830,":",D830),Setup!$1:$1,0),4),1),"2:",LEFT(ADDRESS(1,MATCH(CONCATENATE(C830,":",D830),Setup!$1:$1,0),4),1),"99"))),0)</f>
        <v>0</v>
      </c>
      <c r="BC830">
        <f ca="1">IF(COUNTBLANK(E830)=0,COUNTA(INDIRECT(CONCATENATE("Comp!",SUBSTITUTE(ADDRESS(1,MATCH(CONCATENATE(C830,":",D830,":",E830),Comp!$1:$1,0),4),"1",""),"2:",SUBSTITUTE(ADDRESS(1,MATCH(CONCATENATE(C830,":",D830,":",E830),Comp!$1:$1,0),4),"1",""),"99"))),0)</f>
        <v>0</v>
      </c>
    </row>
    <row r="831" spans="1:55">
      <c r="A831" s="20" t="s">
        <v>73</v>
      </c>
      <c r="B831" s="21"/>
      <c r="C831" s="20"/>
      <c r="D831" s="22"/>
      <c r="E831" s="22"/>
      <c r="F831" s="21"/>
      <c r="G831" s="23"/>
      <c r="H831" s="24"/>
      <c r="I831" s="22"/>
      <c r="J831" s="22"/>
      <c r="K831" s="22"/>
      <c r="L831" s="21"/>
      <c r="M831" s="20"/>
      <c r="N831" s="20"/>
      <c r="O831" s="23"/>
      <c r="P831" s="21"/>
      <c r="Q831" s="20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1"/>
      <c r="AU831" s="25" t="str">
        <f t="shared" si="24"/>
        <v>1Q42</v>
      </c>
      <c r="AV831" t="str">
        <f t="shared" si="25"/>
        <v>1Q42</v>
      </c>
      <c r="BA831">
        <f ca="1">IF(COUNTBLANK(C831)=0,COUNTA(INDIRECT(CONCATENATE("Area!",LEFT(ADDRESS(1,MATCH(C831,Area!$1:$1,0),4),1),"2:",LEFT(ADDRESS(1,MATCH(C831,Area!$1:$1,0),4),1),"99"))),0)</f>
        <v>0</v>
      </c>
      <c r="BB831">
        <f ca="1">IF(COUNTBLANK(D831)=0,COUNTA(INDIRECT(CONCATENATE("Setup!",LEFT(ADDRESS(1,MATCH(CONCATENATE(C831,":",D831),Setup!$1:$1,0),4),1),"2:",LEFT(ADDRESS(1,MATCH(CONCATENATE(C831,":",D831),Setup!$1:$1,0),4),1),"99"))),0)</f>
        <v>0</v>
      </c>
      <c r="BC831">
        <f ca="1">IF(COUNTBLANK(E831)=0,COUNTA(INDIRECT(CONCATENATE("Comp!",SUBSTITUTE(ADDRESS(1,MATCH(CONCATENATE(C831,":",D831,":",E831),Comp!$1:$1,0),4),"1",""),"2:",SUBSTITUTE(ADDRESS(1,MATCH(CONCATENATE(C831,":",D831,":",E831),Comp!$1:$1,0),4),"1",""),"99"))),0)</f>
        <v>0</v>
      </c>
    </row>
    <row r="832" spans="1:55">
      <c r="A832" s="20" t="s">
        <v>73</v>
      </c>
      <c r="B832" s="21"/>
      <c r="C832" s="20"/>
      <c r="D832" s="22"/>
      <c r="E832" s="22"/>
      <c r="F832" s="21"/>
      <c r="G832" s="23"/>
      <c r="H832" s="24"/>
      <c r="I832" s="22"/>
      <c r="J832" s="22"/>
      <c r="K832" s="22"/>
      <c r="L832" s="21"/>
      <c r="M832" s="20"/>
      <c r="N832" s="20"/>
      <c r="O832" s="23"/>
      <c r="P832" s="21"/>
      <c r="Q832" s="20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1"/>
      <c r="AU832" s="25" t="str">
        <f t="shared" si="24"/>
        <v>1Q42</v>
      </c>
      <c r="AV832" t="str">
        <f t="shared" si="25"/>
        <v>1Q42</v>
      </c>
      <c r="BA832">
        <f ca="1">IF(COUNTBLANK(C832)=0,COUNTA(INDIRECT(CONCATENATE("Area!",LEFT(ADDRESS(1,MATCH(C832,Area!$1:$1,0),4),1),"2:",LEFT(ADDRESS(1,MATCH(C832,Area!$1:$1,0),4),1),"99"))),0)</f>
        <v>0</v>
      </c>
      <c r="BB832">
        <f ca="1">IF(COUNTBLANK(D832)=0,COUNTA(INDIRECT(CONCATENATE("Setup!",LEFT(ADDRESS(1,MATCH(CONCATENATE(C832,":",D832),Setup!$1:$1,0),4),1),"2:",LEFT(ADDRESS(1,MATCH(CONCATENATE(C832,":",D832),Setup!$1:$1,0),4),1),"99"))),0)</f>
        <v>0</v>
      </c>
      <c r="BC832">
        <f ca="1">IF(COUNTBLANK(E832)=0,COUNTA(INDIRECT(CONCATENATE("Comp!",SUBSTITUTE(ADDRESS(1,MATCH(CONCATENATE(C832,":",D832,":",E832),Comp!$1:$1,0),4),"1",""),"2:",SUBSTITUTE(ADDRESS(1,MATCH(CONCATENATE(C832,":",D832,":",E832),Comp!$1:$1,0),4),"1",""),"99"))),0)</f>
        <v>0</v>
      </c>
    </row>
    <row r="833" spans="1:55">
      <c r="A833" s="20" t="s">
        <v>73</v>
      </c>
      <c r="B833" s="21"/>
      <c r="C833" s="20"/>
      <c r="D833" s="22"/>
      <c r="E833" s="22"/>
      <c r="F833" s="21"/>
      <c r="G833" s="23"/>
      <c r="H833" s="24"/>
      <c r="I833" s="22"/>
      <c r="J833" s="22"/>
      <c r="K833" s="22"/>
      <c r="L833" s="21"/>
      <c r="M833" s="20"/>
      <c r="N833" s="20"/>
      <c r="O833" s="23"/>
      <c r="P833" s="21"/>
      <c r="Q833" s="20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1"/>
      <c r="AU833" s="25" t="str">
        <f t="shared" si="24"/>
        <v>1Q42</v>
      </c>
      <c r="AV833" t="str">
        <f t="shared" si="25"/>
        <v>1Q42</v>
      </c>
      <c r="BA833">
        <f ca="1">IF(COUNTBLANK(C833)=0,COUNTA(INDIRECT(CONCATENATE("Area!",LEFT(ADDRESS(1,MATCH(C833,Area!$1:$1,0),4),1),"2:",LEFT(ADDRESS(1,MATCH(C833,Area!$1:$1,0),4),1),"99"))),0)</f>
        <v>0</v>
      </c>
      <c r="BB833">
        <f ca="1">IF(COUNTBLANK(D833)=0,COUNTA(INDIRECT(CONCATENATE("Setup!",LEFT(ADDRESS(1,MATCH(CONCATENATE(C833,":",D833),Setup!$1:$1,0),4),1),"2:",LEFT(ADDRESS(1,MATCH(CONCATENATE(C833,":",D833),Setup!$1:$1,0),4),1),"99"))),0)</f>
        <v>0</v>
      </c>
      <c r="BC833">
        <f ca="1">IF(COUNTBLANK(E833)=0,COUNTA(INDIRECT(CONCATENATE("Comp!",SUBSTITUTE(ADDRESS(1,MATCH(CONCATENATE(C833,":",D833,":",E833),Comp!$1:$1,0),4),"1",""),"2:",SUBSTITUTE(ADDRESS(1,MATCH(CONCATENATE(C833,":",D833,":",E833),Comp!$1:$1,0),4),"1",""),"99"))),0)</f>
        <v>0</v>
      </c>
    </row>
    <row r="834" spans="1:55">
      <c r="A834" s="20" t="s">
        <v>73</v>
      </c>
      <c r="B834" s="21"/>
      <c r="C834" s="20"/>
      <c r="D834" s="22"/>
      <c r="E834" s="22"/>
      <c r="F834" s="21"/>
      <c r="G834" s="23"/>
      <c r="H834" s="24"/>
      <c r="I834" s="22"/>
      <c r="J834" s="22"/>
      <c r="K834" s="22"/>
      <c r="L834" s="21"/>
      <c r="M834" s="20"/>
      <c r="N834" s="20"/>
      <c r="O834" s="23"/>
      <c r="P834" s="21"/>
      <c r="Q834" s="20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1"/>
      <c r="AU834" s="25" t="str">
        <f t="shared" si="24"/>
        <v>1Q42</v>
      </c>
      <c r="AV834" t="str">
        <f t="shared" si="25"/>
        <v>1Q42</v>
      </c>
      <c r="BA834">
        <f ca="1">IF(COUNTBLANK(C834)=0,COUNTA(INDIRECT(CONCATENATE("Area!",LEFT(ADDRESS(1,MATCH(C834,Area!$1:$1,0),4),1),"2:",LEFT(ADDRESS(1,MATCH(C834,Area!$1:$1,0),4),1),"99"))),0)</f>
        <v>0</v>
      </c>
      <c r="BB834">
        <f ca="1">IF(COUNTBLANK(D834)=0,COUNTA(INDIRECT(CONCATENATE("Setup!",LEFT(ADDRESS(1,MATCH(CONCATENATE(C834,":",D834),Setup!$1:$1,0),4),1),"2:",LEFT(ADDRESS(1,MATCH(CONCATENATE(C834,":",D834),Setup!$1:$1,0),4),1),"99"))),0)</f>
        <v>0</v>
      </c>
      <c r="BC834">
        <f ca="1">IF(COUNTBLANK(E834)=0,COUNTA(INDIRECT(CONCATENATE("Comp!",SUBSTITUTE(ADDRESS(1,MATCH(CONCATENATE(C834,":",D834,":",E834),Comp!$1:$1,0),4),"1",""),"2:",SUBSTITUTE(ADDRESS(1,MATCH(CONCATENATE(C834,":",D834,":",E834),Comp!$1:$1,0),4),"1",""),"99"))),0)</f>
        <v>0</v>
      </c>
    </row>
    <row r="835" spans="1:55">
      <c r="A835" s="20" t="s">
        <v>73</v>
      </c>
      <c r="B835" s="21"/>
      <c r="C835" s="20"/>
      <c r="D835" s="22"/>
      <c r="E835" s="22"/>
      <c r="F835" s="21"/>
      <c r="G835" s="23"/>
      <c r="H835" s="24"/>
      <c r="I835" s="22"/>
      <c r="J835" s="22"/>
      <c r="K835" s="22"/>
      <c r="L835" s="21"/>
      <c r="M835" s="20"/>
      <c r="N835" s="20"/>
      <c r="O835" s="23"/>
      <c r="P835" s="21"/>
      <c r="Q835" s="20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1"/>
      <c r="AU835" s="25" t="str">
        <f t="shared" si="24"/>
        <v>1Q42</v>
      </c>
      <c r="AV835" t="str">
        <f t="shared" si="25"/>
        <v>1Q42</v>
      </c>
      <c r="BA835">
        <f ca="1">IF(COUNTBLANK(C835)=0,COUNTA(INDIRECT(CONCATENATE("Area!",LEFT(ADDRESS(1,MATCH(C835,Area!$1:$1,0),4),1),"2:",LEFT(ADDRESS(1,MATCH(C835,Area!$1:$1,0),4),1),"99"))),0)</f>
        <v>0</v>
      </c>
      <c r="BB835">
        <f ca="1">IF(COUNTBLANK(D835)=0,COUNTA(INDIRECT(CONCATENATE("Setup!",LEFT(ADDRESS(1,MATCH(CONCATENATE(C835,":",D835),Setup!$1:$1,0),4),1),"2:",LEFT(ADDRESS(1,MATCH(CONCATENATE(C835,":",D835),Setup!$1:$1,0),4),1),"99"))),0)</f>
        <v>0</v>
      </c>
      <c r="BC835">
        <f ca="1">IF(COUNTBLANK(E835)=0,COUNTA(INDIRECT(CONCATENATE("Comp!",SUBSTITUTE(ADDRESS(1,MATCH(CONCATENATE(C835,":",D835,":",E835),Comp!$1:$1,0),4),"1",""),"2:",SUBSTITUTE(ADDRESS(1,MATCH(CONCATENATE(C835,":",D835,":",E835),Comp!$1:$1,0),4),"1",""),"99"))),0)</f>
        <v>0</v>
      </c>
    </row>
    <row r="836" spans="1:55">
      <c r="A836" s="20" t="s">
        <v>73</v>
      </c>
      <c r="B836" s="21"/>
      <c r="C836" s="20"/>
      <c r="D836" s="22"/>
      <c r="E836" s="22"/>
      <c r="F836" s="21"/>
      <c r="G836" s="23"/>
      <c r="H836" s="24"/>
      <c r="I836" s="22"/>
      <c r="J836" s="22"/>
      <c r="K836" s="22"/>
      <c r="L836" s="21"/>
      <c r="M836" s="20"/>
      <c r="N836" s="20"/>
      <c r="O836" s="23"/>
      <c r="P836" s="21"/>
      <c r="Q836" s="20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1"/>
      <c r="AU836" s="25" t="str">
        <f t="shared" si="24"/>
        <v>1Q42</v>
      </c>
      <c r="AV836" t="str">
        <f t="shared" si="25"/>
        <v>1Q42</v>
      </c>
      <c r="BA836">
        <f ca="1">IF(COUNTBLANK(C836)=0,COUNTA(INDIRECT(CONCATENATE("Area!",LEFT(ADDRESS(1,MATCH(C836,Area!$1:$1,0),4),1),"2:",LEFT(ADDRESS(1,MATCH(C836,Area!$1:$1,0),4),1),"99"))),0)</f>
        <v>0</v>
      </c>
      <c r="BB836">
        <f ca="1">IF(COUNTBLANK(D836)=0,COUNTA(INDIRECT(CONCATENATE("Setup!",LEFT(ADDRESS(1,MATCH(CONCATENATE(C836,":",D836),Setup!$1:$1,0),4),1),"2:",LEFT(ADDRESS(1,MATCH(CONCATENATE(C836,":",D836),Setup!$1:$1,0),4),1),"99"))),0)</f>
        <v>0</v>
      </c>
      <c r="BC836">
        <f ca="1">IF(COUNTBLANK(E836)=0,COUNTA(INDIRECT(CONCATENATE("Comp!",SUBSTITUTE(ADDRESS(1,MATCH(CONCATENATE(C836,":",D836,":",E836),Comp!$1:$1,0),4),"1",""),"2:",SUBSTITUTE(ADDRESS(1,MATCH(CONCATENATE(C836,":",D836,":",E836),Comp!$1:$1,0),4),"1",""),"99"))),0)</f>
        <v>0</v>
      </c>
    </row>
    <row r="837" spans="1:55">
      <c r="A837" s="20" t="s">
        <v>73</v>
      </c>
      <c r="B837" s="21"/>
      <c r="C837" s="20"/>
      <c r="D837" s="22"/>
      <c r="E837" s="22"/>
      <c r="F837" s="21"/>
      <c r="G837" s="23"/>
      <c r="H837" s="24"/>
      <c r="I837" s="22"/>
      <c r="J837" s="22"/>
      <c r="K837" s="22"/>
      <c r="L837" s="21"/>
      <c r="M837" s="20"/>
      <c r="N837" s="20"/>
      <c r="O837" s="23"/>
      <c r="P837" s="21"/>
      <c r="Q837" s="20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1"/>
      <c r="AU837" s="25" t="str">
        <f t="shared" si="24"/>
        <v>1Q42</v>
      </c>
      <c r="AV837" t="str">
        <f t="shared" si="25"/>
        <v>1Q42</v>
      </c>
      <c r="BA837">
        <f ca="1">IF(COUNTBLANK(C837)=0,COUNTA(INDIRECT(CONCATENATE("Area!",LEFT(ADDRESS(1,MATCH(C837,Area!$1:$1,0),4),1),"2:",LEFT(ADDRESS(1,MATCH(C837,Area!$1:$1,0),4),1),"99"))),0)</f>
        <v>0</v>
      </c>
      <c r="BB837">
        <f ca="1">IF(COUNTBLANK(D837)=0,COUNTA(INDIRECT(CONCATENATE("Setup!",LEFT(ADDRESS(1,MATCH(CONCATENATE(C837,":",D837),Setup!$1:$1,0),4),1),"2:",LEFT(ADDRESS(1,MATCH(CONCATENATE(C837,":",D837),Setup!$1:$1,0),4),1),"99"))),0)</f>
        <v>0</v>
      </c>
      <c r="BC837">
        <f ca="1">IF(COUNTBLANK(E837)=0,COUNTA(INDIRECT(CONCATENATE("Comp!",SUBSTITUTE(ADDRESS(1,MATCH(CONCATENATE(C837,":",D837,":",E837),Comp!$1:$1,0),4),"1",""),"2:",SUBSTITUTE(ADDRESS(1,MATCH(CONCATENATE(C837,":",D837,":",E837),Comp!$1:$1,0),4),"1",""),"99"))),0)</f>
        <v>0</v>
      </c>
    </row>
    <row r="838" spans="1:55">
      <c r="A838" s="20" t="s">
        <v>73</v>
      </c>
      <c r="B838" s="21"/>
      <c r="C838" s="20"/>
      <c r="D838" s="22"/>
      <c r="E838" s="22"/>
      <c r="F838" s="21"/>
      <c r="G838" s="23"/>
      <c r="H838" s="24"/>
      <c r="I838" s="22"/>
      <c r="J838" s="22"/>
      <c r="K838" s="22"/>
      <c r="L838" s="21"/>
      <c r="M838" s="20"/>
      <c r="N838" s="20"/>
      <c r="O838" s="23"/>
      <c r="P838" s="21"/>
      <c r="Q838" s="20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1"/>
      <c r="AU838" s="25" t="str">
        <f t="shared" si="24"/>
        <v>1Q42</v>
      </c>
      <c r="AV838" t="str">
        <f t="shared" si="25"/>
        <v>1Q42</v>
      </c>
      <c r="BA838">
        <f ca="1">IF(COUNTBLANK(C838)=0,COUNTA(INDIRECT(CONCATENATE("Area!",LEFT(ADDRESS(1,MATCH(C838,Area!$1:$1,0),4),1),"2:",LEFT(ADDRESS(1,MATCH(C838,Area!$1:$1,0),4),1),"99"))),0)</f>
        <v>0</v>
      </c>
      <c r="BB838">
        <f ca="1">IF(COUNTBLANK(D838)=0,COUNTA(INDIRECT(CONCATENATE("Setup!",LEFT(ADDRESS(1,MATCH(CONCATENATE(C838,":",D838),Setup!$1:$1,0),4),1),"2:",LEFT(ADDRESS(1,MATCH(CONCATENATE(C838,":",D838),Setup!$1:$1,0),4),1),"99"))),0)</f>
        <v>0</v>
      </c>
      <c r="BC838">
        <f ca="1">IF(COUNTBLANK(E838)=0,COUNTA(INDIRECT(CONCATENATE("Comp!",SUBSTITUTE(ADDRESS(1,MATCH(CONCATENATE(C838,":",D838,":",E838),Comp!$1:$1,0),4),"1",""),"2:",SUBSTITUTE(ADDRESS(1,MATCH(CONCATENATE(C838,":",D838,":",E838),Comp!$1:$1,0),4),"1",""),"99"))),0)</f>
        <v>0</v>
      </c>
    </row>
    <row r="839" spans="1:55">
      <c r="A839" s="20" t="s">
        <v>73</v>
      </c>
      <c r="B839" s="21"/>
      <c r="C839" s="20"/>
      <c r="D839" s="22"/>
      <c r="E839" s="22"/>
      <c r="F839" s="21"/>
      <c r="G839" s="23"/>
      <c r="H839" s="24"/>
      <c r="I839" s="22"/>
      <c r="J839" s="22"/>
      <c r="K839" s="22"/>
      <c r="L839" s="21"/>
      <c r="M839" s="20"/>
      <c r="N839" s="20"/>
      <c r="O839" s="23"/>
      <c r="P839" s="21"/>
      <c r="Q839" s="20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1"/>
      <c r="AU839" s="25" t="str">
        <f t="shared" si="24"/>
        <v>1Q42</v>
      </c>
      <c r="AV839" t="str">
        <f t="shared" si="25"/>
        <v>1Q42</v>
      </c>
      <c r="BA839">
        <f ca="1">IF(COUNTBLANK(C839)=0,COUNTA(INDIRECT(CONCATENATE("Area!",LEFT(ADDRESS(1,MATCH(C839,Area!$1:$1,0),4),1),"2:",LEFT(ADDRESS(1,MATCH(C839,Area!$1:$1,0),4),1),"99"))),0)</f>
        <v>0</v>
      </c>
      <c r="BB839">
        <f ca="1">IF(COUNTBLANK(D839)=0,COUNTA(INDIRECT(CONCATENATE("Setup!",LEFT(ADDRESS(1,MATCH(CONCATENATE(C839,":",D839),Setup!$1:$1,0),4),1),"2:",LEFT(ADDRESS(1,MATCH(CONCATENATE(C839,":",D839),Setup!$1:$1,0),4),1),"99"))),0)</f>
        <v>0</v>
      </c>
      <c r="BC839">
        <f ca="1">IF(COUNTBLANK(E839)=0,COUNTA(INDIRECT(CONCATENATE("Comp!",SUBSTITUTE(ADDRESS(1,MATCH(CONCATENATE(C839,":",D839,":",E839),Comp!$1:$1,0),4),"1",""),"2:",SUBSTITUTE(ADDRESS(1,MATCH(CONCATENATE(C839,":",D839,":",E839),Comp!$1:$1,0),4),"1",""),"99"))),0)</f>
        <v>0</v>
      </c>
    </row>
    <row r="840" spans="1:55">
      <c r="A840" s="20" t="s">
        <v>73</v>
      </c>
      <c r="B840" s="21"/>
      <c r="C840" s="20"/>
      <c r="D840" s="22"/>
      <c r="E840" s="22"/>
      <c r="F840" s="21"/>
      <c r="G840" s="23"/>
      <c r="H840" s="24"/>
      <c r="I840" s="22"/>
      <c r="J840" s="22"/>
      <c r="K840" s="22"/>
      <c r="L840" s="21"/>
      <c r="M840" s="20"/>
      <c r="N840" s="20"/>
      <c r="O840" s="23"/>
      <c r="P840" s="21"/>
      <c r="Q840" s="20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1"/>
      <c r="AU840" s="25" t="str">
        <f t="shared" si="24"/>
        <v>1Q42</v>
      </c>
      <c r="AV840" t="str">
        <f t="shared" si="25"/>
        <v>1Q42</v>
      </c>
      <c r="BA840">
        <f ca="1">IF(COUNTBLANK(C840)=0,COUNTA(INDIRECT(CONCATENATE("Area!",LEFT(ADDRESS(1,MATCH(C840,Area!$1:$1,0),4),1),"2:",LEFT(ADDRESS(1,MATCH(C840,Area!$1:$1,0),4),1),"99"))),0)</f>
        <v>0</v>
      </c>
      <c r="BB840">
        <f ca="1">IF(COUNTBLANK(D840)=0,COUNTA(INDIRECT(CONCATENATE("Setup!",LEFT(ADDRESS(1,MATCH(CONCATENATE(C840,":",D840),Setup!$1:$1,0),4),1),"2:",LEFT(ADDRESS(1,MATCH(CONCATENATE(C840,":",D840),Setup!$1:$1,0),4),1),"99"))),0)</f>
        <v>0</v>
      </c>
      <c r="BC840">
        <f ca="1">IF(COUNTBLANK(E840)=0,COUNTA(INDIRECT(CONCATENATE("Comp!",SUBSTITUTE(ADDRESS(1,MATCH(CONCATENATE(C840,":",D840,":",E840),Comp!$1:$1,0),4),"1",""),"2:",SUBSTITUTE(ADDRESS(1,MATCH(CONCATENATE(C840,":",D840,":",E840),Comp!$1:$1,0),4),"1",""),"99"))),0)</f>
        <v>0</v>
      </c>
    </row>
    <row r="841" spans="1:55">
      <c r="A841" s="20" t="s">
        <v>73</v>
      </c>
      <c r="B841" s="21"/>
      <c r="C841" s="20"/>
      <c r="D841" s="22"/>
      <c r="E841" s="22"/>
      <c r="F841" s="21"/>
      <c r="G841" s="23"/>
      <c r="H841" s="24"/>
      <c r="I841" s="22"/>
      <c r="J841" s="22"/>
      <c r="K841" s="22"/>
      <c r="L841" s="21"/>
      <c r="M841" s="20"/>
      <c r="N841" s="20"/>
      <c r="O841" s="23"/>
      <c r="P841" s="21"/>
      <c r="Q841" s="20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1"/>
      <c r="AU841" s="25" t="str">
        <f t="shared" ref="AU841:AU904" si="26">CONCATENATE(A841,B841)</f>
        <v>1Q42</v>
      </c>
      <c r="AV841" t="str">
        <f t="shared" ref="AV841:AV904" si="27">CONCATENATE(A841,B841)</f>
        <v>1Q42</v>
      </c>
      <c r="BA841">
        <f ca="1">IF(COUNTBLANK(C841)=0,COUNTA(INDIRECT(CONCATENATE("Area!",LEFT(ADDRESS(1,MATCH(C841,Area!$1:$1,0),4),1),"2:",LEFT(ADDRESS(1,MATCH(C841,Area!$1:$1,0),4),1),"99"))),0)</f>
        <v>0</v>
      </c>
      <c r="BB841">
        <f ca="1">IF(COUNTBLANK(D841)=0,COUNTA(INDIRECT(CONCATENATE("Setup!",LEFT(ADDRESS(1,MATCH(CONCATENATE(C841,":",D841),Setup!$1:$1,0),4),1),"2:",LEFT(ADDRESS(1,MATCH(CONCATENATE(C841,":",D841),Setup!$1:$1,0),4),1),"99"))),0)</f>
        <v>0</v>
      </c>
      <c r="BC841">
        <f ca="1">IF(COUNTBLANK(E841)=0,COUNTA(INDIRECT(CONCATENATE("Comp!",SUBSTITUTE(ADDRESS(1,MATCH(CONCATENATE(C841,":",D841,":",E841),Comp!$1:$1,0),4),"1",""),"2:",SUBSTITUTE(ADDRESS(1,MATCH(CONCATENATE(C841,":",D841,":",E841),Comp!$1:$1,0),4),"1",""),"99"))),0)</f>
        <v>0</v>
      </c>
    </row>
    <row r="842" spans="1:55">
      <c r="A842" s="20" t="s">
        <v>73</v>
      </c>
      <c r="B842" s="21"/>
      <c r="C842" s="20"/>
      <c r="D842" s="22"/>
      <c r="E842" s="22"/>
      <c r="F842" s="21"/>
      <c r="G842" s="23"/>
      <c r="H842" s="24"/>
      <c r="I842" s="22"/>
      <c r="J842" s="22"/>
      <c r="K842" s="22"/>
      <c r="L842" s="21"/>
      <c r="M842" s="20"/>
      <c r="N842" s="20"/>
      <c r="O842" s="23"/>
      <c r="P842" s="21"/>
      <c r="Q842" s="20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1"/>
      <c r="AU842" s="25" t="str">
        <f t="shared" si="26"/>
        <v>1Q42</v>
      </c>
      <c r="AV842" t="str">
        <f t="shared" si="27"/>
        <v>1Q42</v>
      </c>
      <c r="BA842">
        <f ca="1">IF(COUNTBLANK(C842)=0,COUNTA(INDIRECT(CONCATENATE("Area!",LEFT(ADDRESS(1,MATCH(C842,Area!$1:$1,0),4),1),"2:",LEFT(ADDRESS(1,MATCH(C842,Area!$1:$1,0),4),1),"99"))),0)</f>
        <v>0</v>
      </c>
      <c r="BB842">
        <f ca="1">IF(COUNTBLANK(D842)=0,COUNTA(INDIRECT(CONCATENATE("Setup!",LEFT(ADDRESS(1,MATCH(CONCATENATE(C842,":",D842),Setup!$1:$1,0),4),1),"2:",LEFT(ADDRESS(1,MATCH(CONCATENATE(C842,":",D842),Setup!$1:$1,0),4),1),"99"))),0)</f>
        <v>0</v>
      </c>
      <c r="BC842">
        <f ca="1">IF(COUNTBLANK(E842)=0,COUNTA(INDIRECT(CONCATENATE("Comp!",SUBSTITUTE(ADDRESS(1,MATCH(CONCATENATE(C842,":",D842,":",E842),Comp!$1:$1,0),4),"1",""),"2:",SUBSTITUTE(ADDRESS(1,MATCH(CONCATENATE(C842,":",D842,":",E842),Comp!$1:$1,0),4),"1",""),"99"))),0)</f>
        <v>0</v>
      </c>
    </row>
    <row r="843" spans="1:55">
      <c r="A843" s="20" t="s">
        <v>73</v>
      </c>
      <c r="B843" s="21"/>
      <c r="C843" s="20"/>
      <c r="D843" s="22"/>
      <c r="E843" s="22"/>
      <c r="F843" s="21"/>
      <c r="G843" s="23"/>
      <c r="H843" s="24"/>
      <c r="I843" s="22"/>
      <c r="J843" s="22"/>
      <c r="K843" s="22"/>
      <c r="L843" s="21"/>
      <c r="M843" s="20"/>
      <c r="N843" s="20"/>
      <c r="O843" s="23"/>
      <c r="P843" s="21"/>
      <c r="Q843" s="20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1"/>
      <c r="AU843" s="25" t="str">
        <f t="shared" si="26"/>
        <v>1Q42</v>
      </c>
      <c r="AV843" t="str">
        <f t="shared" si="27"/>
        <v>1Q42</v>
      </c>
      <c r="BA843">
        <f ca="1">IF(COUNTBLANK(C843)=0,COUNTA(INDIRECT(CONCATENATE("Area!",LEFT(ADDRESS(1,MATCH(C843,Area!$1:$1,0),4),1),"2:",LEFT(ADDRESS(1,MATCH(C843,Area!$1:$1,0),4),1),"99"))),0)</f>
        <v>0</v>
      </c>
      <c r="BB843">
        <f ca="1">IF(COUNTBLANK(D843)=0,COUNTA(INDIRECT(CONCATENATE("Setup!",LEFT(ADDRESS(1,MATCH(CONCATENATE(C843,":",D843),Setup!$1:$1,0),4),1),"2:",LEFT(ADDRESS(1,MATCH(CONCATENATE(C843,":",D843),Setup!$1:$1,0),4),1),"99"))),0)</f>
        <v>0</v>
      </c>
      <c r="BC843">
        <f ca="1">IF(COUNTBLANK(E843)=0,COUNTA(INDIRECT(CONCATENATE("Comp!",SUBSTITUTE(ADDRESS(1,MATCH(CONCATENATE(C843,":",D843,":",E843),Comp!$1:$1,0),4),"1",""),"2:",SUBSTITUTE(ADDRESS(1,MATCH(CONCATENATE(C843,":",D843,":",E843),Comp!$1:$1,0),4),"1",""),"99"))),0)</f>
        <v>0</v>
      </c>
    </row>
    <row r="844" spans="1:55">
      <c r="A844" s="20" t="s">
        <v>73</v>
      </c>
      <c r="B844" s="21"/>
      <c r="C844" s="20"/>
      <c r="D844" s="22"/>
      <c r="E844" s="22"/>
      <c r="F844" s="21"/>
      <c r="G844" s="23"/>
      <c r="H844" s="24"/>
      <c r="I844" s="22"/>
      <c r="J844" s="22"/>
      <c r="K844" s="22"/>
      <c r="L844" s="21"/>
      <c r="M844" s="20"/>
      <c r="N844" s="20"/>
      <c r="O844" s="23"/>
      <c r="P844" s="21"/>
      <c r="Q844" s="20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1"/>
      <c r="AU844" s="25" t="str">
        <f t="shared" si="26"/>
        <v>1Q42</v>
      </c>
      <c r="AV844" t="str">
        <f t="shared" si="27"/>
        <v>1Q42</v>
      </c>
      <c r="BA844">
        <f ca="1">IF(COUNTBLANK(C844)=0,COUNTA(INDIRECT(CONCATENATE("Area!",LEFT(ADDRESS(1,MATCH(C844,Area!$1:$1,0),4),1),"2:",LEFT(ADDRESS(1,MATCH(C844,Area!$1:$1,0),4),1),"99"))),0)</f>
        <v>0</v>
      </c>
      <c r="BB844">
        <f ca="1">IF(COUNTBLANK(D844)=0,COUNTA(INDIRECT(CONCATENATE("Setup!",LEFT(ADDRESS(1,MATCH(CONCATENATE(C844,":",D844),Setup!$1:$1,0),4),1),"2:",LEFT(ADDRESS(1,MATCH(CONCATENATE(C844,":",D844),Setup!$1:$1,0),4),1),"99"))),0)</f>
        <v>0</v>
      </c>
      <c r="BC844">
        <f ca="1">IF(COUNTBLANK(E844)=0,COUNTA(INDIRECT(CONCATENATE("Comp!",SUBSTITUTE(ADDRESS(1,MATCH(CONCATENATE(C844,":",D844,":",E844),Comp!$1:$1,0),4),"1",""),"2:",SUBSTITUTE(ADDRESS(1,MATCH(CONCATENATE(C844,":",D844,":",E844),Comp!$1:$1,0),4),"1",""),"99"))),0)</f>
        <v>0</v>
      </c>
    </row>
    <row r="845" spans="1:55">
      <c r="A845" s="20" t="s">
        <v>73</v>
      </c>
      <c r="B845" s="21"/>
      <c r="C845" s="20"/>
      <c r="D845" s="22"/>
      <c r="E845" s="22"/>
      <c r="F845" s="21"/>
      <c r="G845" s="23"/>
      <c r="H845" s="24"/>
      <c r="I845" s="22"/>
      <c r="J845" s="22"/>
      <c r="K845" s="22"/>
      <c r="L845" s="21"/>
      <c r="M845" s="20"/>
      <c r="N845" s="20"/>
      <c r="O845" s="23"/>
      <c r="P845" s="21"/>
      <c r="Q845" s="20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1"/>
      <c r="AU845" s="25" t="str">
        <f t="shared" si="26"/>
        <v>1Q42</v>
      </c>
      <c r="AV845" t="str">
        <f t="shared" si="27"/>
        <v>1Q42</v>
      </c>
      <c r="BA845">
        <f ca="1">IF(COUNTBLANK(C845)=0,COUNTA(INDIRECT(CONCATENATE("Area!",LEFT(ADDRESS(1,MATCH(C845,Area!$1:$1,0),4),1),"2:",LEFT(ADDRESS(1,MATCH(C845,Area!$1:$1,0),4),1),"99"))),0)</f>
        <v>0</v>
      </c>
      <c r="BB845">
        <f ca="1">IF(COUNTBLANK(D845)=0,COUNTA(INDIRECT(CONCATENATE("Setup!",LEFT(ADDRESS(1,MATCH(CONCATENATE(C845,":",D845),Setup!$1:$1,0),4),1),"2:",LEFT(ADDRESS(1,MATCH(CONCATENATE(C845,":",D845),Setup!$1:$1,0),4),1),"99"))),0)</f>
        <v>0</v>
      </c>
      <c r="BC845">
        <f ca="1">IF(COUNTBLANK(E845)=0,COUNTA(INDIRECT(CONCATENATE("Comp!",SUBSTITUTE(ADDRESS(1,MATCH(CONCATENATE(C845,":",D845,":",E845),Comp!$1:$1,0),4),"1",""),"2:",SUBSTITUTE(ADDRESS(1,MATCH(CONCATENATE(C845,":",D845,":",E845),Comp!$1:$1,0),4),"1",""),"99"))),0)</f>
        <v>0</v>
      </c>
    </row>
    <row r="846" spans="1:55">
      <c r="A846" s="20" t="s">
        <v>73</v>
      </c>
      <c r="B846" s="21"/>
      <c r="C846" s="20"/>
      <c r="D846" s="22"/>
      <c r="E846" s="22"/>
      <c r="F846" s="21"/>
      <c r="G846" s="23"/>
      <c r="H846" s="24"/>
      <c r="I846" s="22"/>
      <c r="J846" s="22"/>
      <c r="K846" s="22"/>
      <c r="L846" s="21"/>
      <c r="M846" s="20"/>
      <c r="N846" s="20"/>
      <c r="O846" s="23"/>
      <c r="P846" s="21"/>
      <c r="Q846" s="20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1"/>
      <c r="AU846" s="25" t="str">
        <f t="shared" si="26"/>
        <v>1Q42</v>
      </c>
      <c r="AV846" t="str">
        <f t="shared" si="27"/>
        <v>1Q42</v>
      </c>
      <c r="BA846">
        <f ca="1">IF(COUNTBLANK(C846)=0,COUNTA(INDIRECT(CONCATENATE("Area!",LEFT(ADDRESS(1,MATCH(C846,Area!$1:$1,0),4),1),"2:",LEFT(ADDRESS(1,MATCH(C846,Area!$1:$1,0),4),1),"99"))),0)</f>
        <v>0</v>
      </c>
      <c r="BB846">
        <f ca="1">IF(COUNTBLANK(D846)=0,COUNTA(INDIRECT(CONCATENATE("Setup!",LEFT(ADDRESS(1,MATCH(CONCATENATE(C846,":",D846),Setup!$1:$1,0),4),1),"2:",LEFT(ADDRESS(1,MATCH(CONCATENATE(C846,":",D846),Setup!$1:$1,0),4),1),"99"))),0)</f>
        <v>0</v>
      </c>
      <c r="BC846">
        <f ca="1">IF(COUNTBLANK(E846)=0,COUNTA(INDIRECT(CONCATENATE("Comp!",SUBSTITUTE(ADDRESS(1,MATCH(CONCATENATE(C846,":",D846,":",E846),Comp!$1:$1,0),4),"1",""),"2:",SUBSTITUTE(ADDRESS(1,MATCH(CONCATENATE(C846,":",D846,":",E846),Comp!$1:$1,0),4),"1",""),"99"))),0)</f>
        <v>0</v>
      </c>
    </row>
    <row r="847" spans="1:55">
      <c r="A847" s="20" t="s">
        <v>73</v>
      </c>
      <c r="B847" s="21"/>
      <c r="C847" s="20"/>
      <c r="D847" s="22"/>
      <c r="E847" s="22"/>
      <c r="F847" s="21"/>
      <c r="G847" s="23"/>
      <c r="H847" s="24"/>
      <c r="I847" s="22"/>
      <c r="J847" s="22"/>
      <c r="K847" s="22"/>
      <c r="L847" s="21"/>
      <c r="M847" s="20"/>
      <c r="N847" s="20"/>
      <c r="O847" s="23"/>
      <c r="P847" s="21"/>
      <c r="Q847" s="20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1"/>
      <c r="AU847" s="25" t="str">
        <f t="shared" si="26"/>
        <v>1Q42</v>
      </c>
      <c r="AV847" t="str">
        <f t="shared" si="27"/>
        <v>1Q42</v>
      </c>
      <c r="BA847">
        <f ca="1">IF(COUNTBLANK(C847)=0,COUNTA(INDIRECT(CONCATENATE("Area!",LEFT(ADDRESS(1,MATCH(C847,Area!$1:$1,0),4),1),"2:",LEFT(ADDRESS(1,MATCH(C847,Area!$1:$1,0),4),1),"99"))),0)</f>
        <v>0</v>
      </c>
      <c r="BB847">
        <f ca="1">IF(COUNTBLANK(D847)=0,COUNTA(INDIRECT(CONCATENATE("Setup!",LEFT(ADDRESS(1,MATCH(CONCATENATE(C847,":",D847),Setup!$1:$1,0),4),1),"2:",LEFT(ADDRESS(1,MATCH(CONCATENATE(C847,":",D847),Setup!$1:$1,0),4),1),"99"))),0)</f>
        <v>0</v>
      </c>
      <c r="BC847">
        <f ca="1">IF(COUNTBLANK(E847)=0,COUNTA(INDIRECT(CONCATENATE("Comp!",SUBSTITUTE(ADDRESS(1,MATCH(CONCATENATE(C847,":",D847,":",E847),Comp!$1:$1,0),4),"1",""),"2:",SUBSTITUTE(ADDRESS(1,MATCH(CONCATENATE(C847,":",D847,":",E847),Comp!$1:$1,0),4),"1",""),"99"))),0)</f>
        <v>0</v>
      </c>
    </row>
    <row r="848" spans="1:55">
      <c r="A848" s="20" t="s">
        <v>73</v>
      </c>
      <c r="B848" s="21"/>
      <c r="C848" s="20"/>
      <c r="D848" s="22"/>
      <c r="E848" s="22"/>
      <c r="F848" s="21"/>
      <c r="G848" s="23"/>
      <c r="H848" s="24"/>
      <c r="I848" s="22"/>
      <c r="J848" s="22"/>
      <c r="K848" s="22"/>
      <c r="L848" s="21"/>
      <c r="M848" s="20"/>
      <c r="N848" s="20"/>
      <c r="O848" s="23"/>
      <c r="P848" s="21"/>
      <c r="Q848" s="20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1"/>
      <c r="AU848" s="25" t="str">
        <f t="shared" si="26"/>
        <v>1Q42</v>
      </c>
      <c r="AV848" t="str">
        <f t="shared" si="27"/>
        <v>1Q42</v>
      </c>
      <c r="BA848">
        <f ca="1">IF(COUNTBLANK(C848)=0,COUNTA(INDIRECT(CONCATENATE("Area!",LEFT(ADDRESS(1,MATCH(C848,Area!$1:$1,0),4),1),"2:",LEFT(ADDRESS(1,MATCH(C848,Area!$1:$1,0),4),1),"99"))),0)</f>
        <v>0</v>
      </c>
      <c r="BB848">
        <f ca="1">IF(COUNTBLANK(D848)=0,COUNTA(INDIRECT(CONCATENATE("Setup!",LEFT(ADDRESS(1,MATCH(CONCATENATE(C848,":",D848),Setup!$1:$1,0),4),1),"2:",LEFT(ADDRESS(1,MATCH(CONCATENATE(C848,":",D848),Setup!$1:$1,0),4),1),"99"))),0)</f>
        <v>0</v>
      </c>
      <c r="BC848">
        <f ca="1">IF(COUNTBLANK(E848)=0,COUNTA(INDIRECT(CONCATENATE("Comp!",SUBSTITUTE(ADDRESS(1,MATCH(CONCATENATE(C848,":",D848,":",E848),Comp!$1:$1,0),4),"1",""),"2:",SUBSTITUTE(ADDRESS(1,MATCH(CONCATENATE(C848,":",D848,":",E848),Comp!$1:$1,0),4),"1",""),"99"))),0)</f>
        <v>0</v>
      </c>
    </row>
    <row r="849" spans="1:55">
      <c r="A849" s="20" t="s">
        <v>73</v>
      </c>
      <c r="B849" s="21"/>
      <c r="C849" s="20"/>
      <c r="D849" s="22"/>
      <c r="E849" s="22"/>
      <c r="F849" s="21"/>
      <c r="G849" s="23"/>
      <c r="H849" s="24"/>
      <c r="I849" s="22"/>
      <c r="J849" s="22"/>
      <c r="K849" s="22"/>
      <c r="L849" s="21"/>
      <c r="M849" s="20"/>
      <c r="N849" s="20"/>
      <c r="O849" s="23"/>
      <c r="P849" s="21"/>
      <c r="Q849" s="20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1"/>
      <c r="AU849" s="25" t="str">
        <f t="shared" si="26"/>
        <v>1Q42</v>
      </c>
      <c r="AV849" t="str">
        <f t="shared" si="27"/>
        <v>1Q42</v>
      </c>
      <c r="BA849">
        <f ca="1">IF(COUNTBLANK(C849)=0,COUNTA(INDIRECT(CONCATENATE("Area!",LEFT(ADDRESS(1,MATCH(C849,Area!$1:$1,0),4),1),"2:",LEFT(ADDRESS(1,MATCH(C849,Area!$1:$1,0),4),1),"99"))),0)</f>
        <v>0</v>
      </c>
      <c r="BB849">
        <f ca="1">IF(COUNTBLANK(D849)=0,COUNTA(INDIRECT(CONCATENATE("Setup!",LEFT(ADDRESS(1,MATCH(CONCATENATE(C849,":",D849),Setup!$1:$1,0),4),1),"2:",LEFT(ADDRESS(1,MATCH(CONCATENATE(C849,":",D849),Setup!$1:$1,0),4),1),"99"))),0)</f>
        <v>0</v>
      </c>
      <c r="BC849">
        <f ca="1">IF(COUNTBLANK(E849)=0,COUNTA(INDIRECT(CONCATENATE("Comp!",SUBSTITUTE(ADDRESS(1,MATCH(CONCATENATE(C849,":",D849,":",E849),Comp!$1:$1,0),4),"1",""),"2:",SUBSTITUTE(ADDRESS(1,MATCH(CONCATENATE(C849,":",D849,":",E849),Comp!$1:$1,0),4),"1",""),"99"))),0)</f>
        <v>0</v>
      </c>
    </row>
    <row r="850" spans="1:55">
      <c r="A850" s="20" t="s">
        <v>73</v>
      </c>
      <c r="B850" s="21"/>
      <c r="C850" s="20"/>
      <c r="D850" s="22"/>
      <c r="E850" s="22"/>
      <c r="F850" s="21"/>
      <c r="G850" s="23"/>
      <c r="H850" s="24"/>
      <c r="I850" s="22"/>
      <c r="J850" s="22"/>
      <c r="K850" s="22"/>
      <c r="L850" s="21"/>
      <c r="M850" s="20"/>
      <c r="N850" s="20"/>
      <c r="O850" s="23"/>
      <c r="P850" s="21"/>
      <c r="Q850" s="20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1"/>
      <c r="AU850" s="25" t="str">
        <f t="shared" si="26"/>
        <v>1Q42</v>
      </c>
      <c r="AV850" t="str">
        <f t="shared" si="27"/>
        <v>1Q42</v>
      </c>
      <c r="BA850">
        <f ca="1">IF(COUNTBLANK(C850)=0,COUNTA(INDIRECT(CONCATENATE("Area!",LEFT(ADDRESS(1,MATCH(C850,Area!$1:$1,0),4),1),"2:",LEFT(ADDRESS(1,MATCH(C850,Area!$1:$1,0),4),1),"99"))),0)</f>
        <v>0</v>
      </c>
      <c r="BB850">
        <f ca="1">IF(COUNTBLANK(D850)=0,COUNTA(INDIRECT(CONCATENATE("Setup!",LEFT(ADDRESS(1,MATCH(CONCATENATE(C850,":",D850),Setup!$1:$1,0),4),1),"2:",LEFT(ADDRESS(1,MATCH(CONCATENATE(C850,":",D850),Setup!$1:$1,0),4),1),"99"))),0)</f>
        <v>0</v>
      </c>
      <c r="BC850">
        <f ca="1">IF(COUNTBLANK(E850)=0,COUNTA(INDIRECT(CONCATENATE("Comp!",SUBSTITUTE(ADDRESS(1,MATCH(CONCATENATE(C850,":",D850,":",E850),Comp!$1:$1,0),4),"1",""),"2:",SUBSTITUTE(ADDRESS(1,MATCH(CONCATENATE(C850,":",D850,":",E850),Comp!$1:$1,0),4),"1",""),"99"))),0)</f>
        <v>0</v>
      </c>
    </row>
    <row r="851" spans="1:55">
      <c r="A851" s="20" t="s">
        <v>73</v>
      </c>
      <c r="B851" s="21"/>
      <c r="C851" s="20"/>
      <c r="D851" s="22"/>
      <c r="E851" s="22"/>
      <c r="F851" s="21"/>
      <c r="G851" s="23"/>
      <c r="H851" s="24"/>
      <c r="I851" s="22"/>
      <c r="J851" s="22"/>
      <c r="K851" s="22"/>
      <c r="L851" s="21"/>
      <c r="M851" s="20"/>
      <c r="N851" s="20"/>
      <c r="O851" s="23"/>
      <c r="P851" s="21"/>
      <c r="Q851" s="20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1"/>
      <c r="AU851" s="25" t="str">
        <f t="shared" si="26"/>
        <v>1Q42</v>
      </c>
      <c r="AV851" t="str">
        <f t="shared" si="27"/>
        <v>1Q42</v>
      </c>
      <c r="BA851">
        <f ca="1">IF(COUNTBLANK(C851)=0,COUNTA(INDIRECT(CONCATENATE("Area!",LEFT(ADDRESS(1,MATCH(C851,Area!$1:$1,0),4),1),"2:",LEFT(ADDRESS(1,MATCH(C851,Area!$1:$1,0),4),1),"99"))),0)</f>
        <v>0</v>
      </c>
      <c r="BB851">
        <f ca="1">IF(COUNTBLANK(D851)=0,COUNTA(INDIRECT(CONCATENATE("Setup!",LEFT(ADDRESS(1,MATCH(CONCATENATE(C851,":",D851),Setup!$1:$1,0),4),1),"2:",LEFT(ADDRESS(1,MATCH(CONCATENATE(C851,":",D851),Setup!$1:$1,0),4),1),"99"))),0)</f>
        <v>0</v>
      </c>
      <c r="BC851">
        <f ca="1">IF(COUNTBLANK(E851)=0,COUNTA(INDIRECT(CONCATENATE("Comp!",SUBSTITUTE(ADDRESS(1,MATCH(CONCATENATE(C851,":",D851,":",E851),Comp!$1:$1,0),4),"1",""),"2:",SUBSTITUTE(ADDRESS(1,MATCH(CONCATENATE(C851,":",D851,":",E851),Comp!$1:$1,0),4),"1",""),"99"))),0)</f>
        <v>0</v>
      </c>
    </row>
    <row r="852" spans="1:55">
      <c r="A852" s="20" t="s">
        <v>73</v>
      </c>
      <c r="B852" s="21"/>
      <c r="C852" s="20"/>
      <c r="D852" s="22"/>
      <c r="E852" s="22"/>
      <c r="F852" s="21"/>
      <c r="G852" s="23"/>
      <c r="H852" s="24"/>
      <c r="I852" s="22"/>
      <c r="J852" s="22"/>
      <c r="K852" s="22"/>
      <c r="L852" s="21"/>
      <c r="M852" s="20"/>
      <c r="N852" s="20"/>
      <c r="O852" s="23"/>
      <c r="P852" s="21"/>
      <c r="Q852" s="20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1"/>
      <c r="AU852" s="25" t="str">
        <f t="shared" si="26"/>
        <v>1Q42</v>
      </c>
      <c r="AV852" t="str">
        <f t="shared" si="27"/>
        <v>1Q42</v>
      </c>
      <c r="BA852">
        <f ca="1">IF(COUNTBLANK(C852)=0,COUNTA(INDIRECT(CONCATENATE("Area!",LEFT(ADDRESS(1,MATCH(C852,Area!$1:$1,0),4),1),"2:",LEFT(ADDRESS(1,MATCH(C852,Area!$1:$1,0),4),1),"99"))),0)</f>
        <v>0</v>
      </c>
      <c r="BB852">
        <f ca="1">IF(COUNTBLANK(D852)=0,COUNTA(INDIRECT(CONCATENATE("Setup!",LEFT(ADDRESS(1,MATCH(CONCATENATE(C852,":",D852),Setup!$1:$1,0),4),1),"2:",LEFT(ADDRESS(1,MATCH(CONCATENATE(C852,":",D852),Setup!$1:$1,0),4),1),"99"))),0)</f>
        <v>0</v>
      </c>
      <c r="BC852">
        <f ca="1">IF(COUNTBLANK(E852)=0,COUNTA(INDIRECT(CONCATENATE("Comp!",SUBSTITUTE(ADDRESS(1,MATCH(CONCATENATE(C852,":",D852,":",E852),Comp!$1:$1,0),4),"1",""),"2:",SUBSTITUTE(ADDRESS(1,MATCH(CONCATENATE(C852,":",D852,":",E852),Comp!$1:$1,0),4),"1",""),"99"))),0)</f>
        <v>0</v>
      </c>
    </row>
    <row r="853" spans="1:55">
      <c r="A853" s="20" t="s">
        <v>73</v>
      </c>
      <c r="B853" s="21"/>
      <c r="C853" s="20"/>
      <c r="D853" s="22"/>
      <c r="E853" s="22"/>
      <c r="F853" s="21"/>
      <c r="G853" s="23"/>
      <c r="H853" s="24"/>
      <c r="I853" s="22"/>
      <c r="J853" s="22"/>
      <c r="K853" s="22"/>
      <c r="L853" s="21"/>
      <c r="M853" s="20"/>
      <c r="N853" s="20"/>
      <c r="O853" s="23"/>
      <c r="P853" s="21"/>
      <c r="Q853" s="20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1"/>
      <c r="AU853" s="25" t="str">
        <f t="shared" si="26"/>
        <v>1Q42</v>
      </c>
      <c r="AV853" t="str">
        <f t="shared" si="27"/>
        <v>1Q42</v>
      </c>
      <c r="BA853">
        <f ca="1">IF(COUNTBLANK(C853)=0,COUNTA(INDIRECT(CONCATENATE("Area!",LEFT(ADDRESS(1,MATCH(C853,Area!$1:$1,0),4),1),"2:",LEFT(ADDRESS(1,MATCH(C853,Area!$1:$1,0),4),1),"99"))),0)</f>
        <v>0</v>
      </c>
      <c r="BB853">
        <f ca="1">IF(COUNTBLANK(D853)=0,COUNTA(INDIRECT(CONCATENATE("Setup!",LEFT(ADDRESS(1,MATCH(CONCATENATE(C853,":",D853),Setup!$1:$1,0),4),1),"2:",LEFT(ADDRESS(1,MATCH(CONCATENATE(C853,":",D853),Setup!$1:$1,0),4),1),"99"))),0)</f>
        <v>0</v>
      </c>
      <c r="BC853">
        <f ca="1">IF(COUNTBLANK(E853)=0,COUNTA(INDIRECT(CONCATENATE("Comp!",SUBSTITUTE(ADDRESS(1,MATCH(CONCATENATE(C853,":",D853,":",E853),Comp!$1:$1,0),4),"1",""),"2:",SUBSTITUTE(ADDRESS(1,MATCH(CONCATENATE(C853,":",D853,":",E853),Comp!$1:$1,0),4),"1",""),"99"))),0)</f>
        <v>0</v>
      </c>
    </row>
    <row r="854" spans="1:55">
      <c r="A854" s="20" t="s">
        <v>73</v>
      </c>
      <c r="B854" s="21"/>
      <c r="C854" s="20"/>
      <c r="D854" s="22"/>
      <c r="E854" s="22"/>
      <c r="F854" s="21"/>
      <c r="G854" s="23"/>
      <c r="H854" s="24"/>
      <c r="I854" s="22"/>
      <c r="J854" s="22"/>
      <c r="K854" s="22"/>
      <c r="L854" s="21"/>
      <c r="M854" s="20"/>
      <c r="N854" s="20"/>
      <c r="O854" s="23"/>
      <c r="P854" s="21"/>
      <c r="Q854" s="20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1"/>
      <c r="AU854" s="25" t="str">
        <f t="shared" si="26"/>
        <v>1Q42</v>
      </c>
      <c r="AV854" t="str">
        <f t="shared" si="27"/>
        <v>1Q42</v>
      </c>
      <c r="BA854">
        <f ca="1">IF(COUNTBLANK(C854)=0,COUNTA(INDIRECT(CONCATENATE("Area!",LEFT(ADDRESS(1,MATCH(C854,Area!$1:$1,0),4),1),"2:",LEFT(ADDRESS(1,MATCH(C854,Area!$1:$1,0),4),1),"99"))),0)</f>
        <v>0</v>
      </c>
      <c r="BB854">
        <f ca="1">IF(COUNTBLANK(D854)=0,COUNTA(INDIRECT(CONCATENATE("Setup!",LEFT(ADDRESS(1,MATCH(CONCATENATE(C854,":",D854),Setup!$1:$1,0),4),1),"2:",LEFT(ADDRESS(1,MATCH(CONCATENATE(C854,":",D854),Setup!$1:$1,0),4),1),"99"))),0)</f>
        <v>0</v>
      </c>
      <c r="BC854">
        <f ca="1">IF(COUNTBLANK(E854)=0,COUNTA(INDIRECT(CONCATENATE("Comp!",SUBSTITUTE(ADDRESS(1,MATCH(CONCATENATE(C854,":",D854,":",E854),Comp!$1:$1,0),4),"1",""),"2:",SUBSTITUTE(ADDRESS(1,MATCH(CONCATENATE(C854,":",D854,":",E854),Comp!$1:$1,0),4),"1",""),"99"))),0)</f>
        <v>0</v>
      </c>
    </row>
    <row r="855" spans="1:55">
      <c r="A855" s="20" t="s">
        <v>73</v>
      </c>
      <c r="B855" s="21"/>
      <c r="C855" s="20"/>
      <c r="D855" s="22"/>
      <c r="E855" s="22"/>
      <c r="F855" s="21"/>
      <c r="G855" s="23"/>
      <c r="H855" s="24"/>
      <c r="I855" s="22"/>
      <c r="J855" s="22"/>
      <c r="K855" s="22"/>
      <c r="L855" s="21"/>
      <c r="M855" s="20"/>
      <c r="N855" s="20"/>
      <c r="O855" s="23"/>
      <c r="P855" s="21"/>
      <c r="Q855" s="20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1"/>
      <c r="AU855" s="25" t="str">
        <f t="shared" si="26"/>
        <v>1Q42</v>
      </c>
      <c r="AV855" t="str">
        <f t="shared" si="27"/>
        <v>1Q42</v>
      </c>
      <c r="BA855">
        <f ca="1">IF(COUNTBLANK(C855)=0,COUNTA(INDIRECT(CONCATENATE("Area!",LEFT(ADDRESS(1,MATCH(C855,Area!$1:$1,0),4),1),"2:",LEFT(ADDRESS(1,MATCH(C855,Area!$1:$1,0),4),1),"99"))),0)</f>
        <v>0</v>
      </c>
      <c r="BB855">
        <f ca="1">IF(COUNTBLANK(D855)=0,COUNTA(INDIRECT(CONCATENATE("Setup!",LEFT(ADDRESS(1,MATCH(CONCATENATE(C855,":",D855),Setup!$1:$1,0),4),1),"2:",LEFT(ADDRESS(1,MATCH(CONCATENATE(C855,":",D855),Setup!$1:$1,0),4),1),"99"))),0)</f>
        <v>0</v>
      </c>
      <c r="BC855">
        <f ca="1">IF(COUNTBLANK(E855)=0,COUNTA(INDIRECT(CONCATENATE("Comp!",SUBSTITUTE(ADDRESS(1,MATCH(CONCATENATE(C855,":",D855,":",E855),Comp!$1:$1,0),4),"1",""),"2:",SUBSTITUTE(ADDRESS(1,MATCH(CONCATENATE(C855,":",D855,":",E855),Comp!$1:$1,0),4),"1",""),"99"))),0)</f>
        <v>0</v>
      </c>
    </row>
    <row r="856" spans="1:55">
      <c r="A856" s="20" t="s">
        <v>73</v>
      </c>
      <c r="B856" s="21"/>
      <c r="C856" s="20"/>
      <c r="D856" s="22"/>
      <c r="E856" s="22"/>
      <c r="F856" s="21"/>
      <c r="G856" s="23"/>
      <c r="H856" s="24"/>
      <c r="I856" s="22"/>
      <c r="J856" s="22"/>
      <c r="K856" s="22"/>
      <c r="L856" s="21"/>
      <c r="M856" s="20"/>
      <c r="N856" s="20"/>
      <c r="O856" s="23"/>
      <c r="P856" s="21"/>
      <c r="Q856" s="20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1"/>
      <c r="AU856" s="25" t="str">
        <f t="shared" si="26"/>
        <v>1Q42</v>
      </c>
      <c r="AV856" t="str">
        <f t="shared" si="27"/>
        <v>1Q42</v>
      </c>
      <c r="BA856">
        <f ca="1">IF(COUNTBLANK(C856)=0,COUNTA(INDIRECT(CONCATENATE("Area!",LEFT(ADDRESS(1,MATCH(C856,Area!$1:$1,0),4),1),"2:",LEFT(ADDRESS(1,MATCH(C856,Area!$1:$1,0),4),1),"99"))),0)</f>
        <v>0</v>
      </c>
      <c r="BB856">
        <f ca="1">IF(COUNTBLANK(D856)=0,COUNTA(INDIRECT(CONCATENATE("Setup!",LEFT(ADDRESS(1,MATCH(CONCATENATE(C856,":",D856),Setup!$1:$1,0),4),1),"2:",LEFT(ADDRESS(1,MATCH(CONCATENATE(C856,":",D856),Setup!$1:$1,0),4),1),"99"))),0)</f>
        <v>0</v>
      </c>
      <c r="BC856">
        <f ca="1">IF(COUNTBLANK(E856)=0,COUNTA(INDIRECT(CONCATENATE("Comp!",SUBSTITUTE(ADDRESS(1,MATCH(CONCATENATE(C856,":",D856,":",E856),Comp!$1:$1,0),4),"1",""),"2:",SUBSTITUTE(ADDRESS(1,MATCH(CONCATENATE(C856,":",D856,":",E856),Comp!$1:$1,0),4),"1",""),"99"))),0)</f>
        <v>0</v>
      </c>
    </row>
    <row r="857" spans="1:55">
      <c r="A857" s="20" t="s">
        <v>73</v>
      </c>
      <c r="B857" s="21"/>
      <c r="C857" s="20"/>
      <c r="D857" s="22"/>
      <c r="E857" s="22"/>
      <c r="F857" s="21"/>
      <c r="G857" s="23"/>
      <c r="H857" s="24"/>
      <c r="I857" s="22"/>
      <c r="J857" s="22"/>
      <c r="K857" s="22"/>
      <c r="L857" s="21"/>
      <c r="M857" s="20"/>
      <c r="N857" s="20"/>
      <c r="O857" s="23"/>
      <c r="P857" s="21"/>
      <c r="Q857" s="20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1"/>
      <c r="AU857" s="25" t="str">
        <f t="shared" si="26"/>
        <v>1Q42</v>
      </c>
      <c r="AV857" t="str">
        <f t="shared" si="27"/>
        <v>1Q42</v>
      </c>
      <c r="BA857">
        <f ca="1">IF(COUNTBLANK(C857)=0,COUNTA(INDIRECT(CONCATENATE("Area!",LEFT(ADDRESS(1,MATCH(C857,Area!$1:$1,0),4),1),"2:",LEFT(ADDRESS(1,MATCH(C857,Area!$1:$1,0),4),1),"99"))),0)</f>
        <v>0</v>
      </c>
      <c r="BB857">
        <f ca="1">IF(COUNTBLANK(D857)=0,COUNTA(INDIRECT(CONCATENATE("Setup!",LEFT(ADDRESS(1,MATCH(CONCATENATE(C857,":",D857),Setup!$1:$1,0),4),1),"2:",LEFT(ADDRESS(1,MATCH(CONCATENATE(C857,":",D857),Setup!$1:$1,0),4),1),"99"))),0)</f>
        <v>0</v>
      </c>
      <c r="BC857">
        <f ca="1">IF(COUNTBLANK(E857)=0,COUNTA(INDIRECT(CONCATENATE("Comp!",SUBSTITUTE(ADDRESS(1,MATCH(CONCATENATE(C857,":",D857,":",E857),Comp!$1:$1,0),4),"1",""),"2:",SUBSTITUTE(ADDRESS(1,MATCH(CONCATENATE(C857,":",D857,":",E857),Comp!$1:$1,0),4),"1",""),"99"))),0)</f>
        <v>0</v>
      </c>
    </row>
    <row r="858" spans="1:55">
      <c r="A858" s="20" t="s">
        <v>73</v>
      </c>
      <c r="B858" s="21"/>
      <c r="C858" s="20"/>
      <c r="D858" s="22"/>
      <c r="E858" s="22"/>
      <c r="F858" s="21"/>
      <c r="G858" s="23"/>
      <c r="H858" s="24"/>
      <c r="I858" s="22"/>
      <c r="J858" s="22"/>
      <c r="K858" s="22"/>
      <c r="L858" s="21"/>
      <c r="M858" s="20"/>
      <c r="N858" s="20"/>
      <c r="O858" s="23"/>
      <c r="P858" s="21"/>
      <c r="Q858" s="20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1"/>
      <c r="AU858" s="25" t="str">
        <f t="shared" si="26"/>
        <v>1Q42</v>
      </c>
      <c r="AV858" t="str">
        <f t="shared" si="27"/>
        <v>1Q42</v>
      </c>
      <c r="BA858">
        <f ca="1">IF(COUNTBLANK(C858)=0,COUNTA(INDIRECT(CONCATENATE("Area!",LEFT(ADDRESS(1,MATCH(C858,Area!$1:$1,0),4),1),"2:",LEFT(ADDRESS(1,MATCH(C858,Area!$1:$1,0),4),1),"99"))),0)</f>
        <v>0</v>
      </c>
      <c r="BB858">
        <f ca="1">IF(COUNTBLANK(D858)=0,COUNTA(INDIRECT(CONCATENATE("Setup!",LEFT(ADDRESS(1,MATCH(CONCATENATE(C858,":",D858),Setup!$1:$1,0),4),1),"2:",LEFT(ADDRESS(1,MATCH(CONCATENATE(C858,":",D858),Setup!$1:$1,0),4),1),"99"))),0)</f>
        <v>0</v>
      </c>
      <c r="BC858">
        <f ca="1">IF(COUNTBLANK(E858)=0,COUNTA(INDIRECT(CONCATENATE("Comp!",SUBSTITUTE(ADDRESS(1,MATCH(CONCATENATE(C858,":",D858,":",E858),Comp!$1:$1,0),4),"1",""),"2:",SUBSTITUTE(ADDRESS(1,MATCH(CONCATENATE(C858,":",D858,":",E858),Comp!$1:$1,0),4),"1",""),"99"))),0)</f>
        <v>0</v>
      </c>
    </row>
    <row r="859" spans="1:55">
      <c r="A859" s="20" t="s">
        <v>73</v>
      </c>
      <c r="B859" s="21"/>
      <c r="C859" s="20"/>
      <c r="D859" s="22"/>
      <c r="E859" s="22"/>
      <c r="F859" s="21"/>
      <c r="G859" s="23"/>
      <c r="H859" s="24"/>
      <c r="I859" s="22"/>
      <c r="J859" s="22"/>
      <c r="K859" s="22"/>
      <c r="L859" s="21"/>
      <c r="M859" s="20"/>
      <c r="N859" s="20"/>
      <c r="O859" s="23"/>
      <c r="P859" s="21"/>
      <c r="Q859" s="20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1"/>
      <c r="AU859" s="25" t="str">
        <f t="shared" si="26"/>
        <v>1Q42</v>
      </c>
      <c r="AV859" t="str">
        <f t="shared" si="27"/>
        <v>1Q42</v>
      </c>
      <c r="BA859">
        <f ca="1">IF(COUNTBLANK(C859)=0,COUNTA(INDIRECT(CONCATENATE("Area!",LEFT(ADDRESS(1,MATCH(C859,Area!$1:$1,0),4),1),"2:",LEFT(ADDRESS(1,MATCH(C859,Area!$1:$1,0),4),1),"99"))),0)</f>
        <v>0</v>
      </c>
      <c r="BB859">
        <f ca="1">IF(COUNTBLANK(D859)=0,COUNTA(INDIRECT(CONCATENATE("Setup!",LEFT(ADDRESS(1,MATCH(CONCATENATE(C859,":",D859),Setup!$1:$1,0),4),1),"2:",LEFT(ADDRESS(1,MATCH(CONCATENATE(C859,":",D859),Setup!$1:$1,0),4),1),"99"))),0)</f>
        <v>0</v>
      </c>
      <c r="BC859">
        <f ca="1">IF(COUNTBLANK(E859)=0,COUNTA(INDIRECT(CONCATENATE("Comp!",SUBSTITUTE(ADDRESS(1,MATCH(CONCATENATE(C859,":",D859,":",E859),Comp!$1:$1,0),4),"1",""),"2:",SUBSTITUTE(ADDRESS(1,MATCH(CONCATENATE(C859,":",D859,":",E859),Comp!$1:$1,0),4),"1",""),"99"))),0)</f>
        <v>0</v>
      </c>
    </row>
    <row r="860" spans="1:55">
      <c r="A860" s="20" t="s">
        <v>73</v>
      </c>
      <c r="B860" s="21"/>
      <c r="C860" s="20"/>
      <c r="D860" s="22"/>
      <c r="E860" s="22"/>
      <c r="F860" s="21"/>
      <c r="G860" s="23"/>
      <c r="H860" s="24"/>
      <c r="I860" s="22"/>
      <c r="J860" s="22"/>
      <c r="K860" s="22"/>
      <c r="L860" s="21"/>
      <c r="M860" s="20"/>
      <c r="N860" s="20"/>
      <c r="O860" s="23"/>
      <c r="P860" s="21"/>
      <c r="Q860" s="20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1"/>
      <c r="AU860" s="25" t="str">
        <f t="shared" si="26"/>
        <v>1Q42</v>
      </c>
      <c r="AV860" t="str">
        <f t="shared" si="27"/>
        <v>1Q42</v>
      </c>
      <c r="BA860">
        <f ca="1">IF(COUNTBLANK(C860)=0,COUNTA(INDIRECT(CONCATENATE("Area!",LEFT(ADDRESS(1,MATCH(C860,Area!$1:$1,0),4),1),"2:",LEFT(ADDRESS(1,MATCH(C860,Area!$1:$1,0),4),1),"99"))),0)</f>
        <v>0</v>
      </c>
      <c r="BB860">
        <f ca="1">IF(COUNTBLANK(D860)=0,COUNTA(INDIRECT(CONCATENATE("Setup!",LEFT(ADDRESS(1,MATCH(CONCATENATE(C860,":",D860),Setup!$1:$1,0),4),1),"2:",LEFT(ADDRESS(1,MATCH(CONCATENATE(C860,":",D860),Setup!$1:$1,0),4),1),"99"))),0)</f>
        <v>0</v>
      </c>
      <c r="BC860">
        <f ca="1">IF(COUNTBLANK(E860)=0,COUNTA(INDIRECT(CONCATENATE("Comp!",SUBSTITUTE(ADDRESS(1,MATCH(CONCATENATE(C860,":",D860,":",E860),Comp!$1:$1,0),4),"1",""),"2:",SUBSTITUTE(ADDRESS(1,MATCH(CONCATENATE(C860,":",D860,":",E860),Comp!$1:$1,0),4),"1",""),"99"))),0)</f>
        <v>0</v>
      </c>
    </row>
    <row r="861" spans="1:55">
      <c r="A861" s="20" t="s">
        <v>73</v>
      </c>
      <c r="B861" s="21"/>
      <c r="C861" s="20"/>
      <c r="D861" s="22"/>
      <c r="E861" s="22"/>
      <c r="F861" s="21"/>
      <c r="G861" s="23"/>
      <c r="H861" s="24"/>
      <c r="I861" s="22"/>
      <c r="J861" s="22"/>
      <c r="K861" s="22"/>
      <c r="L861" s="21"/>
      <c r="M861" s="20"/>
      <c r="N861" s="20"/>
      <c r="O861" s="23"/>
      <c r="P861" s="21"/>
      <c r="Q861" s="20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1"/>
      <c r="AU861" s="25" t="str">
        <f t="shared" si="26"/>
        <v>1Q42</v>
      </c>
      <c r="AV861" t="str">
        <f t="shared" si="27"/>
        <v>1Q42</v>
      </c>
      <c r="BA861">
        <f ca="1">IF(COUNTBLANK(C861)=0,COUNTA(INDIRECT(CONCATENATE("Area!",LEFT(ADDRESS(1,MATCH(C861,Area!$1:$1,0),4),1),"2:",LEFT(ADDRESS(1,MATCH(C861,Area!$1:$1,0),4),1),"99"))),0)</f>
        <v>0</v>
      </c>
      <c r="BB861">
        <f ca="1">IF(COUNTBLANK(D861)=0,COUNTA(INDIRECT(CONCATENATE("Setup!",LEFT(ADDRESS(1,MATCH(CONCATENATE(C861,":",D861),Setup!$1:$1,0),4),1),"2:",LEFT(ADDRESS(1,MATCH(CONCATENATE(C861,":",D861),Setup!$1:$1,0),4),1),"99"))),0)</f>
        <v>0</v>
      </c>
      <c r="BC861">
        <f ca="1">IF(COUNTBLANK(E861)=0,COUNTA(INDIRECT(CONCATENATE("Comp!",SUBSTITUTE(ADDRESS(1,MATCH(CONCATENATE(C861,":",D861,":",E861),Comp!$1:$1,0),4),"1",""),"2:",SUBSTITUTE(ADDRESS(1,MATCH(CONCATENATE(C861,":",D861,":",E861),Comp!$1:$1,0),4),"1",""),"99"))),0)</f>
        <v>0</v>
      </c>
    </row>
    <row r="862" spans="1:55">
      <c r="A862" s="20" t="s">
        <v>73</v>
      </c>
      <c r="B862" s="21"/>
      <c r="C862" s="20"/>
      <c r="D862" s="22"/>
      <c r="E862" s="22"/>
      <c r="F862" s="21"/>
      <c r="G862" s="23"/>
      <c r="H862" s="24"/>
      <c r="I862" s="22"/>
      <c r="J862" s="22"/>
      <c r="K862" s="22"/>
      <c r="L862" s="21"/>
      <c r="M862" s="20"/>
      <c r="N862" s="20"/>
      <c r="O862" s="23"/>
      <c r="P862" s="21"/>
      <c r="Q862" s="20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1"/>
      <c r="AU862" s="25" t="str">
        <f t="shared" si="26"/>
        <v>1Q42</v>
      </c>
      <c r="AV862" t="str">
        <f t="shared" si="27"/>
        <v>1Q42</v>
      </c>
      <c r="BA862">
        <f ca="1">IF(COUNTBLANK(C862)=0,COUNTA(INDIRECT(CONCATENATE("Area!",LEFT(ADDRESS(1,MATCH(C862,Area!$1:$1,0),4),1),"2:",LEFT(ADDRESS(1,MATCH(C862,Area!$1:$1,0),4),1),"99"))),0)</f>
        <v>0</v>
      </c>
      <c r="BB862">
        <f ca="1">IF(COUNTBLANK(D862)=0,COUNTA(INDIRECT(CONCATENATE("Setup!",LEFT(ADDRESS(1,MATCH(CONCATENATE(C862,":",D862),Setup!$1:$1,0),4),1),"2:",LEFT(ADDRESS(1,MATCH(CONCATENATE(C862,":",D862),Setup!$1:$1,0),4),1),"99"))),0)</f>
        <v>0</v>
      </c>
      <c r="BC862">
        <f ca="1">IF(COUNTBLANK(E862)=0,COUNTA(INDIRECT(CONCATENATE("Comp!",SUBSTITUTE(ADDRESS(1,MATCH(CONCATENATE(C862,":",D862,":",E862),Comp!$1:$1,0),4),"1",""),"2:",SUBSTITUTE(ADDRESS(1,MATCH(CONCATENATE(C862,":",D862,":",E862),Comp!$1:$1,0),4),"1",""),"99"))),0)</f>
        <v>0</v>
      </c>
    </row>
    <row r="863" spans="1:55">
      <c r="A863" s="20" t="s">
        <v>73</v>
      </c>
      <c r="B863" s="21"/>
      <c r="C863" s="20"/>
      <c r="D863" s="22"/>
      <c r="E863" s="22"/>
      <c r="F863" s="21"/>
      <c r="G863" s="23"/>
      <c r="H863" s="24"/>
      <c r="I863" s="22"/>
      <c r="J863" s="22"/>
      <c r="K863" s="22"/>
      <c r="L863" s="21"/>
      <c r="M863" s="20"/>
      <c r="N863" s="20"/>
      <c r="O863" s="23"/>
      <c r="P863" s="21"/>
      <c r="Q863" s="20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1"/>
      <c r="AU863" s="25" t="str">
        <f t="shared" si="26"/>
        <v>1Q42</v>
      </c>
      <c r="AV863" t="str">
        <f t="shared" si="27"/>
        <v>1Q42</v>
      </c>
      <c r="BA863">
        <f ca="1">IF(COUNTBLANK(C863)=0,COUNTA(INDIRECT(CONCATENATE("Area!",LEFT(ADDRESS(1,MATCH(C863,Area!$1:$1,0),4),1),"2:",LEFT(ADDRESS(1,MATCH(C863,Area!$1:$1,0),4),1),"99"))),0)</f>
        <v>0</v>
      </c>
      <c r="BB863">
        <f ca="1">IF(COUNTBLANK(D863)=0,COUNTA(INDIRECT(CONCATENATE("Setup!",LEFT(ADDRESS(1,MATCH(CONCATENATE(C863,":",D863),Setup!$1:$1,0),4),1),"2:",LEFT(ADDRESS(1,MATCH(CONCATENATE(C863,":",D863),Setup!$1:$1,0),4),1),"99"))),0)</f>
        <v>0</v>
      </c>
      <c r="BC863">
        <f ca="1">IF(COUNTBLANK(E863)=0,COUNTA(INDIRECT(CONCATENATE("Comp!",SUBSTITUTE(ADDRESS(1,MATCH(CONCATENATE(C863,":",D863,":",E863),Comp!$1:$1,0),4),"1",""),"2:",SUBSTITUTE(ADDRESS(1,MATCH(CONCATENATE(C863,":",D863,":",E863),Comp!$1:$1,0),4),"1",""),"99"))),0)</f>
        <v>0</v>
      </c>
    </row>
    <row r="864" spans="1:55">
      <c r="A864" s="20" t="s">
        <v>73</v>
      </c>
      <c r="B864" s="21"/>
      <c r="C864" s="20"/>
      <c r="D864" s="22"/>
      <c r="E864" s="22"/>
      <c r="F864" s="21"/>
      <c r="G864" s="23"/>
      <c r="H864" s="24"/>
      <c r="I864" s="22"/>
      <c r="J864" s="22"/>
      <c r="K864" s="22"/>
      <c r="L864" s="21"/>
      <c r="M864" s="20"/>
      <c r="N864" s="20"/>
      <c r="O864" s="23"/>
      <c r="P864" s="21"/>
      <c r="Q864" s="20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1"/>
      <c r="AU864" s="25" t="str">
        <f t="shared" si="26"/>
        <v>1Q42</v>
      </c>
      <c r="AV864" t="str">
        <f t="shared" si="27"/>
        <v>1Q42</v>
      </c>
      <c r="BA864">
        <f ca="1">IF(COUNTBLANK(C864)=0,COUNTA(INDIRECT(CONCATENATE("Area!",LEFT(ADDRESS(1,MATCH(C864,Area!$1:$1,0),4),1),"2:",LEFT(ADDRESS(1,MATCH(C864,Area!$1:$1,0),4),1),"99"))),0)</f>
        <v>0</v>
      </c>
      <c r="BB864">
        <f ca="1">IF(COUNTBLANK(D864)=0,COUNTA(INDIRECT(CONCATENATE("Setup!",LEFT(ADDRESS(1,MATCH(CONCATENATE(C864,":",D864),Setup!$1:$1,0),4),1),"2:",LEFT(ADDRESS(1,MATCH(CONCATENATE(C864,":",D864),Setup!$1:$1,0),4),1),"99"))),0)</f>
        <v>0</v>
      </c>
      <c r="BC864">
        <f ca="1">IF(COUNTBLANK(E864)=0,COUNTA(INDIRECT(CONCATENATE("Comp!",SUBSTITUTE(ADDRESS(1,MATCH(CONCATENATE(C864,":",D864,":",E864),Comp!$1:$1,0),4),"1",""),"2:",SUBSTITUTE(ADDRESS(1,MATCH(CONCATENATE(C864,":",D864,":",E864),Comp!$1:$1,0),4),"1",""),"99"))),0)</f>
        <v>0</v>
      </c>
    </row>
    <row r="865" spans="1:55">
      <c r="A865" s="20" t="s">
        <v>73</v>
      </c>
      <c r="B865" s="21"/>
      <c r="C865" s="20"/>
      <c r="D865" s="22"/>
      <c r="E865" s="22"/>
      <c r="F865" s="21"/>
      <c r="G865" s="23"/>
      <c r="H865" s="24"/>
      <c r="I865" s="22"/>
      <c r="J865" s="22"/>
      <c r="K865" s="22"/>
      <c r="L865" s="21"/>
      <c r="M865" s="20"/>
      <c r="N865" s="20"/>
      <c r="O865" s="23"/>
      <c r="P865" s="21"/>
      <c r="Q865" s="20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1"/>
      <c r="AU865" s="25" t="str">
        <f t="shared" si="26"/>
        <v>1Q42</v>
      </c>
      <c r="AV865" t="str">
        <f t="shared" si="27"/>
        <v>1Q42</v>
      </c>
      <c r="BA865">
        <f ca="1">IF(COUNTBLANK(C865)=0,COUNTA(INDIRECT(CONCATENATE("Area!",LEFT(ADDRESS(1,MATCH(C865,Area!$1:$1,0),4),1),"2:",LEFT(ADDRESS(1,MATCH(C865,Area!$1:$1,0),4),1),"99"))),0)</f>
        <v>0</v>
      </c>
      <c r="BB865">
        <f ca="1">IF(COUNTBLANK(D865)=0,COUNTA(INDIRECT(CONCATENATE("Setup!",LEFT(ADDRESS(1,MATCH(CONCATENATE(C865,":",D865),Setup!$1:$1,0),4),1),"2:",LEFT(ADDRESS(1,MATCH(CONCATENATE(C865,":",D865),Setup!$1:$1,0),4),1),"99"))),0)</f>
        <v>0</v>
      </c>
      <c r="BC865">
        <f ca="1">IF(COUNTBLANK(E865)=0,COUNTA(INDIRECT(CONCATENATE("Comp!",SUBSTITUTE(ADDRESS(1,MATCH(CONCATENATE(C865,":",D865,":",E865),Comp!$1:$1,0),4),"1",""),"2:",SUBSTITUTE(ADDRESS(1,MATCH(CONCATENATE(C865,":",D865,":",E865),Comp!$1:$1,0),4),"1",""),"99"))),0)</f>
        <v>0</v>
      </c>
    </row>
    <row r="866" spans="1:55">
      <c r="A866" s="20" t="s">
        <v>73</v>
      </c>
      <c r="B866" s="21"/>
      <c r="C866" s="20"/>
      <c r="D866" s="22"/>
      <c r="E866" s="22"/>
      <c r="F866" s="21"/>
      <c r="G866" s="23"/>
      <c r="H866" s="24"/>
      <c r="I866" s="22"/>
      <c r="J866" s="22"/>
      <c r="K866" s="22"/>
      <c r="L866" s="21"/>
      <c r="M866" s="20"/>
      <c r="N866" s="20"/>
      <c r="O866" s="23"/>
      <c r="P866" s="21"/>
      <c r="Q866" s="20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1"/>
      <c r="AU866" s="25" t="str">
        <f t="shared" si="26"/>
        <v>1Q42</v>
      </c>
      <c r="AV866" t="str">
        <f t="shared" si="27"/>
        <v>1Q42</v>
      </c>
      <c r="BA866">
        <f ca="1">IF(COUNTBLANK(C866)=0,COUNTA(INDIRECT(CONCATENATE("Area!",LEFT(ADDRESS(1,MATCH(C866,Area!$1:$1,0),4),1),"2:",LEFT(ADDRESS(1,MATCH(C866,Area!$1:$1,0),4),1),"99"))),0)</f>
        <v>0</v>
      </c>
      <c r="BB866">
        <f ca="1">IF(COUNTBLANK(D866)=0,COUNTA(INDIRECT(CONCATENATE("Setup!",LEFT(ADDRESS(1,MATCH(CONCATENATE(C866,":",D866),Setup!$1:$1,0),4),1),"2:",LEFT(ADDRESS(1,MATCH(CONCATENATE(C866,":",D866),Setup!$1:$1,0),4),1),"99"))),0)</f>
        <v>0</v>
      </c>
      <c r="BC866">
        <f ca="1">IF(COUNTBLANK(E866)=0,COUNTA(INDIRECT(CONCATENATE("Comp!",SUBSTITUTE(ADDRESS(1,MATCH(CONCATENATE(C866,":",D866,":",E866),Comp!$1:$1,0),4),"1",""),"2:",SUBSTITUTE(ADDRESS(1,MATCH(CONCATENATE(C866,":",D866,":",E866),Comp!$1:$1,0),4),"1",""),"99"))),0)</f>
        <v>0</v>
      </c>
    </row>
    <row r="867" spans="1:55">
      <c r="A867" s="20" t="s">
        <v>73</v>
      </c>
      <c r="B867" s="21"/>
      <c r="C867" s="20"/>
      <c r="D867" s="22"/>
      <c r="E867" s="22"/>
      <c r="F867" s="21"/>
      <c r="G867" s="23"/>
      <c r="H867" s="24"/>
      <c r="I867" s="22"/>
      <c r="J867" s="22"/>
      <c r="K867" s="22"/>
      <c r="L867" s="21"/>
      <c r="M867" s="20"/>
      <c r="N867" s="20"/>
      <c r="O867" s="23"/>
      <c r="P867" s="21"/>
      <c r="Q867" s="20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1"/>
      <c r="AU867" s="25" t="str">
        <f t="shared" si="26"/>
        <v>1Q42</v>
      </c>
      <c r="AV867" t="str">
        <f t="shared" si="27"/>
        <v>1Q42</v>
      </c>
      <c r="BA867">
        <f ca="1">IF(COUNTBLANK(C867)=0,COUNTA(INDIRECT(CONCATENATE("Area!",LEFT(ADDRESS(1,MATCH(C867,Area!$1:$1,0),4),1),"2:",LEFT(ADDRESS(1,MATCH(C867,Area!$1:$1,0),4),1),"99"))),0)</f>
        <v>0</v>
      </c>
      <c r="BB867">
        <f ca="1">IF(COUNTBLANK(D867)=0,COUNTA(INDIRECT(CONCATENATE("Setup!",LEFT(ADDRESS(1,MATCH(CONCATENATE(C867,":",D867),Setup!$1:$1,0),4),1),"2:",LEFT(ADDRESS(1,MATCH(CONCATENATE(C867,":",D867),Setup!$1:$1,0),4),1),"99"))),0)</f>
        <v>0</v>
      </c>
      <c r="BC867">
        <f ca="1">IF(COUNTBLANK(E867)=0,COUNTA(INDIRECT(CONCATENATE("Comp!",SUBSTITUTE(ADDRESS(1,MATCH(CONCATENATE(C867,":",D867,":",E867),Comp!$1:$1,0),4),"1",""),"2:",SUBSTITUTE(ADDRESS(1,MATCH(CONCATENATE(C867,":",D867,":",E867),Comp!$1:$1,0),4),"1",""),"99"))),0)</f>
        <v>0</v>
      </c>
    </row>
    <row r="868" spans="1:55">
      <c r="A868" s="20" t="s">
        <v>73</v>
      </c>
      <c r="B868" s="21"/>
      <c r="C868" s="20"/>
      <c r="D868" s="22"/>
      <c r="E868" s="22"/>
      <c r="F868" s="21"/>
      <c r="G868" s="23"/>
      <c r="H868" s="24"/>
      <c r="I868" s="22"/>
      <c r="J868" s="22"/>
      <c r="K868" s="22"/>
      <c r="L868" s="21"/>
      <c r="M868" s="20"/>
      <c r="N868" s="20"/>
      <c r="O868" s="23"/>
      <c r="P868" s="21"/>
      <c r="Q868" s="20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1"/>
      <c r="AU868" s="25" t="str">
        <f t="shared" si="26"/>
        <v>1Q42</v>
      </c>
      <c r="AV868" t="str">
        <f t="shared" si="27"/>
        <v>1Q42</v>
      </c>
      <c r="BA868">
        <f ca="1">IF(COUNTBLANK(C868)=0,COUNTA(INDIRECT(CONCATENATE("Area!",LEFT(ADDRESS(1,MATCH(C868,Area!$1:$1,0),4),1),"2:",LEFT(ADDRESS(1,MATCH(C868,Area!$1:$1,0),4),1),"99"))),0)</f>
        <v>0</v>
      </c>
      <c r="BB868">
        <f ca="1">IF(COUNTBLANK(D868)=0,COUNTA(INDIRECT(CONCATENATE("Setup!",LEFT(ADDRESS(1,MATCH(CONCATENATE(C868,":",D868),Setup!$1:$1,0),4),1),"2:",LEFT(ADDRESS(1,MATCH(CONCATENATE(C868,":",D868),Setup!$1:$1,0),4),1),"99"))),0)</f>
        <v>0</v>
      </c>
      <c r="BC868">
        <f ca="1">IF(COUNTBLANK(E868)=0,COUNTA(INDIRECT(CONCATENATE("Comp!",SUBSTITUTE(ADDRESS(1,MATCH(CONCATENATE(C868,":",D868,":",E868),Comp!$1:$1,0),4),"1",""),"2:",SUBSTITUTE(ADDRESS(1,MATCH(CONCATENATE(C868,":",D868,":",E868),Comp!$1:$1,0),4),"1",""),"99"))),0)</f>
        <v>0</v>
      </c>
    </row>
    <row r="869" spans="1:55">
      <c r="A869" s="20" t="s">
        <v>73</v>
      </c>
      <c r="B869" s="21"/>
      <c r="C869" s="20"/>
      <c r="D869" s="22"/>
      <c r="E869" s="22"/>
      <c r="F869" s="21"/>
      <c r="G869" s="23"/>
      <c r="H869" s="24"/>
      <c r="I869" s="22"/>
      <c r="J869" s="22"/>
      <c r="K869" s="22"/>
      <c r="L869" s="21"/>
      <c r="M869" s="20"/>
      <c r="N869" s="20"/>
      <c r="O869" s="23"/>
      <c r="P869" s="21"/>
      <c r="Q869" s="20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1"/>
      <c r="AU869" s="25" t="str">
        <f t="shared" si="26"/>
        <v>1Q42</v>
      </c>
      <c r="AV869" t="str">
        <f t="shared" si="27"/>
        <v>1Q42</v>
      </c>
      <c r="BA869">
        <f ca="1">IF(COUNTBLANK(C869)=0,COUNTA(INDIRECT(CONCATENATE("Area!",LEFT(ADDRESS(1,MATCH(C869,Area!$1:$1,0),4),1),"2:",LEFT(ADDRESS(1,MATCH(C869,Area!$1:$1,0),4),1),"99"))),0)</f>
        <v>0</v>
      </c>
      <c r="BB869">
        <f ca="1">IF(COUNTBLANK(D869)=0,COUNTA(INDIRECT(CONCATENATE("Setup!",LEFT(ADDRESS(1,MATCH(CONCATENATE(C869,":",D869),Setup!$1:$1,0),4),1),"2:",LEFT(ADDRESS(1,MATCH(CONCATENATE(C869,":",D869),Setup!$1:$1,0),4),1),"99"))),0)</f>
        <v>0</v>
      </c>
      <c r="BC869">
        <f ca="1">IF(COUNTBLANK(E869)=0,COUNTA(INDIRECT(CONCATENATE("Comp!",SUBSTITUTE(ADDRESS(1,MATCH(CONCATENATE(C869,":",D869,":",E869),Comp!$1:$1,0),4),"1",""),"2:",SUBSTITUTE(ADDRESS(1,MATCH(CONCATENATE(C869,":",D869,":",E869),Comp!$1:$1,0),4),"1",""),"99"))),0)</f>
        <v>0</v>
      </c>
    </row>
    <row r="870" spans="1:55">
      <c r="A870" s="20" t="s">
        <v>73</v>
      </c>
      <c r="B870" s="21"/>
      <c r="C870" s="20"/>
      <c r="D870" s="22"/>
      <c r="E870" s="22"/>
      <c r="F870" s="21"/>
      <c r="G870" s="23"/>
      <c r="H870" s="24"/>
      <c r="I870" s="22"/>
      <c r="J870" s="22"/>
      <c r="K870" s="22"/>
      <c r="L870" s="21"/>
      <c r="M870" s="20"/>
      <c r="N870" s="20"/>
      <c r="O870" s="23"/>
      <c r="P870" s="21"/>
      <c r="Q870" s="20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1"/>
      <c r="AU870" s="25" t="str">
        <f t="shared" si="26"/>
        <v>1Q42</v>
      </c>
      <c r="AV870" t="str">
        <f t="shared" si="27"/>
        <v>1Q42</v>
      </c>
      <c r="BA870">
        <f ca="1">IF(COUNTBLANK(C870)=0,COUNTA(INDIRECT(CONCATENATE("Area!",LEFT(ADDRESS(1,MATCH(C870,Area!$1:$1,0),4),1),"2:",LEFT(ADDRESS(1,MATCH(C870,Area!$1:$1,0),4),1),"99"))),0)</f>
        <v>0</v>
      </c>
      <c r="BB870">
        <f ca="1">IF(COUNTBLANK(D870)=0,COUNTA(INDIRECT(CONCATENATE("Setup!",LEFT(ADDRESS(1,MATCH(CONCATENATE(C870,":",D870),Setup!$1:$1,0),4),1),"2:",LEFT(ADDRESS(1,MATCH(CONCATENATE(C870,":",D870),Setup!$1:$1,0),4),1),"99"))),0)</f>
        <v>0</v>
      </c>
      <c r="BC870">
        <f ca="1">IF(COUNTBLANK(E870)=0,COUNTA(INDIRECT(CONCATENATE("Comp!",SUBSTITUTE(ADDRESS(1,MATCH(CONCATENATE(C870,":",D870,":",E870),Comp!$1:$1,0),4),"1",""),"2:",SUBSTITUTE(ADDRESS(1,MATCH(CONCATENATE(C870,":",D870,":",E870),Comp!$1:$1,0),4),"1",""),"99"))),0)</f>
        <v>0</v>
      </c>
    </row>
    <row r="871" spans="1:55">
      <c r="A871" s="20" t="s">
        <v>73</v>
      </c>
      <c r="B871" s="21"/>
      <c r="C871" s="20"/>
      <c r="D871" s="22"/>
      <c r="E871" s="22"/>
      <c r="F871" s="21"/>
      <c r="G871" s="23"/>
      <c r="H871" s="24"/>
      <c r="I871" s="22"/>
      <c r="J871" s="22"/>
      <c r="K871" s="22"/>
      <c r="L871" s="21"/>
      <c r="M871" s="20"/>
      <c r="N871" s="20"/>
      <c r="O871" s="23"/>
      <c r="P871" s="21"/>
      <c r="Q871" s="20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1"/>
      <c r="AU871" s="25" t="str">
        <f t="shared" si="26"/>
        <v>1Q42</v>
      </c>
      <c r="AV871" t="str">
        <f t="shared" si="27"/>
        <v>1Q42</v>
      </c>
      <c r="BA871">
        <f ca="1">IF(COUNTBLANK(C871)=0,COUNTA(INDIRECT(CONCATENATE("Area!",LEFT(ADDRESS(1,MATCH(C871,Area!$1:$1,0),4),1),"2:",LEFT(ADDRESS(1,MATCH(C871,Area!$1:$1,0),4),1),"99"))),0)</f>
        <v>0</v>
      </c>
      <c r="BB871">
        <f ca="1">IF(COUNTBLANK(D871)=0,COUNTA(INDIRECT(CONCATENATE("Setup!",LEFT(ADDRESS(1,MATCH(CONCATENATE(C871,":",D871),Setup!$1:$1,0),4),1),"2:",LEFT(ADDRESS(1,MATCH(CONCATENATE(C871,":",D871),Setup!$1:$1,0),4),1),"99"))),0)</f>
        <v>0</v>
      </c>
      <c r="BC871">
        <f ca="1">IF(COUNTBLANK(E871)=0,COUNTA(INDIRECT(CONCATENATE("Comp!",SUBSTITUTE(ADDRESS(1,MATCH(CONCATENATE(C871,":",D871,":",E871),Comp!$1:$1,0),4),"1",""),"2:",SUBSTITUTE(ADDRESS(1,MATCH(CONCATENATE(C871,":",D871,":",E871),Comp!$1:$1,0),4),"1",""),"99"))),0)</f>
        <v>0</v>
      </c>
    </row>
    <row r="872" spans="1:55">
      <c r="A872" s="20" t="s">
        <v>73</v>
      </c>
      <c r="B872" s="21"/>
      <c r="C872" s="20"/>
      <c r="D872" s="22"/>
      <c r="E872" s="22"/>
      <c r="F872" s="21"/>
      <c r="G872" s="23"/>
      <c r="H872" s="24"/>
      <c r="I872" s="22"/>
      <c r="J872" s="22"/>
      <c r="K872" s="22"/>
      <c r="L872" s="21"/>
      <c r="M872" s="20"/>
      <c r="N872" s="20"/>
      <c r="O872" s="23"/>
      <c r="P872" s="21"/>
      <c r="Q872" s="20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1"/>
      <c r="AU872" s="25" t="str">
        <f t="shared" si="26"/>
        <v>1Q42</v>
      </c>
      <c r="AV872" t="str">
        <f t="shared" si="27"/>
        <v>1Q42</v>
      </c>
      <c r="BA872">
        <f ca="1">IF(COUNTBLANK(C872)=0,COUNTA(INDIRECT(CONCATENATE("Area!",LEFT(ADDRESS(1,MATCH(C872,Area!$1:$1,0),4),1),"2:",LEFT(ADDRESS(1,MATCH(C872,Area!$1:$1,0),4),1),"99"))),0)</f>
        <v>0</v>
      </c>
      <c r="BB872">
        <f ca="1">IF(COUNTBLANK(D872)=0,COUNTA(INDIRECT(CONCATENATE("Setup!",LEFT(ADDRESS(1,MATCH(CONCATENATE(C872,":",D872),Setup!$1:$1,0),4),1),"2:",LEFT(ADDRESS(1,MATCH(CONCATENATE(C872,":",D872),Setup!$1:$1,0),4),1),"99"))),0)</f>
        <v>0</v>
      </c>
      <c r="BC872">
        <f ca="1">IF(COUNTBLANK(E872)=0,COUNTA(INDIRECT(CONCATENATE("Comp!",SUBSTITUTE(ADDRESS(1,MATCH(CONCATENATE(C872,":",D872,":",E872),Comp!$1:$1,0),4),"1",""),"2:",SUBSTITUTE(ADDRESS(1,MATCH(CONCATENATE(C872,":",D872,":",E872),Comp!$1:$1,0),4),"1",""),"99"))),0)</f>
        <v>0</v>
      </c>
    </row>
    <row r="873" spans="1:55">
      <c r="A873" s="20" t="s">
        <v>73</v>
      </c>
      <c r="B873" s="21"/>
      <c r="C873" s="20"/>
      <c r="D873" s="22"/>
      <c r="E873" s="22"/>
      <c r="F873" s="21"/>
      <c r="G873" s="23"/>
      <c r="H873" s="24"/>
      <c r="I873" s="22"/>
      <c r="J873" s="22"/>
      <c r="K873" s="22"/>
      <c r="L873" s="21"/>
      <c r="M873" s="20"/>
      <c r="N873" s="20"/>
      <c r="O873" s="23"/>
      <c r="P873" s="21"/>
      <c r="Q873" s="20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1"/>
      <c r="AU873" s="25" t="str">
        <f t="shared" si="26"/>
        <v>1Q42</v>
      </c>
      <c r="AV873" t="str">
        <f t="shared" si="27"/>
        <v>1Q42</v>
      </c>
      <c r="BA873">
        <f ca="1">IF(COUNTBLANK(C873)=0,COUNTA(INDIRECT(CONCATENATE("Area!",LEFT(ADDRESS(1,MATCH(C873,Area!$1:$1,0),4),1),"2:",LEFT(ADDRESS(1,MATCH(C873,Area!$1:$1,0),4),1),"99"))),0)</f>
        <v>0</v>
      </c>
      <c r="BB873">
        <f ca="1">IF(COUNTBLANK(D873)=0,COUNTA(INDIRECT(CONCATENATE("Setup!",LEFT(ADDRESS(1,MATCH(CONCATENATE(C873,":",D873),Setup!$1:$1,0),4),1),"2:",LEFT(ADDRESS(1,MATCH(CONCATENATE(C873,":",D873),Setup!$1:$1,0),4),1),"99"))),0)</f>
        <v>0</v>
      </c>
      <c r="BC873">
        <f ca="1">IF(COUNTBLANK(E873)=0,COUNTA(INDIRECT(CONCATENATE("Comp!",SUBSTITUTE(ADDRESS(1,MATCH(CONCATENATE(C873,":",D873,":",E873),Comp!$1:$1,0),4),"1",""),"2:",SUBSTITUTE(ADDRESS(1,MATCH(CONCATENATE(C873,":",D873,":",E873),Comp!$1:$1,0),4),"1",""),"99"))),0)</f>
        <v>0</v>
      </c>
    </row>
    <row r="874" spans="1:55">
      <c r="A874" s="20" t="s">
        <v>73</v>
      </c>
      <c r="B874" s="21"/>
      <c r="C874" s="20"/>
      <c r="D874" s="22"/>
      <c r="E874" s="22"/>
      <c r="F874" s="21"/>
      <c r="G874" s="23"/>
      <c r="H874" s="24"/>
      <c r="I874" s="22"/>
      <c r="J874" s="22"/>
      <c r="K874" s="22"/>
      <c r="L874" s="21"/>
      <c r="M874" s="20"/>
      <c r="N874" s="20"/>
      <c r="O874" s="23"/>
      <c r="P874" s="21"/>
      <c r="Q874" s="20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1"/>
      <c r="AU874" s="25" t="str">
        <f t="shared" si="26"/>
        <v>1Q42</v>
      </c>
      <c r="AV874" t="str">
        <f t="shared" si="27"/>
        <v>1Q42</v>
      </c>
      <c r="BA874">
        <f ca="1">IF(COUNTBLANK(C874)=0,COUNTA(INDIRECT(CONCATENATE("Area!",LEFT(ADDRESS(1,MATCH(C874,Area!$1:$1,0),4),1),"2:",LEFT(ADDRESS(1,MATCH(C874,Area!$1:$1,0),4),1),"99"))),0)</f>
        <v>0</v>
      </c>
      <c r="BB874">
        <f ca="1">IF(COUNTBLANK(D874)=0,COUNTA(INDIRECT(CONCATENATE("Setup!",LEFT(ADDRESS(1,MATCH(CONCATENATE(C874,":",D874),Setup!$1:$1,0),4),1),"2:",LEFT(ADDRESS(1,MATCH(CONCATENATE(C874,":",D874),Setup!$1:$1,0),4),1),"99"))),0)</f>
        <v>0</v>
      </c>
      <c r="BC874">
        <f ca="1">IF(COUNTBLANK(E874)=0,COUNTA(INDIRECT(CONCATENATE("Comp!",SUBSTITUTE(ADDRESS(1,MATCH(CONCATENATE(C874,":",D874,":",E874),Comp!$1:$1,0),4),"1",""),"2:",SUBSTITUTE(ADDRESS(1,MATCH(CONCATENATE(C874,":",D874,":",E874),Comp!$1:$1,0),4),"1",""),"99"))),0)</f>
        <v>0</v>
      </c>
    </row>
    <row r="875" spans="1:55">
      <c r="A875" s="20" t="s">
        <v>73</v>
      </c>
      <c r="B875" s="21"/>
      <c r="C875" s="20"/>
      <c r="D875" s="22"/>
      <c r="E875" s="22"/>
      <c r="F875" s="21"/>
      <c r="G875" s="23"/>
      <c r="H875" s="24"/>
      <c r="I875" s="22"/>
      <c r="J875" s="22"/>
      <c r="K875" s="22"/>
      <c r="L875" s="21"/>
      <c r="M875" s="20"/>
      <c r="N875" s="20"/>
      <c r="O875" s="23"/>
      <c r="P875" s="21"/>
      <c r="Q875" s="20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1"/>
      <c r="AU875" s="25" t="str">
        <f t="shared" si="26"/>
        <v>1Q42</v>
      </c>
      <c r="AV875" t="str">
        <f t="shared" si="27"/>
        <v>1Q42</v>
      </c>
      <c r="BA875">
        <f ca="1">IF(COUNTBLANK(C875)=0,COUNTA(INDIRECT(CONCATENATE("Area!",LEFT(ADDRESS(1,MATCH(C875,Area!$1:$1,0),4),1),"2:",LEFT(ADDRESS(1,MATCH(C875,Area!$1:$1,0),4),1),"99"))),0)</f>
        <v>0</v>
      </c>
      <c r="BB875">
        <f ca="1">IF(COUNTBLANK(D875)=0,COUNTA(INDIRECT(CONCATENATE("Setup!",LEFT(ADDRESS(1,MATCH(CONCATENATE(C875,":",D875),Setup!$1:$1,0),4),1),"2:",LEFT(ADDRESS(1,MATCH(CONCATENATE(C875,":",D875),Setup!$1:$1,0),4),1),"99"))),0)</f>
        <v>0</v>
      </c>
      <c r="BC875">
        <f ca="1">IF(COUNTBLANK(E875)=0,COUNTA(INDIRECT(CONCATENATE("Comp!",SUBSTITUTE(ADDRESS(1,MATCH(CONCATENATE(C875,":",D875,":",E875),Comp!$1:$1,0),4),"1",""),"2:",SUBSTITUTE(ADDRESS(1,MATCH(CONCATENATE(C875,":",D875,":",E875),Comp!$1:$1,0),4),"1",""),"99"))),0)</f>
        <v>0</v>
      </c>
    </row>
    <row r="876" spans="1:55">
      <c r="A876" s="20" t="s">
        <v>73</v>
      </c>
      <c r="B876" s="21"/>
      <c r="C876" s="20"/>
      <c r="D876" s="22"/>
      <c r="E876" s="22"/>
      <c r="F876" s="21"/>
      <c r="G876" s="23"/>
      <c r="H876" s="24"/>
      <c r="I876" s="22"/>
      <c r="J876" s="22"/>
      <c r="K876" s="22"/>
      <c r="L876" s="21"/>
      <c r="M876" s="20"/>
      <c r="N876" s="20"/>
      <c r="O876" s="23"/>
      <c r="P876" s="21"/>
      <c r="Q876" s="20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1"/>
      <c r="AU876" s="25" t="str">
        <f t="shared" si="26"/>
        <v>1Q42</v>
      </c>
      <c r="AV876" t="str">
        <f t="shared" si="27"/>
        <v>1Q42</v>
      </c>
      <c r="BA876">
        <f ca="1">IF(COUNTBLANK(C876)=0,COUNTA(INDIRECT(CONCATENATE("Area!",LEFT(ADDRESS(1,MATCH(C876,Area!$1:$1,0),4),1),"2:",LEFT(ADDRESS(1,MATCH(C876,Area!$1:$1,0),4),1),"99"))),0)</f>
        <v>0</v>
      </c>
      <c r="BB876">
        <f ca="1">IF(COUNTBLANK(D876)=0,COUNTA(INDIRECT(CONCATENATE("Setup!",LEFT(ADDRESS(1,MATCH(CONCATENATE(C876,":",D876),Setup!$1:$1,0),4),1),"2:",LEFT(ADDRESS(1,MATCH(CONCATENATE(C876,":",D876),Setup!$1:$1,0),4),1),"99"))),0)</f>
        <v>0</v>
      </c>
      <c r="BC876">
        <f ca="1">IF(COUNTBLANK(E876)=0,COUNTA(INDIRECT(CONCATENATE("Comp!",SUBSTITUTE(ADDRESS(1,MATCH(CONCATENATE(C876,":",D876,":",E876),Comp!$1:$1,0),4),"1",""),"2:",SUBSTITUTE(ADDRESS(1,MATCH(CONCATENATE(C876,":",D876,":",E876),Comp!$1:$1,0),4),"1",""),"99"))),0)</f>
        <v>0</v>
      </c>
    </row>
    <row r="877" spans="1:55">
      <c r="A877" s="20" t="s">
        <v>73</v>
      </c>
      <c r="B877" s="21"/>
      <c r="C877" s="20"/>
      <c r="D877" s="22"/>
      <c r="E877" s="22"/>
      <c r="F877" s="21"/>
      <c r="G877" s="23"/>
      <c r="H877" s="24"/>
      <c r="I877" s="22"/>
      <c r="J877" s="22"/>
      <c r="K877" s="22"/>
      <c r="L877" s="21"/>
      <c r="M877" s="20"/>
      <c r="N877" s="20"/>
      <c r="O877" s="23"/>
      <c r="P877" s="21"/>
      <c r="Q877" s="20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1"/>
      <c r="AU877" s="25" t="str">
        <f t="shared" si="26"/>
        <v>1Q42</v>
      </c>
      <c r="AV877" t="str">
        <f t="shared" si="27"/>
        <v>1Q42</v>
      </c>
      <c r="BA877">
        <f ca="1">IF(COUNTBLANK(C877)=0,COUNTA(INDIRECT(CONCATENATE("Area!",LEFT(ADDRESS(1,MATCH(C877,Area!$1:$1,0),4),1),"2:",LEFT(ADDRESS(1,MATCH(C877,Area!$1:$1,0),4),1),"99"))),0)</f>
        <v>0</v>
      </c>
      <c r="BB877">
        <f ca="1">IF(COUNTBLANK(D877)=0,COUNTA(INDIRECT(CONCATENATE("Setup!",LEFT(ADDRESS(1,MATCH(CONCATENATE(C877,":",D877),Setup!$1:$1,0),4),1),"2:",LEFT(ADDRESS(1,MATCH(CONCATENATE(C877,":",D877),Setup!$1:$1,0),4),1),"99"))),0)</f>
        <v>0</v>
      </c>
      <c r="BC877">
        <f ca="1">IF(COUNTBLANK(E877)=0,COUNTA(INDIRECT(CONCATENATE("Comp!",SUBSTITUTE(ADDRESS(1,MATCH(CONCATENATE(C877,":",D877,":",E877),Comp!$1:$1,0),4),"1",""),"2:",SUBSTITUTE(ADDRESS(1,MATCH(CONCATENATE(C877,":",D877,":",E877),Comp!$1:$1,0),4),"1",""),"99"))),0)</f>
        <v>0</v>
      </c>
    </row>
    <row r="878" spans="1:55">
      <c r="A878" s="20" t="s">
        <v>73</v>
      </c>
      <c r="B878" s="21"/>
      <c r="C878" s="20"/>
      <c r="D878" s="22"/>
      <c r="E878" s="22"/>
      <c r="F878" s="21"/>
      <c r="G878" s="23"/>
      <c r="H878" s="24"/>
      <c r="I878" s="22"/>
      <c r="J878" s="22"/>
      <c r="K878" s="22"/>
      <c r="L878" s="21"/>
      <c r="M878" s="20"/>
      <c r="N878" s="20"/>
      <c r="O878" s="23"/>
      <c r="P878" s="21"/>
      <c r="Q878" s="20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1"/>
      <c r="AU878" s="25" t="str">
        <f t="shared" si="26"/>
        <v>1Q42</v>
      </c>
      <c r="AV878" t="str">
        <f t="shared" si="27"/>
        <v>1Q42</v>
      </c>
      <c r="BA878">
        <f ca="1">IF(COUNTBLANK(C878)=0,COUNTA(INDIRECT(CONCATENATE("Area!",LEFT(ADDRESS(1,MATCH(C878,Area!$1:$1,0),4),1),"2:",LEFT(ADDRESS(1,MATCH(C878,Area!$1:$1,0),4),1),"99"))),0)</f>
        <v>0</v>
      </c>
      <c r="BB878">
        <f ca="1">IF(COUNTBLANK(D878)=0,COUNTA(INDIRECT(CONCATENATE("Setup!",LEFT(ADDRESS(1,MATCH(CONCATENATE(C878,":",D878),Setup!$1:$1,0),4),1),"2:",LEFT(ADDRESS(1,MATCH(CONCATENATE(C878,":",D878),Setup!$1:$1,0),4),1),"99"))),0)</f>
        <v>0</v>
      </c>
      <c r="BC878">
        <f ca="1">IF(COUNTBLANK(E878)=0,COUNTA(INDIRECT(CONCATENATE("Comp!",SUBSTITUTE(ADDRESS(1,MATCH(CONCATENATE(C878,":",D878,":",E878),Comp!$1:$1,0),4),"1",""),"2:",SUBSTITUTE(ADDRESS(1,MATCH(CONCATENATE(C878,":",D878,":",E878),Comp!$1:$1,0),4),"1",""),"99"))),0)</f>
        <v>0</v>
      </c>
    </row>
    <row r="879" spans="1:55">
      <c r="A879" s="20" t="s">
        <v>73</v>
      </c>
      <c r="B879" s="21"/>
      <c r="C879" s="20"/>
      <c r="D879" s="22"/>
      <c r="E879" s="22"/>
      <c r="F879" s="21"/>
      <c r="G879" s="23"/>
      <c r="H879" s="24"/>
      <c r="I879" s="22"/>
      <c r="J879" s="22"/>
      <c r="K879" s="22"/>
      <c r="L879" s="21"/>
      <c r="M879" s="20"/>
      <c r="N879" s="20"/>
      <c r="O879" s="23"/>
      <c r="P879" s="21"/>
      <c r="Q879" s="20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1"/>
      <c r="AU879" s="25" t="str">
        <f t="shared" si="26"/>
        <v>1Q42</v>
      </c>
      <c r="AV879" t="str">
        <f t="shared" si="27"/>
        <v>1Q42</v>
      </c>
      <c r="BA879">
        <f ca="1">IF(COUNTBLANK(C879)=0,COUNTA(INDIRECT(CONCATENATE("Area!",LEFT(ADDRESS(1,MATCH(C879,Area!$1:$1,0),4),1),"2:",LEFT(ADDRESS(1,MATCH(C879,Area!$1:$1,0),4),1),"99"))),0)</f>
        <v>0</v>
      </c>
      <c r="BB879">
        <f ca="1">IF(COUNTBLANK(D879)=0,COUNTA(INDIRECT(CONCATENATE("Setup!",LEFT(ADDRESS(1,MATCH(CONCATENATE(C879,":",D879),Setup!$1:$1,0),4),1),"2:",LEFT(ADDRESS(1,MATCH(CONCATENATE(C879,":",D879),Setup!$1:$1,0),4),1),"99"))),0)</f>
        <v>0</v>
      </c>
      <c r="BC879">
        <f ca="1">IF(COUNTBLANK(E879)=0,COUNTA(INDIRECT(CONCATENATE("Comp!",SUBSTITUTE(ADDRESS(1,MATCH(CONCATENATE(C879,":",D879,":",E879),Comp!$1:$1,0),4),"1",""),"2:",SUBSTITUTE(ADDRESS(1,MATCH(CONCATENATE(C879,":",D879,":",E879),Comp!$1:$1,0),4),"1",""),"99"))),0)</f>
        <v>0</v>
      </c>
    </row>
    <row r="880" spans="1:55">
      <c r="A880" s="20" t="s">
        <v>73</v>
      </c>
      <c r="B880" s="21"/>
      <c r="C880" s="20"/>
      <c r="D880" s="22"/>
      <c r="E880" s="22"/>
      <c r="F880" s="21"/>
      <c r="G880" s="23"/>
      <c r="H880" s="24"/>
      <c r="I880" s="22"/>
      <c r="J880" s="22"/>
      <c r="K880" s="22"/>
      <c r="L880" s="21"/>
      <c r="M880" s="20"/>
      <c r="N880" s="20"/>
      <c r="O880" s="23"/>
      <c r="P880" s="21"/>
      <c r="Q880" s="20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1"/>
      <c r="AU880" s="25" t="str">
        <f t="shared" si="26"/>
        <v>1Q42</v>
      </c>
      <c r="AV880" t="str">
        <f t="shared" si="27"/>
        <v>1Q42</v>
      </c>
      <c r="BA880">
        <f ca="1">IF(COUNTBLANK(C880)=0,COUNTA(INDIRECT(CONCATENATE("Area!",LEFT(ADDRESS(1,MATCH(C880,Area!$1:$1,0),4),1),"2:",LEFT(ADDRESS(1,MATCH(C880,Area!$1:$1,0),4),1),"99"))),0)</f>
        <v>0</v>
      </c>
      <c r="BB880">
        <f ca="1">IF(COUNTBLANK(D880)=0,COUNTA(INDIRECT(CONCATENATE("Setup!",LEFT(ADDRESS(1,MATCH(CONCATENATE(C880,":",D880),Setup!$1:$1,0),4),1),"2:",LEFT(ADDRESS(1,MATCH(CONCATENATE(C880,":",D880),Setup!$1:$1,0),4),1),"99"))),0)</f>
        <v>0</v>
      </c>
      <c r="BC880">
        <f ca="1">IF(COUNTBLANK(E880)=0,COUNTA(INDIRECT(CONCATENATE("Comp!",SUBSTITUTE(ADDRESS(1,MATCH(CONCATENATE(C880,":",D880,":",E880),Comp!$1:$1,0),4),"1",""),"2:",SUBSTITUTE(ADDRESS(1,MATCH(CONCATENATE(C880,":",D880,":",E880),Comp!$1:$1,0),4),"1",""),"99"))),0)</f>
        <v>0</v>
      </c>
    </row>
    <row r="881" spans="1:55">
      <c r="A881" s="20" t="s">
        <v>73</v>
      </c>
      <c r="B881" s="21"/>
      <c r="C881" s="20"/>
      <c r="D881" s="22"/>
      <c r="E881" s="22"/>
      <c r="F881" s="21"/>
      <c r="G881" s="23"/>
      <c r="H881" s="24"/>
      <c r="I881" s="22"/>
      <c r="J881" s="22"/>
      <c r="K881" s="22"/>
      <c r="L881" s="21"/>
      <c r="M881" s="20"/>
      <c r="N881" s="20"/>
      <c r="O881" s="23"/>
      <c r="P881" s="21"/>
      <c r="Q881" s="20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1"/>
      <c r="AU881" s="25" t="str">
        <f t="shared" si="26"/>
        <v>1Q42</v>
      </c>
      <c r="AV881" t="str">
        <f t="shared" si="27"/>
        <v>1Q42</v>
      </c>
      <c r="BA881">
        <f ca="1">IF(COUNTBLANK(C881)=0,COUNTA(INDIRECT(CONCATENATE("Area!",LEFT(ADDRESS(1,MATCH(C881,Area!$1:$1,0),4),1),"2:",LEFT(ADDRESS(1,MATCH(C881,Area!$1:$1,0),4),1),"99"))),0)</f>
        <v>0</v>
      </c>
      <c r="BB881">
        <f ca="1">IF(COUNTBLANK(D881)=0,COUNTA(INDIRECT(CONCATENATE("Setup!",LEFT(ADDRESS(1,MATCH(CONCATENATE(C881,":",D881),Setup!$1:$1,0),4),1),"2:",LEFT(ADDRESS(1,MATCH(CONCATENATE(C881,":",D881),Setup!$1:$1,0),4),1),"99"))),0)</f>
        <v>0</v>
      </c>
      <c r="BC881">
        <f ca="1">IF(COUNTBLANK(E881)=0,COUNTA(INDIRECT(CONCATENATE("Comp!",SUBSTITUTE(ADDRESS(1,MATCH(CONCATENATE(C881,":",D881,":",E881),Comp!$1:$1,0),4),"1",""),"2:",SUBSTITUTE(ADDRESS(1,MATCH(CONCATENATE(C881,":",D881,":",E881),Comp!$1:$1,0),4),"1",""),"99"))),0)</f>
        <v>0</v>
      </c>
    </row>
    <row r="882" spans="1:55">
      <c r="A882" s="20" t="s">
        <v>73</v>
      </c>
      <c r="B882" s="21"/>
      <c r="C882" s="20"/>
      <c r="D882" s="22"/>
      <c r="E882" s="22"/>
      <c r="F882" s="21"/>
      <c r="G882" s="23"/>
      <c r="H882" s="24"/>
      <c r="I882" s="22"/>
      <c r="J882" s="22"/>
      <c r="K882" s="22"/>
      <c r="L882" s="21"/>
      <c r="M882" s="20"/>
      <c r="N882" s="20"/>
      <c r="O882" s="23"/>
      <c r="P882" s="21"/>
      <c r="Q882" s="20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1"/>
      <c r="AU882" s="25" t="str">
        <f t="shared" si="26"/>
        <v>1Q42</v>
      </c>
      <c r="AV882" t="str">
        <f t="shared" si="27"/>
        <v>1Q42</v>
      </c>
      <c r="BA882">
        <f ca="1">IF(COUNTBLANK(C882)=0,COUNTA(INDIRECT(CONCATENATE("Area!",LEFT(ADDRESS(1,MATCH(C882,Area!$1:$1,0),4),1),"2:",LEFT(ADDRESS(1,MATCH(C882,Area!$1:$1,0),4),1),"99"))),0)</f>
        <v>0</v>
      </c>
      <c r="BB882">
        <f ca="1">IF(COUNTBLANK(D882)=0,COUNTA(INDIRECT(CONCATENATE("Setup!",LEFT(ADDRESS(1,MATCH(CONCATENATE(C882,":",D882),Setup!$1:$1,0),4),1),"2:",LEFT(ADDRESS(1,MATCH(CONCATENATE(C882,":",D882),Setup!$1:$1,0),4),1),"99"))),0)</f>
        <v>0</v>
      </c>
      <c r="BC882">
        <f ca="1">IF(COUNTBLANK(E882)=0,COUNTA(INDIRECT(CONCATENATE("Comp!",SUBSTITUTE(ADDRESS(1,MATCH(CONCATENATE(C882,":",D882,":",E882),Comp!$1:$1,0),4),"1",""),"2:",SUBSTITUTE(ADDRESS(1,MATCH(CONCATENATE(C882,":",D882,":",E882),Comp!$1:$1,0),4),"1",""),"99"))),0)</f>
        <v>0</v>
      </c>
    </row>
    <row r="883" spans="1:55">
      <c r="A883" s="20" t="s">
        <v>73</v>
      </c>
      <c r="B883" s="21"/>
      <c r="C883" s="20"/>
      <c r="D883" s="22"/>
      <c r="E883" s="22"/>
      <c r="F883" s="21"/>
      <c r="G883" s="23"/>
      <c r="H883" s="24"/>
      <c r="I883" s="22"/>
      <c r="J883" s="22"/>
      <c r="K883" s="22"/>
      <c r="L883" s="21"/>
      <c r="M883" s="20"/>
      <c r="N883" s="20"/>
      <c r="O883" s="23"/>
      <c r="P883" s="21"/>
      <c r="Q883" s="20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1"/>
      <c r="AU883" s="25" t="str">
        <f t="shared" si="26"/>
        <v>1Q42</v>
      </c>
      <c r="AV883" t="str">
        <f t="shared" si="27"/>
        <v>1Q42</v>
      </c>
      <c r="BA883">
        <f ca="1">IF(COUNTBLANK(C883)=0,COUNTA(INDIRECT(CONCATENATE("Area!",LEFT(ADDRESS(1,MATCH(C883,Area!$1:$1,0),4),1),"2:",LEFT(ADDRESS(1,MATCH(C883,Area!$1:$1,0),4),1),"99"))),0)</f>
        <v>0</v>
      </c>
      <c r="BB883">
        <f ca="1">IF(COUNTBLANK(D883)=0,COUNTA(INDIRECT(CONCATENATE("Setup!",LEFT(ADDRESS(1,MATCH(CONCATENATE(C883,":",D883),Setup!$1:$1,0),4),1),"2:",LEFT(ADDRESS(1,MATCH(CONCATENATE(C883,":",D883),Setup!$1:$1,0),4),1),"99"))),0)</f>
        <v>0</v>
      </c>
      <c r="BC883">
        <f ca="1">IF(COUNTBLANK(E883)=0,COUNTA(INDIRECT(CONCATENATE("Comp!",SUBSTITUTE(ADDRESS(1,MATCH(CONCATENATE(C883,":",D883,":",E883),Comp!$1:$1,0),4),"1",""),"2:",SUBSTITUTE(ADDRESS(1,MATCH(CONCATENATE(C883,":",D883,":",E883),Comp!$1:$1,0),4),"1",""),"99"))),0)</f>
        <v>0</v>
      </c>
    </row>
    <row r="884" spans="1:55">
      <c r="A884" s="20" t="s">
        <v>73</v>
      </c>
      <c r="B884" s="21"/>
      <c r="C884" s="20"/>
      <c r="D884" s="22"/>
      <c r="E884" s="22"/>
      <c r="F884" s="21"/>
      <c r="G884" s="23"/>
      <c r="H884" s="24"/>
      <c r="I884" s="22"/>
      <c r="J884" s="22"/>
      <c r="K884" s="22"/>
      <c r="L884" s="21"/>
      <c r="M884" s="20"/>
      <c r="N884" s="20"/>
      <c r="O884" s="23"/>
      <c r="P884" s="21"/>
      <c r="Q884" s="20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1"/>
      <c r="AU884" s="25" t="str">
        <f t="shared" si="26"/>
        <v>1Q42</v>
      </c>
      <c r="AV884" t="str">
        <f t="shared" si="27"/>
        <v>1Q42</v>
      </c>
      <c r="BA884">
        <f ca="1">IF(COUNTBLANK(C884)=0,COUNTA(INDIRECT(CONCATENATE("Area!",LEFT(ADDRESS(1,MATCH(C884,Area!$1:$1,0),4),1),"2:",LEFT(ADDRESS(1,MATCH(C884,Area!$1:$1,0),4),1),"99"))),0)</f>
        <v>0</v>
      </c>
      <c r="BB884">
        <f ca="1">IF(COUNTBLANK(D884)=0,COUNTA(INDIRECT(CONCATENATE("Setup!",LEFT(ADDRESS(1,MATCH(CONCATENATE(C884,":",D884),Setup!$1:$1,0),4),1),"2:",LEFT(ADDRESS(1,MATCH(CONCATENATE(C884,":",D884),Setup!$1:$1,0),4),1),"99"))),0)</f>
        <v>0</v>
      </c>
      <c r="BC884">
        <f ca="1">IF(COUNTBLANK(E884)=0,COUNTA(INDIRECT(CONCATENATE("Comp!",SUBSTITUTE(ADDRESS(1,MATCH(CONCATENATE(C884,":",D884,":",E884),Comp!$1:$1,0),4),"1",""),"2:",SUBSTITUTE(ADDRESS(1,MATCH(CONCATENATE(C884,":",D884,":",E884),Comp!$1:$1,0),4),"1",""),"99"))),0)</f>
        <v>0</v>
      </c>
    </row>
    <row r="885" spans="1:55">
      <c r="A885" s="20" t="s">
        <v>73</v>
      </c>
      <c r="B885" s="21"/>
      <c r="C885" s="20"/>
      <c r="D885" s="22"/>
      <c r="E885" s="22"/>
      <c r="F885" s="21"/>
      <c r="G885" s="23"/>
      <c r="H885" s="24"/>
      <c r="I885" s="22"/>
      <c r="J885" s="22"/>
      <c r="K885" s="22"/>
      <c r="L885" s="21"/>
      <c r="M885" s="20"/>
      <c r="N885" s="20"/>
      <c r="O885" s="23"/>
      <c r="P885" s="21"/>
      <c r="Q885" s="20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1"/>
      <c r="AU885" s="25" t="str">
        <f t="shared" si="26"/>
        <v>1Q42</v>
      </c>
      <c r="AV885" t="str">
        <f t="shared" si="27"/>
        <v>1Q42</v>
      </c>
      <c r="BA885">
        <f ca="1">IF(COUNTBLANK(C885)=0,COUNTA(INDIRECT(CONCATENATE("Area!",LEFT(ADDRESS(1,MATCH(C885,Area!$1:$1,0),4),1),"2:",LEFT(ADDRESS(1,MATCH(C885,Area!$1:$1,0),4),1),"99"))),0)</f>
        <v>0</v>
      </c>
      <c r="BB885">
        <f ca="1">IF(COUNTBLANK(D885)=0,COUNTA(INDIRECT(CONCATENATE("Setup!",LEFT(ADDRESS(1,MATCH(CONCATENATE(C885,":",D885),Setup!$1:$1,0),4),1),"2:",LEFT(ADDRESS(1,MATCH(CONCATENATE(C885,":",D885),Setup!$1:$1,0),4),1),"99"))),0)</f>
        <v>0</v>
      </c>
      <c r="BC885">
        <f ca="1">IF(COUNTBLANK(E885)=0,COUNTA(INDIRECT(CONCATENATE("Comp!",SUBSTITUTE(ADDRESS(1,MATCH(CONCATENATE(C885,":",D885,":",E885),Comp!$1:$1,0),4),"1",""),"2:",SUBSTITUTE(ADDRESS(1,MATCH(CONCATENATE(C885,":",D885,":",E885),Comp!$1:$1,0),4),"1",""),"99"))),0)</f>
        <v>0</v>
      </c>
    </row>
    <row r="886" spans="1:55">
      <c r="A886" s="20" t="s">
        <v>73</v>
      </c>
      <c r="B886" s="21"/>
      <c r="C886" s="20"/>
      <c r="D886" s="22"/>
      <c r="E886" s="22"/>
      <c r="F886" s="21"/>
      <c r="G886" s="23"/>
      <c r="H886" s="24"/>
      <c r="I886" s="22"/>
      <c r="J886" s="22"/>
      <c r="K886" s="22"/>
      <c r="L886" s="21"/>
      <c r="M886" s="20"/>
      <c r="N886" s="20"/>
      <c r="O886" s="23"/>
      <c r="P886" s="21"/>
      <c r="Q886" s="20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1"/>
      <c r="AU886" s="25" t="str">
        <f t="shared" si="26"/>
        <v>1Q42</v>
      </c>
      <c r="AV886" t="str">
        <f t="shared" si="27"/>
        <v>1Q42</v>
      </c>
      <c r="BA886">
        <f ca="1">IF(COUNTBLANK(C886)=0,COUNTA(INDIRECT(CONCATENATE("Area!",LEFT(ADDRESS(1,MATCH(C886,Area!$1:$1,0),4),1),"2:",LEFT(ADDRESS(1,MATCH(C886,Area!$1:$1,0),4),1),"99"))),0)</f>
        <v>0</v>
      </c>
      <c r="BB886">
        <f ca="1">IF(COUNTBLANK(D886)=0,COUNTA(INDIRECT(CONCATENATE("Setup!",LEFT(ADDRESS(1,MATCH(CONCATENATE(C886,":",D886),Setup!$1:$1,0),4),1),"2:",LEFT(ADDRESS(1,MATCH(CONCATENATE(C886,":",D886),Setup!$1:$1,0),4),1),"99"))),0)</f>
        <v>0</v>
      </c>
      <c r="BC886">
        <f ca="1">IF(COUNTBLANK(E886)=0,COUNTA(INDIRECT(CONCATENATE("Comp!",SUBSTITUTE(ADDRESS(1,MATCH(CONCATENATE(C886,":",D886,":",E886),Comp!$1:$1,0),4),"1",""),"2:",SUBSTITUTE(ADDRESS(1,MATCH(CONCATENATE(C886,":",D886,":",E886),Comp!$1:$1,0),4),"1",""),"99"))),0)</f>
        <v>0</v>
      </c>
    </row>
    <row r="887" spans="1:55">
      <c r="A887" s="20" t="s">
        <v>73</v>
      </c>
      <c r="B887" s="21"/>
      <c r="C887" s="20"/>
      <c r="D887" s="22"/>
      <c r="E887" s="22"/>
      <c r="F887" s="21"/>
      <c r="G887" s="23"/>
      <c r="H887" s="24"/>
      <c r="I887" s="22"/>
      <c r="J887" s="22"/>
      <c r="K887" s="22"/>
      <c r="L887" s="21"/>
      <c r="M887" s="20"/>
      <c r="N887" s="20"/>
      <c r="O887" s="23"/>
      <c r="P887" s="21"/>
      <c r="Q887" s="20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1"/>
      <c r="AU887" s="25" t="str">
        <f t="shared" si="26"/>
        <v>1Q42</v>
      </c>
      <c r="AV887" t="str">
        <f t="shared" si="27"/>
        <v>1Q42</v>
      </c>
      <c r="BA887">
        <f ca="1">IF(COUNTBLANK(C887)=0,COUNTA(INDIRECT(CONCATENATE("Area!",LEFT(ADDRESS(1,MATCH(C887,Area!$1:$1,0),4),1),"2:",LEFT(ADDRESS(1,MATCH(C887,Area!$1:$1,0),4),1),"99"))),0)</f>
        <v>0</v>
      </c>
      <c r="BB887">
        <f ca="1">IF(COUNTBLANK(D887)=0,COUNTA(INDIRECT(CONCATENATE("Setup!",LEFT(ADDRESS(1,MATCH(CONCATENATE(C887,":",D887),Setup!$1:$1,0),4),1),"2:",LEFT(ADDRESS(1,MATCH(CONCATENATE(C887,":",D887),Setup!$1:$1,0),4),1),"99"))),0)</f>
        <v>0</v>
      </c>
      <c r="BC887">
        <f ca="1">IF(COUNTBLANK(E887)=0,COUNTA(INDIRECT(CONCATENATE("Comp!",SUBSTITUTE(ADDRESS(1,MATCH(CONCATENATE(C887,":",D887,":",E887),Comp!$1:$1,0),4),"1",""),"2:",SUBSTITUTE(ADDRESS(1,MATCH(CONCATENATE(C887,":",D887,":",E887),Comp!$1:$1,0),4),"1",""),"99"))),0)</f>
        <v>0</v>
      </c>
    </row>
    <row r="888" spans="1:55">
      <c r="A888" s="20" t="s">
        <v>73</v>
      </c>
      <c r="B888" s="21"/>
      <c r="C888" s="20"/>
      <c r="D888" s="22"/>
      <c r="E888" s="22"/>
      <c r="F888" s="21"/>
      <c r="G888" s="23"/>
      <c r="H888" s="24"/>
      <c r="I888" s="22"/>
      <c r="J888" s="22"/>
      <c r="K888" s="22"/>
      <c r="L888" s="21"/>
      <c r="M888" s="20"/>
      <c r="N888" s="20"/>
      <c r="O888" s="23"/>
      <c r="P888" s="21"/>
      <c r="Q888" s="20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1"/>
      <c r="AU888" s="25" t="str">
        <f t="shared" si="26"/>
        <v>1Q42</v>
      </c>
      <c r="AV888" t="str">
        <f t="shared" si="27"/>
        <v>1Q42</v>
      </c>
      <c r="BA888">
        <f ca="1">IF(COUNTBLANK(C888)=0,COUNTA(INDIRECT(CONCATENATE("Area!",LEFT(ADDRESS(1,MATCH(C888,Area!$1:$1,0),4),1),"2:",LEFT(ADDRESS(1,MATCH(C888,Area!$1:$1,0),4),1),"99"))),0)</f>
        <v>0</v>
      </c>
      <c r="BB888">
        <f ca="1">IF(COUNTBLANK(D888)=0,COUNTA(INDIRECT(CONCATENATE("Setup!",LEFT(ADDRESS(1,MATCH(CONCATENATE(C888,":",D888),Setup!$1:$1,0),4),1),"2:",LEFT(ADDRESS(1,MATCH(CONCATENATE(C888,":",D888),Setup!$1:$1,0),4),1),"99"))),0)</f>
        <v>0</v>
      </c>
      <c r="BC888">
        <f ca="1">IF(COUNTBLANK(E888)=0,COUNTA(INDIRECT(CONCATENATE("Comp!",SUBSTITUTE(ADDRESS(1,MATCH(CONCATENATE(C888,":",D888,":",E888),Comp!$1:$1,0),4),"1",""),"2:",SUBSTITUTE(ADDRESS(1,MATCH(CONCATENATE(C888,":",D888,":",E888),Comp!$1:$1,0),4),"1",""),"99"))),0)</f>
        <v>0</v>
      </c>
    </row>
    <row r="889" spans="1:55">
      <c r="A889" s="20" t="s">
        <v>73</v>
      </c>
      <c r="B889" s="21"/>
      <c r="C889" s="20"/>
      <c r="D889" s="22"/>
      <c r="E889" s="22"/>
      <c r="F889" s="21"/>
      <c r="G889" s="23"/>
      <c r="H889" s="24"/>
      <c r="I889" s="22"/>
      <c r="J889" s="22"/>
      <c r="K889" s="22"/>
      <c r="L889" s="21"/>
      <c r="M889" s="20"/>
      <c r="N889" s="20"/>
      <c r="O889" s="23"/>
      <c r="P889" s="21"/>
      <c r="Q889" s="20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1"/>
      <c r="AU889" s="25" t="str">
        <f t="shared" si="26"/>
        <v>1Q42</v>
      </c>
      <c r="AV889" t="str">
        <f t="shared" si="27"/>
        <v>1Q42</v>
      </c>
      <c r="BA889">
        <f ca="1">IF(COUNTBLANK(C889)=0,COUNTA(INDIRECT(CONCATENATE("Area!",LEFT(ADDRESS(1,MATCH(C889,Area!$1:$1,0),4),1),"2:",LEFT(ADDRESS(1,MATCH(C889,Area!$1:$1,0),4),1),"99"))),0)</f>
        <v>0</v>
      </c>
      <c r="BB889">
        <f ca="1">IF(COUNTBLANK(D889)=0,COUNTA(INDIRECT(CONCATENATE("Setup!",LEFT(ADDRESS(1,MATCH(CONCATENATE(C889,":",D889),Setup!$1:$1,0),4),1),"2:",LEFT(ADDRESS(1,MATCH(CONCATENATE(C889,":",D889),Setup!$1:$1,0),4),1),"99"))),0)</f>
        <v>0</v>
      </c>
      <c r="BC889">
        <f ca="1">IF(COUNTBLANK(E889)=0,COUNTA(INDIRECT(CONCATENATE("Comp!",SUBSTITUTE(ADDRESS(1,MATCH(CONCATENATE(C889,":",D889,":",E889),Comp!$1:$1,0),4),"1",""),"2:",SUBSTITUTE(ADDRESS(1,MATCH(CONCATENATE(C889,":",D889,":",E889),Comp!$1:$1,0),4),"1",""),"99"))),0)</f>
        <v>0</v>
      </c>
    </row>
    <row r="890" spans="1:55">
      <c r="A890" s="20" t="s">
        <v>73</v>
      </c>
      <c r="B890" s="21"/>
      <c r="C890" s="20"/>
      <c r="D890" s="22"/>
      <c r="E890" s="22"/>
      <c r="F890" s="21"/>
      <c r="G890" s="23"/>
      <c r="H890" s="24"/>
      <c r="I890" s="22"/>
      <c r="J890" s="22"/>
      <c r="K890" s="22"/>
      <c r="L890" s="21"/>
      <c r="M890" s="20"/>
      <c r="N890" s="20"/>
      <c r="O890" s="23"/>
      <c r="P890" s="21"/>
      <c r="Q890" s="20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1"/>
      <c r="AU890" s="25" t="str">
        <f t="shared" si="26"/>
        <v>1Q42</v>
      </c>
      <c r="AV890" t="str">
        <f t="shared" si="27"/>
        <v>1Q42</v>
      </c>
      <c r="BA890">
        <f ca="1">IF(COUNTBLANK(C890)=0,COUNTA(INDIRECT(CONCATENATE("Area!",LEFT(ADDRESS(1,MATCH(C890,Area!$1:$1,0),4),1),"2:",LEFT(ADDRESS(1,MATCH(C890,Area!$1:$1,0),4),1),"99"))),0)</f>
        <v>0</v>
      </c>
      <c r="BB890">
        <f ca="1">IF(COUNTBLANK(D890)=0,COUNTA(INDIRECT(CONCATENATE("Setup!",LEFT(ADDRESS(1,MATCH(CONCATENATE(C890,":",D890),Setup!$1:$1,0),4),1),"2:",LEFT(ADDRESS(1,MATCH(CONCATENATE(C890,":",D890),Setup!$1:$1,0),4),1),"99"))),0)</f>
        <v>0</v>
      </c>
      <c r="BC890">
        <f ca="1">IF(COUNTBLANK(E890)=0,COUNTA(INDIRECT(CONCATENATE("Comp!",SUBSTITUTE(ADDRESS(1,MATCH(CONCATENATE(C890,":",D890,":",E890),Comp!$1:$1,0),4),"1",""),"2:",SUBSTITUTE(ADDRESS(1,MATCH(CONCATENATE(C890,":",D890,":",E890),Comp!$1:$1,0),4),"1",""),"99"))),0)</f>
        <v>0</v>
      </c>
    </row>
    <row r="891" spans="1:55">
      <c r="A891" s="20" t="s">
        <v>73</v>
      </c>
      <c r="B891" s="21"/>
      <c r="C891" s="20"/>
      <c r="D891" s="22"/>
      <c r="E891" s="22"/>
      <c r="F891" s="21"/>
      <c r="G891" s="23"/>
      <c r="H891" s="24"/>
      <c r="I891" s="22"/>
      <c r="J891" s="22"/>
      <c r="K891" s="22"/>
      <c r="L891" s="21"/>
      <c r="M891" s="20"/>
      <c r="N891" s="20"/>
      <c r="O891" s="23"/>
      <c r="P891" s="21"/>
      <c r="Q891" s="20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1"/>
      <c r="AU891" s="25" t="str">
        <f t="shared" si="26"/>
        <v>1Q42</v>
      </c>
      <c r="AV891" t="str">
        <f t="shared" si="27"/>
        <v>1Q42</v>
      </c>
      <c r="BA891">
        <f ca="1">IF(COUNTBLANK(C891)=0,COUNTA(INDIRECT(CONCATENATE("Area!",LEFT(ADDRESS(1,MATCH(C891,Area!$1:$1,0),4),1),"2:",LEFT(ADDRESS(1,MATCH(C891,Area!$1:$1,0),4),1),"99"))),0)</f>
        <v>0</v>
      </c>
      <c r="BB891">
        <f ca="1">IF(COUNTBLANK(D891)=0,COUNTA(INDIRECT(CONCATENATE("Setup!",LEFT(ADDRESS(1,MATCH(CONCATENATE(C891,":",D891),Setup!$1:$1,0),4),1),"2:",LEFT(ADDRESS(1,MATCH(CONCATENATE(C891,":",D891),Setup!$1:$1,0),4),1),"99"))),0)</f>
        <v>0</v>
      </c>
      <c r="BC891">
        <f ca="1">IF(COUNTBLANK(E891)=0,COUNTA(INDIRECT(CONCATENATE("Comp!",SUBSTITUTE(ADDRESS(1,MATCH(CONCATENATE(C891,":",D891,":",E891),Comp!$1:$1,0),4),"1",""),"2:",SUBSTITUTE(ADDRESS(1,MATCH(CONCATENATE(C891,":",D891,":",E891),Comp!$1:$1,0),4),"1",""),"99"))),0)</f>
        <v>0</v>
      </c>
    </row>
    <row r="892" spans="1:55">
      <c r="A892" s="20" t="s">
        <v>73</v>
      </c>
      <c r="B892" s="21"/>
      <c r="C892" s="20"/>
      <c r="D892" s="22"/>
      <c r="E892" s="22"/>
      <c r="F892" s="21"/>
      <c r="G892" s="23"/>
      <c r="H892" s="24"/>
      <c r="I892" s="22"/>
      <c r="J892" s="22"/>
      <c r="K892" s="22"/>
      <c r="L892" s="21"/>
      <c r="M892" s="20"/>
      <c r="N892" s="20"/>
      <c r="O892" s="23"/>
      <c r="P892" s="21"/>
      <c r="Q892" s="20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1"/>
      <c r="AU892" s="25" t="str">
        <f t="shared" si="26"/>
        <v>1Q42</v>
      </c>
      <c r="AV892" t="str">
        <f t="shared" si="27"/>
        <v>1Q42</v>
      </c>
      <c r="BA892">
        <f ca="1">IF(COUNTBLANK(C892)=0,COUNTA(INDIRECT(CONCATENATE("Area!",LEFT(ADDRESS(1,MATCH(C892,Area!$1:$1,0),4),1),"2:",LEFT(ADDRESS(1,MATCH(C892,Area!$1:$1,0),4),1),"99"))),0)</f>
        <v>0</v>
      </c>
      <c r="BB892">
        <f ca="1">IF(COUNTBLANK(D892)=0,COUNTA(INDIRECT(CONCATENATE("Setup!",LEFT(ADDRESS(1,MATCH(CONCATENATE(C892,":",D892),Setup!$1:$1,0),4),1),"2:",LEFT(ADDRESS(1,MATCH(CONCATENATE(C892,":",D892),Setup!$1:$1,0),4),1),"99"))),0)</f>
        <v>0</v>
      </c>
      <c r="BC892">
        <f ca="1">IF(COUNTBLANK(E892)=0,COUNTA(INDIRECT(CONCATENATE("Comp!",SUBSTITUTE(ADDRESS(1,MATCH(CONCATENATE(C892,":",D892,":",E892),Comp!$1:$1,0),4),"1",""),"2:",SUBSTITUTE(ADDRESS(1,MATCH(CONCATENATE(C892,":",D892,":",E892),Comp!$1:$1,0),4),"1",""),"99"))),0)</f>
        <v>0</v>
      </c>
    </row>
    <row r="893" spans="1:55">
      <c r="A893" s="20" t="s">
        <v>73</v>
      </c>
      <c r="B893" s="21"/>
      <c r="C893" s="20"/>
      <c r="D893" s="22"/>
      <c r="E893" s="22"/>
      <c r="F893" s="21"/>
      <c r="G893" s="23"/>
      <c r="H893" s="24"/>
      <c r="I893" s="22"/>
      <c r="J893" s="22"/>
      <c r="K893" s="22"/>
      <c r="L893" s="21"/>
      <c r="M893" s="20"/>
      <c r="N893" s="20"/>
      <c r="O893" s="23"/>
      <c r="P893" s="21"/>
      <c r="Q893" s="20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1"/>
      <c r="AU893" s="25" t="str">
        <f t="shared" si="26"/>
        <v>1Q42</v>
      </c>
      <c r="AV893" t="str">
        <f t="shared" si="27"/>
        <v>1Q42</v>
      </c>
      <c r="BA893">
        <f ca="1">IF(COUNTBLANK(C893)=0,COUNTA(INDIRECT(CONCATENATE("Area!",LEFT(ADDRESS(1,MATCH(C893,Area!$1:$1,0),4),1),"2:",LEFT(ADDRESS(1,MATCH(C893,Area!$1:$1,0),4),1),"99"))),0)</f>
        <v>0</v>
      </c>
      <c r="BB893">
        <f ca="1">IF(COUNTBLANK(D893)=0,COUNTA(INDIRECT(CONCATENATE("Setup!",LEFT(ADDRESS(1,MATCH(CONCATENATE(C893,":",D893),Setup!$1:$1,0),4),1),"2:",LEFT(ADDRESS(1,MATCH(CONCATENATE(C893,":",D893),Setup!$1:$1,0),4),1),"99"))),0)</f>
        <v>0</v>
      </c>
      <c r="BC893">
        <f ca="1">IF(COUNTBLANK(E893)=0,COUNTA(INDIRECT(CONCATENATE("Comp!",SUBSTITUTE(ADDRESS(1,MATCH(CONCATENATE(C893,":",D893,":",E893),Comp!$1:$1,0),4),"1",""),"2:",SUBSTITUTE(ADDRESS(1,MATCH(CONCATENATE(C893,":",D893,":",E893),Comp!$1:$1,0),4),"1",""),"99"))),0)</f>
        <v>0</v>
      </c>
    </row>
    <row r="894" spans="1:55">
      <c r="A894" s="20" t="s">
        <v>73</v>
      </c>
      <c r="B894" s="21"/>
      <c r="C894" s="20"/>
      <c r="D894" s="22"/>
      <c r="E894" s="22"/>
      <c r="F894" s="21"/>
      <c r="G894" s="23"/>
      <c r="H894" s="24"/>
      <c r="I894" s="22"/>
      <c r="J894" s="22"/>
      <c r="K894" s="22"/>
      <c r="L894" s="21"/>
      <c r="M894" s="20"/>
      <c r="N894" s="20"/>
      <c r="O894" s="23"/>
      <c r="P894" s="21"/>
      <c r="Q894" s="20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1"/>
      <c r="AU894" s="25" t="str">
        <f t="shared" si="26"/>
        <v>1Q42</v>
      </c>
      <c r="AV894" t="str">
        <f t="shared" si="27"/>
        <v>1Q42</v>
      </c>
      <c r="BA894">
        <f ca="1">IF(COUNTBLANK(C894)=0,COUNTA(INDIRECT(CONCATENATE("Area!",LEFT(ADDRESS(1,MATCH(C894,Area!$1:$1,0),4),1),"2:",LEFT(ADDRESS(1,MATCH(C894,Area!$1:$1,0),4),1),"99"))),0)</f>
        <v>0</v>
      </c>
      <c r="BB894">
        <f ca="1">IF(COUNTBLANK(D894)=0,COUNTA(INDIRECT(CONCATENATE("Setup!",LEFT(ADDRESS(1,MATCH(CONCATENATE(C894,":",D894),Setup!$1:$1,0),4),1),"2:",LEFT(ADDRESS(1,MATCH(CONCATENATE(C894,":",D894),Setup!$1:$1,0),4),1),"99"))),0)</f>
        <v>0</v>
      </c>
      <c r="BC894">
        <f ca="1">IF(COUNTBLANK(E894)=0,COUNTA(INDIRECT(CONCATENATE("Comp!",SUBSTITUTE(ADDRESS(1,MATCH(CONCATENATE(C894,":",D894,":",E894),Comp!$1:$1,0),4),"1",""),"2:",SUBSTITUTE(ADDRESS(1,MATCH(CONCATENATE(C894,":",D894,":",E894),Comp!$1:$1,0),4),"1",""),"99"))),0)</f>
        <v>0</v>
      </c>
    </row>
    <row r="895" spans="1:55">
      <c r="A895" s="20" t="s">
        <v>73</v>
      </c>
      <c r="B895" s="21"/>
      <c r="C895" s="20"/>
      <c r="D895" s="22"/>
      <c r="E895" s="22"/>
      <c r="F895" s="21"/>
      <c r="G895" s="23"/>
      <c r="H895" s="24"/>
      <c r="I895" s="22"/>
      <c r="J895" s="22"/>
      <c r="K895" s="22"/>
      <c r="L895" s="21"/>
      <c r="M895" s="20"/>
      <c r="N895" s="20"/>
      <c r="O895" s="23"/>
      <c r="P895" s="21"/>
      <c r="Q895" s="20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1"/>
      <c r="AU895" s="25" t="str">
        <f t="shared" si="26"/>
        <v>1Q42</v>
      </c>
      <c r="AV895" t="str">
        <f t="shared" si="27"/>
        <v>1Q42</v>
      </c>
      <c r="BA895">
        <f ca="1">IF(COUNTBLANK(C895)=0,COUNTA(INDIRECT(CONCATENATE("Area!",LEFT(ADDRESS(1,MATCH(C895,Area!$1:$1,0),4),1),"2:",LEFT(ADDRESS(1,MATCH(C895,Area!$1:$1,0),4),1),"99"))),0)</f>
        <v>0</v>
      </c>
      <c r="BB895">
        <f ca="1">IF(COUNTBLANK(D895)=0,COUNTA(INDIRECT(CONCATENATE("Setup!",LEFT(ADDRESS(1,MATCH(CONCATENATE(C895,":",D895),Setup!$1:$1,0),4),1),"2:",LEFT(ADDRESS(1,MATCH(CONCATENATE(C895,":",D895),Setup!$1:$1,0),4),1),"99"))),0)</f>
        <v>0</v>
      </c>
      <c r="BC895">
        <f ca="1">IF(COUNTBLANK(E895)=0,COUNTA(INDIRECT(CONCATENATE("Comp!",SUBSTITUTE(ADDRESS(1,MATCH(CONCATENATE(C895,":",D895,":",E895),Comp!$1:$1,0),4),"1",""),"2:",SUBSTITUTE(ADDRESS(1,MATCH(CONCATENATE(C895,":",D895,":",E895),Comp!$1:$1,0),4),"1",""),"99"))),0)</f>
        <v>0</v>
      </c>
    </row>
    <row r="896" spans="1:55">
      <c r="A896" s="20" t="s">
        <v>73</v>
      </c>
      <c r="B896" s="21"/>
      <c r="C896" s="20"/>
      <c r="D896" s="22"/>
      <c r="E896" s="22"/>
      <c r="F896" s="21"/>
      <c r="G896" s="23"/>
      <c r="H896" s="24"/>
      <c r="I896" s="22"/>
      <c r="J896" s="22"/>
      <c r="K896" s="22"/>
      <c r="L896" s="21"/>
      <c r="M896" s="20"/>
      <c r="N896" s="20"/>
      <c r="O896" s="23"/>
      <c r="P896" s="21"/>
      <c r="Q896" s="20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1"/>
      <c r="AU896" s="25" t="str">
        <f t="shared" si="26"/>
        <v>1Q42</v>
      </c>
      <c r="AV896" t="str">
        <f t="shared" si="27"/>
        <v>1Q42</v>
      </c>
      <c r="BA896">
        <f ca="1">IF(COUNTBLANK(C896)=0,COUNTA(INDIRECT(CONCATENATE("Area!",LEFT(ADDRESS(1,MATCH(C896,Area!$1:$1,0),4),1),"2:",LEFT(ADDRESS(1,MATCH(C896,Area!$1:$1,0),4),1),"99"))),0)</f>
        <v>0</v>
      </c>
      <c r="BB896">
        <f ca="1">IF(COUNTBLANK(D896)=0,COUNTA(INDIRECT(CONCATENATE("Setup!",LEFT(ADDRESS(1,MATCH(CONCATENATE(C896,":",D896),Setup!$1:$1,0),4),1),"2:",LEFT(ADDRESS(1,MATCH(CONCATENATE(C896,":",D896),Setup!$1:$1,0),4),1),"99"))),0)</f>
        <v>0</v>
      </c>
      <c r="BC896">
        <f ca="1">IF(COUNTBLANK(E896)=0,COUNTA(INDIRECT(CONCATENATE("Comp!",SUBSTITUTE(ADDRESS(1,MATCH(CONCATENATE(C896,":",D896,":",E896),Comp!$1:$1,0),4),"1",""),"2:",SUBSTITUTE(ADDRESS(1,MATCH(CONCATENATE(C896,":",D896,":",E896),Comp!$1:$1,0),4),"1",""),"99"))),0)</f>
        <v>0</v>
      </c>
    </row>
    <row r="897" spans="1:55">
      <c r="A897" s="20" t="s">
        <v>73</v>
      </c>
      <c r="B897" s="21"/>
      <c r="C897" s="20"/>
      <c r="D897" s="22"/>
      <c r="E897" s="22"/>
      <c r="F897" s="21"/>
      <c r="G897" s="23"/>
      <c r="H897" s="24"/>
      <c r="I897" s="22"/>
      <c r="J897" s="22"/>
      <c r="K897" s="22"/>
      <c r="L897" s="21"/>
      <c r="M897" s="20"/>
      <c r="N897" s="20"/>
      <c r="O897" s="23"/>
      <c r="P897" s="21"/>
      <c r="Q897" s="20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1"/>
      <c r="AU897" s="25" t="str">
        <f t="shared" si="26"/>
        <v>1Q42</v>
      </c>
      <c r="AV897" t="str">
        <f t="shared" si="27"/>
        <v>1Q42</v>
      </c>
      <c r="BA897">
        <f ca="1">IF(COUNTBLANK(C897)=0,COUNTA(INDIRECT(CONCATENATE("Area!",LEFT(ADDRESS(1,MATCH(C897,Area!$1:$1,0),4),1),"2:",LEFT(ADDRESS(1,MATCH(C897,Area!$1:$1,0),4),1),"99"))),0)</f>
        <v>0</v>
      </c>
      <c r="BB897">
        <f ca="1">IF(COUNTBLANK(D897)=0,COUNTA(INDIRECT(CONCATENATE("Setup!",LEFT(ADDRESS(1,MATCH(CONCATENATE(C897,":",D897),Setup!$1:$1,0),4),1),"2:",LEFT(ADDRESS(1,MATCH(CONCATENATE(C897,":",D897),Setup!$1:$1,0),4),1),"99"))),0)</f>
        <v>0</v>
      </c>
      <c r="BC897">
        <f ca="1">IF(COUNTBLANK(E897)=0,COUNTA(INDIRECT(CONCATENATE("Comp!",SUBSTITUTE(ADDRESS(1,MATCH(CONCATENATE(C897,":",D897,":",E897),Comp!$1:$1,0),4),"1",""),"2:",SUBSTITUTE(ADDRESS(1,MATCH(CONCATENATE(C897,":",D897,":",E897),Comp!$1:$1,0),4),"1",""),"99"))),0)</f>
        <v>0</v>
      </c>
    </row>
    <row r="898" spans="1:55">
      <c r="A898" s="20" t="s">
        <v>73</v>
      </c>
      <c r="B898" s="21"/>
      <c r="C898" s="20"/>
      <c r="D898" s="22"/>
      <c r="E898" s="22"/>
      <c r="F898" s="21"/>
      <c r="G898" s="23"/>
      <c r="H898" s="24"/>
      <c r="I898" s="22"/>
      <c r="J898" s="22"/>
      <c r="K898" s="22"/>
      <c r="L898" s="21"/>
      <c r="M898" s="20"/>
      <c r="N898" s="20"/>
      <c r="O898" s="23"/>
      <c r="P898" s="21"/>
      <c r="Q898" s="20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1"/>
      <c r="AU898" s="25" t="str">
        <f t="shared" si="26"/>
        <v>1Q42</v>
      </c>
      <c r="AV898" t="str">
        <f t="shared" si="27"/>
        <v>1Q42</v>
      </c>
      <c r="BA898">
        <f ca="1">IF(COUNTBLANK(C898)=0,COUNTA(INDIRECT(CONCATENATE("Area!",LEFT(ADDRESS(1,MATCH(C898,Area!$1:$1,0),4),1),"2:",LEFT(ADDRESS(1,MATCH(C898,Area!$1:$1,0),4),1),"99"))),0)</f>
        <v>0</v>
      </c>
      <c r="BB898">
        <f ca="1">IF(COUNTBLANK(D898)=0,COUNTA(INDIRECT(CONCATENATE("Setup!",LEFT(ADDRESS(1,MATCH(CONCATENATE(C898,":",D898),Setup!$1:$1,0),4),1),"2:",LEFT(ADDRESS(1,MATCH(CONCATENATE(C898,":",D898),Setup!$1:$1,0),4),1),"99"))),0)</f>
        <v>0</v>
      </c>
      <c r="BC898">
        <f ca="1">IF(COUNTBLANK(E898)=0,COUNTA(INDIRECT(CONCATENATE("Comp!",SUBSTITUTE(ADDRESS(1,MATCH(CONCATENATE(C898,":",D898,":",E898),Comp!$1:$1,0),4),"1",""),"2:",SUBSTITUTE(ADDRESS(1,MATCH(CONCATENATE(C898,":",D898,":",E898),Comp!$1:$1,0),4),"1",""),"99"))),0)</f>
        <v>0</v>
      </c>
    </row>
    <row r="899" spans="1:55">
      <c r="A899" s="20" t="s">
        <v>73</v>
      </c>
      <c r="B899" s="21"/>
      <c r="C899" s="20"/>
      <c r="D899" s="22"/>
      <c r="E899" s="22"/>
      <c r="F899" s="21"/>
      <c r="G899" s="23"/>
      <c r="H899" s="24"/>
      <c r="I899" s="22"/>
      <c r="J899" s="22"/>
      <c r="K899" s="22"/>
      <c r="L899" s="21"/>
      <c r="M899" s="20"/>
      <c r="N899" s="20"/>
      <c r="O899" s="23"/>
      <c r="P899" s="21"/>
      <c r="Q899" s="20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1"/>
      <c r="AU899" s="25" t="str">
        <f t="shared" si="26"/>
        <v>1Q42</v>
      </c>
      <c r="AV899" t="str">
        <f t="shared" si="27"/>
        <v>1Q42</v>
      </c>
      <c r="BA899">
        <f ca="1">IF(COUNTBLANK(C899)=0,COUNTA(INDIRECT(CONCATENATE("Area!",LEFT(ADDRESS(1,MATCH(C899,Area!$1:$1,0),4),1),"2:",LEFT(ADDRESS(1,MATCH(C899,Area!$1:$1,0),4),1),"99"))),0)</f>
        <v>0</v>
      </c>
      <c r="BB899">
        <f ca="1">IF(COUNTBLANK(D899)=0,COUNTA(INDIRECT(CONCATENATE("Setup!",LEFT(ADDRESS(1,MATCH(CONCATENATE(C899,":",D899),Setup!$1:$1,0),4),1),"2:",LEFT(ADDRESS(1,MATCH(CONCATENATE(C899,":",D899),Setup!$1:$1,0),4),1),"99"))),0)</f>
        <v>0</v>
      </c>
      <c r="BC899">
        <f ca="1">IF(COUNTBLANK(E899)=0,COUNTA(INDIRECT(CONCATENATE("Comp!",SUBSTITUTE(ADDRESS(1,MATCH(CONCATENATE(C899,":",D899,":",E899),Comp!$1:$1,0),4),"1",""),"2:",SUBSTITUTE(ADDRESS(1,MATCH(CONCATENATE(C899,":",D899,":",E899),Comp!$1:$1,0),4),"1",""),"99"))),0)</f>
        <v>0</v>
      </c>
    </row>
    <row r="900" spans="1:55">
      <c r="A900" s="20" t="s">
        <v>73</v>
      </c>
      <c r="B900" s="21"/>
      <c r="C900" s="20"/>
      <c r="D900" s="22"/>
      <c r="E900" s="22"/>
      <c r="F900" s="21"/>
      <c r="G900" s="23"/>
      <c r="H900" s="24"/>
      <c r="I900" s="22"/>
      <c r="J900" s="22"/>
      <c r="K900" s="22"/>
      <c r="L900" s="21"/>
      <c r="M900" s="20"/>
      <c r="N900" s="20"/>
      <c r="O900" s="23"/>
      <c r="P900" s="21"/>
      <c r="Q900" s="20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1"/>
      <c r="AU900" s="25" t="str">
        <f t="shared" si="26"/>
        <v>1Q42</v>
      </c>
      <c r="AV900" t="str">
        <f t="shared" si="27"/>
        <v>1Q42</v>
      </c>
      <c r="BA900">
        <f ca="1">IF(COUNTBLANK(C900)=0,COUNTA(INDIRECT(CONCATENATE("Area!",LEFT(ADDRESS(1,MATCH(C900,Area!$1:$1,0),4),1),"2:",LEFT(ADDRESS(1,MATCH(C900,Area!$1:$1,0),4),1),"99"))),0)</f>
        <v>0</v>
      </c>
      <c r="BB900">
        <f ca="1">IF(COUNTBLANK(D900)=0,COUNTA(INDIRECT(CONCATENATE("Setup!",LEFT(ADDRESS(1,MATCH(CONCATENATE(C900,":",D900),Setup!$1:$1,0),4),1),"2:",LEFT(ADDRESS(1,MATCH(CONCATENATE(C900,":",D900),Setup!$1:$1,0),4),1),"99"))),0)</f>
        <v>0</v>
      </c>
      <c r="BC900">
        <f ca="1">IF(COUNTBLANK(E900)=0,COUNTA(INDIRECT(CONCATENATE("Comp!",SUBSTITUTE(ADDRESS(1,MATCH(CONCATENATE(C900,":",D900,":",E900),Comp!$1:$1,0),4),"1",""),"2:",SUBSTITUTE(ADDRESS(1,MATCH(CONCATENATE(C900,":",D900,":",E900),Comp!$1:$1,0),4),"1",""),"99"))),0)</f>
        <v>0</v>
      </c>
    </row>
    <row r="901" spans="1:55">
      <c r="A901" s="20" t="s">
        <v>73</v>
      </c>
      <c r="B901" s="21"/>
      <c r="C901" s="20"/>
      <c r="D901" s="22"/>
      <c r="E901" s="22"/>
      <c r="F901" s="21"/>
      <c r="G901" s="23"/>
      <c r="H901" s="24"/>
      <c r="I901" s="22"/>
      <c r="J901" s="22"/>
      <c r="K901" s="22"/>
      <c r="L901" s="21"/>
      <c r="M901" s="20"/>
      <c r="N901" s="20"/>
      <c r="O901" s="23"/>
      <c r="P901" s="21"/>
      <c r="Q901" s="20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1"/>
      <c r="AU901" s="25" t="str">
        <f t="shared" si="26"/>
        <v>1Q42</v>
      </c>
      <c r="AV901" t="str">
        <f t="shared" si="27"/>
        <v>1Q42</v>
      </c>
      <c r="BA901">
        <f ca="1">IF(COUNTBLANK(C901)=0,COUNTA(INDIRECT(CONCATENATE("Area!",LEFT(ADDRESS(1,MATCH(C901,Area!$1:$1,0),4),1),"2:",LEFT(ADDRESS(1,MATCH(C901,Area!$1:$1,0),4),1),"99"))),0)</f>
        <v>0</v>
      </c>
      <c r="BB901">
        <f ca="1">IF(COUNTBLANK(D901)=0,COUNTA(INDIRECT(CONCATENATE("Setup!",LEFT(ADDRESS(1,MATCH(CONCATENATE(C901,":",D901),Setup!$1:$1,0),4),1),"2:",LEFT(ADDRESS(1,MATCH(CONCATENATE(C901,":",D901),Setup!$1:$1,0),4),1),"99"))),0)</f>
        <v>0</v>
      </c>
      <c r="BC901">
        <f ca="1">IF(COUNTBLANK(E901)=0,COUNTA(INDIRECT(CONCATENATE("Comp!",SUBSTITUTE(ADDRESS(1,MATCH(CONCATENATE(C901,":",D901,":",E901),Comp!$1:$1,0),4),"1",""),"2:",SUBSTITUTE(ADDRESS(1,MATCH(CONCATENATE(C901,":",D901,":",E901),Comp!$1:$1,0),4),"1",""),"99"))),0)</f>
        <v>0</v>
      </c>
    </row>
    <row r="902" spans="1:55">
      <c r="A902" s="20" t="s">
        <v>73</v>
      </c>
      <c r="B902" s="21"/>
      <c r="C902" s="20"/>
      <c r="D902" s="22"/>
      <c r="E902" s="22"/>
      <c r="F902" s="21"/>
      <c r="G902" s="23"/>
      <c r="H902" s="24"/>
      <c r="I902" s="22"/>
      <c r="J902" s="22"/>
      <c r="K902" s="22"/>
      <c r="L902" s="21"/>
      <c r="M902" s="20"/>
      <c r="N902" s="20"/>
      <c r="O902" s="23"/>
      <c r="P902" s="21"/>
      <c r="Q902" s="20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1"/>
      <c r="AU902" s="25" t="str">
        <f t="shared" si="26"/>
        <v>1Q42</v>
      </c>
      <c r="AV902" t="str">
        <f t="shared" si="27"/>
        <v>1Q42</v>
      </c>
      <c r="BA902">
        <f ca="1">IF(COUNTBLANK(C902)=0,COUNTA(INDIRECT(CONCATENATE("Area!",LEFT(ADDRESS(1,MATCH(C902,Area!$1:$1,0),4),1),"2:",LEFT(ADDRESS(1,MATCH(C902,Area!$1:$1,0),4),1),"99"))),0)</f>
        <v>0</v>
      </c>
      <c r="BB902">
        <f ca="1">IF(COUNTBLANK(D902)=0,COUNTA(INDIRECT(CONCATENATE("Setup!",LEFT(ADDRESS(1,MATCH(CONCATENATE(C902,":",D902),Setup!$1:$1,0),4),1),"2:",LEFT(ADDRESS(1,MATCH(CONCATENATE(C902,":",D902),Setup!$1:$1,0),4),1),"99"))),0)</f>
        <v>0</v>
      </c>
      <c r="BC902">
        <f ca="1">IF(COUNTBLANK(E902)=0,COUNTA(INDIRECT(CONCATENATE("Comp!",SUBSTITUTE(ADDRESS(1,MATCH(CONCATENATE(C902,":",D902,":",E902),Comp!$1:$1,0),4),"1",""),"2:",SUBSTITUTE(ADDRESS(1,MATCH(CONCATENATE(C902,":",D902,":",E902),Comp!$1:$1,0),4),"1",""),"99"))),0)</f>
        <v>0</v>
      </c>
    </row>
    <row r="903" spans="1:55">
      <c r="A903" s="20" t="s">
        <v>73</v>
      </c>
      <c r="B903" s="21"/>
      <c r="C903" s="20"/>
      <c r="D903" s="22"/>
      <c r="E903" s="22"/>
      <c r="F903" s="21"/>
      <c r="G903" s="23"/>
      <c r="H903" s="24"/>
      <c r="I903" s="22"/>
      <c r="J903" s="22"/>
      <c r="K903" s="22"/>
      <c r="L903" s="21"/>
      <c r="M903" s="20"/>
      <c r="N903" s="20"/>
      <c r="O903" s="23"/>
      <c r="P903" s="21"/>
      <c r="Q903" s="20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1"/>
      <c r="AU903" s="25" t="str">
        <f t="shared" si="26"/>
        <v>1Q42</v>
      </c>
      <c r="AV903" t="str">
        <f t="shared" si="27"/>
        <v>1Q42</v>
      </c>
      <c r="BA903">
        <f ca="1">IF(COUNTBLANK(C903)=0,COUNTA(INDIRECT(CONCATENATE("Area!",LEFT(ADDRESS(1,MATCH(C903,Area!$1:$1,0),4),1),"2:",LEFT(ADDRESS(1,MATCH(C903,Area!$1:$1,0),4),1),"99"))),0)</f>
        <v>0</v>
      </c>
      <c r="BB903">
        <f ca="1">IF(COUNTBLANK(D903)=0,COUNTA(INDIRECT(CONCATENATE("Setup!",LEFT(ADDRESS(1,MATCH(CONCATENATE(C903,":",D903),Setup!$1:$1,0),4),1),"2:",LEFT(ADDRESS(1,MATCH(CONCATENATE(C903,":",D903),Setup!$1:$1,0),4),1),"99"))),0)</f>
        <v>0</v>
      </c>
      <c r="BC903">
        <f ca="1">IF(COUNTBLANK(E903)=0,COUNTA(INDIRECT(CONCATENATE("Comp!",SUBSTITUTE(ADDRESS(1,MATCH(CONCATENATE(C903,":",D903,":",E903),Comp!$1:$1,0),4),"1",""),"2:",SUBSTITUTE(ADDRESS(1,MATCH(CONCATENATE(C903,":",D903,":",E903),Comp!$1:$1,0),4),"1",""),"99"))),0)</f>
        <v>0</v>
      </c>
    </row>
    <row r="904" spans="1:55">
      <c r="A904" s="20" t="s">
        <v>73</v>
      </c>
      <c r="B904" s="21"/>
      <c r="C904" s="20"/>
      <c r="D904" s="22"/>
      <c r="E904" s="22"/>
      <c r="F904" s="21"/>
      <c r="G904" s="23"/>
      <c r="H904" s="24"/>
      <c r="I904" s="22"/>
      <c r="J904" s="22"/>
      <c r="K904" s="22"/>
      <c r="L904" s="21"/>
      <c r="M904" s="20"/>
      <c r="N904" s="20"/>
      <c r="O904" s="23"/>
      <c r="P904" s="21"/>
      <c r="Q904" s="20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1"/>
      <c r="AU904" s="25" t="str">
        <f t="shared" si="26"/>
        <v>1Q42</v>
      </c>
      <c r="AV904" t="str">
        <f t="shared" si="27"/>
        <v>1Q42</v>
      </c>
      <c r="BA904">
        <f ca="1">IF(COUNTBLANK(C904)=0,COUNTA(INDIRECT(CONCATENATE("Area!",LEFT(ADDRESS(1,MATCH(C904,Area!$1:$1,0),4),1),"2:",LEFT(ADDRESS(1,MATCH(C904,Area!$1:$1,0),4),1),"99"))),0)</f>
        <v>0</v>
      </c>
      <c r="BB904">
        <f ca="1">IF(COUNTBLANK(D904)=0,COUNTA(INDIRECT(CONCATENATE("Setup!",LEFT(ADDRESS(1,MATCH(CONCATENATE(C904,":",D904),Setup!$1:$1,0),4),1),"2:",LEFT(ADDRESS(1,MATCH(CONCATENATE(C904,":",D904),Setup!$1:$1,0),4),1),"99"))),0)</f>
        <v>0</v>
      </c>
      <c r="BC904">
        <f ca="1">IF(COUNTBLANK(E904)=0,COUNTA(INDIRECT(CONCATENATE("Comp!",SUBSTITUTE(ADDRESS(1,MATCH(CONCATENATE(C904,":",D904,":",E904),Comp!$1:$1,0),4),"1",""),"2:",SUBSTITUTE(ADDRESS(1,MATCH(CONCATENATE(C904,":",D904,":",E904),Comp!$1:$1,0),4),"1",""),"99"))),0)</f>
        <v>0</v>
      </c>
    </row>
    <row r="905" spans="1:55">
      <c r="A905" s="20" t="s">
        <v>73</v>
      </c>
      <c r="B905" s="21"/>
      <c r="C905" s="20"/>
      <c r="D905" s="22"/>
      <c r="E905" s="22"/>
      <c r="F905" s="21"/>
      <c r="G905" s="23"/>
      <c r="H905" s="24"/>
      <c r="I905" s="22"/>
      <c r="J905" s="22"/>
      <c r="K905" s="22"/>
      <c r="L905" s="21"/>
      <c r="M905" s="20"/>
      <c r="N905" s="20"/>
      <c r="O905" s="23"/>
      <c r="P905" s="21"/>
      <c r="Q905" s="20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1"/>
      <c r="AU905" s="25" t="str">
        <f t="shared" ref="AU905:AU968" si="28">CONCATENATE(A905,B905)</f>
        <v>1Q42</v>
      </c>
      <c r="AV905" t="str">
        <f t="shared" ref="AV905:AV968" si="29">CONCATENATE(A905,B905)</f>
        <v>1Q42</v>
      </c>
      <c r="BA905">
        <f ca="1">IF(COUNTBLANK(C905)=0,COUNTA(INDIRECT(CONCATENATE("Area!",LEFT(ADDRESS(1,MATCH(C905,Area!$1:$1,0),4),1),"2:",LEFT(ADDRESS(1,MATCH(C905,Area!$1:$1,0),4),1),"99"))),0)</f>
        <v>0</v>
      </c>
      <c r="BB905">
        <f ca="1">IF(COUNTBLANK(D905)=0,COUNTA(INDIRECT(CONCATENATE("Setup!",LEFT(ADDRESS(1,MATCH(CONCATENATE(C905,":",D905),Setup!$1:$1,0),4),1),"2:",LEFT(ADDRESS(1,MATCH(CONCATENATE(C905,":",D905),Setup!$1:$1,0),4),1),"99"))),0)</f>
        <v>0</v>
      </c>
      <c r="BC905">
        <f ca="1">IF(COUNTBLANK(E905)=0,COUNTA(INDIRECT(CONCATENATE("Comp!",SUBSTITUTE(ADDRESS(1,MATCH(CONCATENATE(C905,":",D905,":",E905),Comp!$1:$1,0),4),"1",""),"2:",SUBSTITUTE(ADDRESS(1,MATCH(CONCATENATE(C905,":",D905,":",E905),Comp!$1:$1,0),4),"1",""),"99"))),0)</f>
        <v>0</v>
      </c>
    </row>
    <row r="906" spans="1:55">
      <c r="A906" s="20" t="s">
        <v>73</v>
      </c>
      <c r="B906" s="21"/>
      <c r="C906" s="20"/>
      <c r="D906" s="22"/>
      <c r="E906" s="22"/>
      <c r="F906" s="21"/>
      <c r="G906" s="23"/>
      <c r="H906" s="24"/>
      <c r="I906" s="22"/>
      <c r="J906" s="22"/>
      <c r="K906" s="22"/>
      <c r="L906" s="21"/>
      <c r="M906" s="20"/>
      <c r="N906" s="20"/>
      <c r="O906" s="23"/>
      <c r="P906" s="21"/>
      <c r="Q906" s="20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1"/>
      <c r="AU906" s="25" t="str">
        <f t="shared" si="28"/>
        <v>1Q42</v>
      </c>
      <c r="AV906" t="str">
        <f t="shared" si="29"/>
        <v>1Q42</v>
      </c>
      <c r="BA906">
        <f ca="1">IF(COUNTBLANK(C906)=0,COUNTA(INDIRECT(CONCATENATE("Area!",LEFT(ADDRESS(1,MATCH(C906,Area!$1:$1,0),4),1),"2:",LEFT(ADDRESS(1,MATCH(C906,Area!$1:$1,0),4),1),"99"))),0)</f>
        <v>0</v>
      </c>
      <c r="BB906">
        <f ca="1">IF(COUNTBLANK(D906)=0,COUNTA(INDIRECT(CONCATENATE("Setup!",LEFT(ADDRESS(1,MATCH(CONCATENATE(C906,":",D906),Setup!$1:$1,0),4),1),"2:",LEFT(ADDRESS(1,MATCH(CONCATENATE(C906,":",D906),Setup!$1:$1,0),4),1),"99"))),0)</f>
        <v>0</v>
      </c>
      <c r="BC906">
        <f ca="1">IF(COUNTBLANK(E906)=0,COUNTA(INDIRECT(CONCATENATE("Comp!",SUBSTITUTE(ADDRESS(1,MATCH(CONCATENATE(C906,":",D906,":",E906),Comp!$1:$1,0),4),"1",""),"2:",SUBSTITUTE(ADDRESS(1,MATCH(CONCATENATE(C906,":",D906,":",E906),Comp!$1:$1,0),4),"1",""),"99"))),0)</f>
        <v>0</v>
      </c>
    </row>
    <row r="907" spans="1:55">
      <c r="A907" s="20" t="s">
        <v>73</v>
      </c>
      <c r="B907" s="21"/>
      <c r="C907" s="20"/>
      <c r="D907" s="22"/>
      <c r="E907" s="22"/>
      <c r="F907" s="21"/>
      <c r="G907" s="23"/>
      <c r="H907" s="24"/>
      <c r="I907" s="22"/>
      <c r="J907" s="22"/>
      <c r="K907" s="22"/>
      <c r="L907" s="21"/>
      <c r="M907" s="20"/>
      <c r="N907" s="20"/>
      <c r="O907" s="23"/>
      <c r="P907" s="21"/>
      <c r="Q907" s="20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1"/>
      <c r="AU907" s="25" t="str">
        <f t="shared" si="28"/>
        <v>1Q42</v>
      </c>
      <c r="AV907" t="str">
        <f t="shared" si="29"/>
        <v>1Q42</v>
      </c>
      <c r="BA907">
        <f ca="1">IF(COUNTBLANK(C907)=0,COUNTA(INDIRECT(CONCATENATE("Area!",LEFT(ADDRESS(1,MATCH(C907,Area!$1:$1,0),4),1),"2:",LEFT(ADDRESS(1,MATCH(C907,Area!$1:$1,0),4),1),"99"))),0)</f>
        <v>0</v>
      </c>
      <c r="BB907">
        <f ca="1">IF(COUNTBLANK(D907)=0,COUNTA(INDIRECT(CONCATENATE("Setup!",LEFT(ADDRESS(1,MATCH(CONCATENATE(C907,":",D907),Setup!$1:$1,0),4),1),"2:",LEFT(ADDRESS(1,MATCH(CONCATENATE(C907,":",D907),Setup!$1:$1,0),4),1),"99"))),0)</f>
        <v>0</v>
      </c>
      <c r="BC907">
        <f ca="1">IF(COUNTBLANK(E907)=0,COUNTA(INDIRECT(CONCATENATE("Comp!",SUBSTITUTE(ADDRESS(1,MATCH(CONCATENATE(C907,":",D907,":",E907),Comp!$1:$1,0),4),"1",""),"2:",SUBSTITUTE(ADDRESS(1,MATCH(CONCATENATE(C907,":",D907,":",E907),Comp!$1:$1,0),4),"1",""),"99"))),0)</f>
        <v>0</v>
      </c>
    </row>
    <row r="908" spans="1:55">
      <c r="A908" s="20" t="s">
        <v>73</v>
      </c>
      <c r="B908" s="21"/>
      <c r="C908" s="20"/>
      <c r="D908" s="22"/>
      <c r="E908" s="22"/>
      <c r="F908" s="21"/>
      <c r="G908" s="23"/>
      <c r="H908" s="24"/>
      <c r="I908" s="22"/>
      <c r="J908" s="22"/>
      <c r="K908" s="22"/>
      <c r="L908" s="21"/>
      <c r="M908" s="20"/>
      <c r="N908" s="20"/>
      <c r="O908" s="23"/>
      <c r="P908" s="21"/>
      <c r="Q908" s="20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1"/>
      <c r="AU908" s="25" t="str">
        <f t="shared" si="28"/>
        <v>1Q42</v>
      </c>
      <c r="AV908" t="str">
        <f t="shared" si="29"/>
        <v>1Q42</v>
      </c>
      <c r="BA908">
        <f ca="1">IF(COUNTBLANK(C908)=0,COUNTA(INDIRECT(CONCATENATE("Area!",LEFT(ADDRESS(1,MATCH(C908,Area!$1:$1,0),4),1),"2:",LEFT(ADDRESS(1,MATCH(C908,Area!$1:$1,0),4),1),"99"))),0)</f>
        <v>0</v>
      </c>
      <c r="BB908">
        <f ca="1">IF(COUNTBLANK(D908)=0,COUNTA(INDIRECT(CONCATENATE("Setup!",LEFT(ADDRESS(1,MATCH(CONCATENATE(C908,":",D908),Setup!$1:$1,0),4),1),"2:",LEFT(ADDRESS(1,MATCH(CONCATENATE(C908,":",D908),Setup!$1:$1,0),4),1),"99"))),0)</f>
        <v>0</v>
      </c>
      <c r="BC908">
        <f ca="1">IF(COUNTBLANK(E908)=0,COUNTA(INDIRECT(CONCATENATE("Comp!",SUBSTITUTE(ADDRESS(1,MATCH(CONCATENATE(C908,":",D908,":",E908),Comp!$1:$1,0),4),"1",""),"2:",SUBSTITUTE(ADDRESS(1,MATCH(CONCATENATE(C908,":",D908,":",E908),Comp!$1:$1,0),4),"1",""),"99"))),0)</f>
        <v>0</v>
      </c>
    </row>
    <row r="909" spans="1:55">
      <c r="A909" s="20" t="s">
        <v>73</v>
      </c>
      <c r="B909" s="21"/>
      <c r="C909" s="20"/>
      <c r="D909" s="22"/>
      <c r="E909" s="22"/>
      <c r="F909" s="21"/>
      <c r="G909" s="23"/>
      <c r="H909" s="24"/>
      <c r="I909" s="22"/>
      <c r="J909" s="22"/>
      <c r="K909" s="22"/>
      <c r="L909" s="21"/>
      <c r="M909" s="20"/>
      <c r="N909" s="20"/>
      <c r="O909" s="23"/>
      <c r="P909" s="21"/>
      <c r="Q909" s="20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1"/>
      <c r="AU909" s="25" t="str">
        <f t="shared" si="28"/>
        <v>1Q42</v>
      </c>
      <c r="AV909" t="str">
        <f t="shared" si="29"/>
        <v>1Q42</v>
      </c>
      <c r="BA909">
        <f ca="1">IF(COUNTBLANK(C909)=0,COUNTA(INDIRECT(CONCATENATE("Area!",LEFT(ADDRESS(1,MATCH(C909,Area!$1:$1,0),4),1),"2:",LEFT(ADDRESS(1,MATCH(C909,Area!$1:$1,0),4),1),"99"))),0)</f>
        <v>0</v>
      </c>
      <c r="BB909">
        <f ca="1">IF(COUNTBLANK(D909)=0,COUNTA(INDIRECT(CONCATENATE("Setup!",LEFT(ADDRESS(1,MATCH(CONCATENATE(C909,":",D909),Setup!$1:$1,0),4),1),"2:",LEFT(ADDRESS(1,MATCH(CONCATENATE(C909,":",D909),Setup!$1:$1,0),4),1),"99"))),0)</f>
        <v>0</v>
      </c>
      <c r="BC909">
        <f ca="1">IF(COUNTBLANK(E909)=0,COUNTA(INDIRECT(CONCATENATE("Comp!",SUBSTITUTE(ADDRESS(1,MATCH(CONCATENATE(C909,":",D909,":",E909),Comp!$1:$1,0),4),"1",""),"2:",SUBSTITUTE(ADDRESS(1,MATCH(CONCATENATE(C909,":",D909,":",E909),Comp!$1:$1,0),4),"1",""),"99"))),0)</f>
        <v>0</v>
      </c>
    </row>
    <row r="910" spans="1:55">
      <c r="A910" s="20" t="s">
        <v>73</v>
      </c>
      <c r="B910" s="21"/>
      <c r="C910" s="20"/>
      <c r="D910" s="22"/>
      <c r="E910" s="22"/>
      <c r="F910" s="21"/>
      <c r="G910" s="23"/>
      <c r="H910" s="24"/>
      <c r="I910" s="22"/>
      <c r="J910" s="22"/>
      <c r="K910" s="22"/>
      <c r="L910" s="21"/>
      <c r="M910" s="20"/>
      <c r="N910" s="20"/>
      <c r="O910" s="23"/>
      <c r="P910" s="21"/>
      <c r="Q910" s="20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1"/>
      <c r="AU910" s="25" t="str">
        <f t="shared" si="28"/>
        <v>1Q42</v>
      </c>
      <c r="AV910" t="str">
        <f t="shared" si="29"/>
        <v>1Q42</v>
      </c>
      <c r="BA910">
        <f ca="1">IF(COUNTBLANK(C910)=0,COUNTA(INDIRECT(CONCATENATE("Area!",LEFT(ADDRESS(1,MATCH(C910,Area!$1:$1,0),4),1),"2:",LEFT(ADDRESS(1,MATCH(C910,Area!$1:$1,0),4),1),"99"))),0)</f>
        <v>0</v>
      </c>
      <c r="BB910">
        <f ca="1">IF(COUNTBLANK(D910)=0,COUNTA(INDIRECT(CONCATENATE("Setup!",LEFT(ADDRESS(1,MATCH(CONCATENATE(C910,":",D910),Setup!$1:$1,0),4),1),"2:",LEFT(ADDRESS(1,MATCH(CONCATENATE(C910,":",D910),Setup!$1:$1,0),4),1),"99"))),0)</f>
        <v>0</v>
      </c>
      <c r="BC910">
        <f ca="1">IF(COUNTBLANK(E910)=0,COUNTA(INDIRECT(CONCATENATE("Comp!",SUBSTITUTE(ADDRESS(1,MATCH(CONCATENATE(C910,":",D910,":",E910),Comp!$1:$1,0),4),"1",""),"2:",SUBSTITUTE(ADDRESS(1,MATCH(CONCATENATE(C910,":",D910,":",E910),Comp!$1:$1,0),4),"1",""),"99"))),0)</f>
        <v>0</v>
      </c>
    </row>
    <row r="911" spans="1:55">
      <c r="A911" s="20" t="s">
        <v>73</v>
      </c>
      <c r="B911" s="21"/>
      <c r="C911" s="20"/>
      <c r="D911" s="22"/>
      <c r="E911" s="22"/>
      <c r="F911" s="21"/>
      <c r="G911" s="23"/>
      <c r="H911" s="24"/>
      <c r="I911" s="22"/>
      <c r="J911" s="22"/>
      <c r="K911" s="22"/>
      <c r="L911" s="21"/>
      <c r="M911" s="20"/>
      <c r="N911" s="20"/>
      <c r="O911" s="23"/>
      <c r="P911" s="21"/>
      <c r="Q911" s="20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1"/>
      <c r="AU911" s="25" t="str">
        <f t="shared" si="28"/>
        <v>1Q42</v>
      </c>
      <c r="AV911" t="str">
        <f t="shared" si="29"/>
        <v>1Q42</v>
      </c>
      <c r="BA911">
        <f ca="1">IF(COUNTBLANK(C911)=0,COUNTA(INDIRECT(CONCATENATE("Area!",LEFT(ADDRESS(1,MATCH(C911,Area!$1:$1,0),4),1),"2:",LEFT(ADDRESS(1,MATCH(C911,Area!$1:$1,0),4),1),"99"))),0)</f>
        <v>0</v>
      </c>
      <c r="BB911">
        <f ca="1">IF(COUNTBLANK(D911)=0,COUNTA(INDIRECT(CONCATENATE("Setup!",LEFT(ADDRESS(1,MATCH(CONCATENATE(C911,":",D911),Setup!$1:$1,0),4),1),"2:",LEFT(ADDRESS(1,MATCH(CONCATENATE(C911,":",D911),Setup!$1:$1,0),4),1),"99"))),0)</f>
        <v>0</v>
      </c>
      <c r="BC911">
        <f ca="1">IF(COUNTBLANK(E911)=0,COUNTA(INDIRECT(CONCATENATE("Comp!",SUBSTITUTE(ADDRESS(1,MATCH(CONCATENATE(C911,":",D911,":",E911),Comp!$1:$1,0),4),"1",""),"2:",SUBSTITUTE(ADDRESS(1,MATCH(CONCATENATE(C911,":",D911,":",E911),Comp!$1:$1,0),4),"1",""),"99"))),0)</f>
        <v>0</v>
      </c>
    </row>
    <row r="912" spans="1:55">
      <c r="A912" s="20" t="s">
        <v>73</v>
      </c>
      <c r="B912" s="21"/>
      <c r="C912" s="20"/>
      <c r="D912" s="22"/>
      <c r="E912" s="22"/>
      <c r="F912" s="21"/>
      <c r="G912" s="23"/>
      <c r="H912" s="24"/>
      <c r="I912" s="22"/>
      <c r="J912" s="22"/>
      <c r="K912" s="22"/>
      <c r="L912" s="21"/>
      <c r="M912" s="20"/>
      <c r="N912" s="20"/>
      <c r="O912" s="23"/>
      <c r="P912" s="21"/>
      <c r="Q912" s="20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1"/>
      <c r="AU912" s="25" t="str">
        <f t="shared" si="28"/>
        <v>1Q42</v>
      </c>
      <c r="AV912" t="str">
        <f t="shared" si="29"/>
        <v>1Q42</v>
      </c>
      <c r="BA912">
        <f ca="1">IF(COUNTBLANK(C912)=0,COUNTA(INDIRECT(CONCATENATE("Area!",LEFT(ADDRESS(1,MATCH(C912,Area!$1:$1,0),4),1),"2:",LEFT(ADDRESS(1,MATCH(C912,Area!$1:$1,0),4),1),"99"))),0)</f>
        <v>0</v>
      </c>
      <c r="BB912">
        <f ca="1">IF(COUNTBLANK(D912)=0,COUNTA(INDIRECT(CONCATENATE("Setup!",LEFT(ADDRESS(1,MATCH(CONCATENATE(C912,":",D912),Setup!$1:$1,0),4),1),"2:",LEFT(ADDRESS(1,MATCH(CONCATENATE(C912,":",D912),Setup!$1:$1,0),4),1),"99"))),0)</f>
        <v>0</v>
      </c>
      <c r="BC912">
        <f ca="1">IF(COUNTBLANK(E912)=0,COUNTA(INDIRECT(CONCATENATE("Comp!",SUBSTITUTE(ADDRESS(1,MATCH(CONCATENATE(C912,":",D912,":",E912),Comp!$1:$1,0),4),"1",""),"2:",SUBSTITUTE(ADDRESS(1,MATCH(CONCATENATE(C912,":",D912,":",E912),Comp!$1:$1,0),4),"1",""),"99"))),0)</f>
        <v>0</v>
      </c>
    </row>
    <row r="913" spans="1:55">
      <c r="A913" s="20" t="s">
        <v>73</v>
      </c>
      <c r="B913" s="21"/>
      <c r="C913" s="20"/>
      <c r="D913" s="22"/>
      <c r="E913" s="22"/>
      <c r="F913" s="21"/>
      <c r="G913" s="23"/>
      <c r="H913" s="24"/>
      <c r="I913" s="22"/>
      <c r="J913" s="22"/>
      <c r="K913" s="22"/>
      <c r="L913" s="21"/>
      <c r="M913" s="20"/>
      <c r="N913" s="20"/>
      <c r="O913" s="23"/>
      <c r="P913" s="21"/>
      <c r="Q913" s="20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1"/>
      <c r="AU913" s="25" t="str">
        <f t="shared" si="28"/>
        <v>1Q42</v>
      </c>
      <c r="AV913" t="str">
        <f t="shared" si="29"/>
        <v>1Q42</v>
      </c>
      <c r="BA913">
        <f ca="1">IF(COUNTBLANK(C913)=0,COUNTA(INDIRECT(CONCATENATE("Area!",LEFT(ADDRESS(1,MATCH(C913,Area!$1:$1,0),4),1),"2:",LEFT(ADDRESS(1,MATCH(C913,Area!$1:$1,0),4),1),"99"))),0)</f>
        <v>0</v>
      </c>
      <c r="BB913">
        <f ca="1">IF(COUNTBLANK(D913)=0,COUNTA(INDIRECT(CONCATENATE("Setup!",LEFT(ADDRESS(1,MATCH(CONCATENATE(C913,":",D913),Setup!$1:$1,0),4),1),"2:",LEFT(ADDRESS(1,MATCH(CONCATENATE(C913,":",D913),Setup!$1:$1,0),4),1),"99"))),0)</f>
        <v>0</v>
      </c>
      <c r="BC913">
        <f ca="1">IF(COUNTBLANK(E913)=0,COUNTA(INDIRECT(CONCATENATE("Comp!",SUBSTITUTE(ADDRESS(1,MATCH(CONCATENATE(C913,":",D913,":",E913),Comp!$1:$1,0),4),"1",""),"2:",SUBSTITUTE(ADDRESS(1,MATCH(CONCATENATE(C913,":",D913,":",E913),Comp!$1:$1,0),4),"1",""),"99"))),0)</f>
        <v>0</v>
      </c>
    </row>
    <row r="914" spans="1:55">
      <c r="A914" s="20" t="s">
        <v>73</v>
      </c>
      <c r="B914" s="21"/>
      <c r="C914" s="20"/>
      <c r="D914" s="22"/>
      <c r="E914" s="22"/>
      <c r="F914" s="21"/>
      <c r="G914" s="23"/>
      <c r="H914" s="24"/>
      <c r="I914" s="22"/>
      <c r="J914" s="22"/>
      <c r="K914" s="22"/>
      <c r="L914" s="21"/>
      <c r="M914" s="20"/>
      <c r="N914" s="20"/>
      <c r="O914" s="23"/>
      <c r="P914" s="21"/>
      <c r="Q914" s="20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1"/>
      <c r="AU914" s="25" t="str">
        <f t="shared" si="28"/>
        <v>1Q42</v>
      </c>
      <c r="AV914" t="str">
        <f t="shared" si="29"/>
        <v>1Q42</v>
      </c>
      <c r="BA914">
        <f ca="1">IF(COUNTBLANK(C914)=0,COUNTA(INDIRECT(CONCATENATE("Area!",LEFT(ADDRESS(1,MATCH(C914,Area!$1:$1,0),4),1),"2:",LEFT(ADDRESS(1,MATCH(C914,Area!$1:$1,0),4),1),"99"))),0)</f>
        <v>0</v>
      </c>
      <c r="BB914">
        <f ca="1">IF(COUNTBLANK(D914)=0,COUNTA(INDIRECT(CONCATENATE("Setup!",LEFT(ADDRESS(1,MATCH(CONCATENATE(C914,":",D914),Setup!$1:$1,0),4),1),"2:",LEFT(ADDRESS(1,MATCH(CONCATENATE(C914,":",D914),Setup!$1:$1,0),4),1),"99"))),0)</f>
        <v>0</v>
      </c>
      <c r="BC914">
        <f ca="1">IF(COUNTBLANK(E914)=0,COUNTA(INDIRECT(CONCATENATE("Comp!",SUBSTITUTE(ADDRESS(1,MATCH(CONCATENATE(C914,":",D914,":",E914),Comp!$1:$1,0),4),"1",""),"2:",SUBSTITUTE(ADDRESS(1,MATCH(CONCATENATE(C914,":",D914,":",E914),Comp!$1:$1,0),4),"1",""),"99"))),0)</f>
        <v>0</v>
      </c>
    </row>
    <row r="915" spans="1:55">
      <c r="A915" s="20" t="s">
        <v>73</v>
      </c>
      <c r="B915" s="21"/>
      <c r="C915" s="20"/>
      <c r="D915" s="22"/>
      <c r="E915" s="22"/>
      <c r="F915" s="21"/>
      <c r="G915" s="23"/>
      <c r="H915" s="24"/>
      <c r="I915" s="22"/>
      <c r="J915" s="22"/>
      <c r="K915" s="22"/>
      <c r="L915" s="21"/>
      <c r="M915" s="20"/>
      <c r="N915" s="20"/>
      <c r="O915" s="23"/>
      <c r="P915" s="21"/>
      <c r="Q915" s="20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1"/>
      <c r="AU915" s="25" t="str">
        <f t="shared" si="28"/>
        <v>1Q42</v>
      </c>
      <c r="AV915" t="str">
        <f t="shared" si="29"/>
        <v>1Q42</v>
      </c>
      <c r="BA915">
        <f ca="1">IF(COUNTBLANK(C915)=0,COUNTA(INDIRECT(CONCATENATE("Area!",LEFT(ADDRESS(1,MATCH(C915,Area!$1:$1,0),4),1),"2:",LEFT(ADDRESS(1,MATCH(C915,Area!$1:$1,0),4),1),"99"))),0)</f>
        <v>0</v>
      </c>
      <c r="BB915">
        <f ca="1">IF(COUNTBLANK(D915)=0,COUNTA(INDIRECT(CONCATENATE("Setup!",LEFT(ADDRESS(1,MATCH(CONCATENATE(C915,":",D915),Setup!$1:$1,0),4),1),"2:",LEFT(ADDRESS(1,MATCH(CONCATENATE(C915,":",D915),Setup!$1:$1,0),4),1),"99"))),0)</f>
        <v>0</v>
      </c>
      <c r="BC915">
        <f ca="1">IF(COUNTBLANK(E915)=0,COUNTA(INDIRECT(CONCATENATE("Comp!",SUBSTITUTE(ADDRESS(1,MATCH(CONCATENATE(C915,":",D915,":",E915),Comp!$1:$1,0),4),"1",""),"2:",SUBSTITUTE(ADDRESS(1,MATCH(CONCATENATE(C915,":",D915,":",E915),Comp!$1:$1,0),4),"1",""),"99"))),0)</f>
        <v>0</v>
      </c>
    </row>
    <row r="916" spans="1:55">
      <c r="A916" s="20" t="s">
        <v>73</v>
      </c>
      <c r="B916" s="21"/>
      <c r="C916" s="20"/>
      <c r="D916" s="22"/>
      <c r="E916" s="22"/>
      <c r="F916" s="21"/>
      <c r="G916" s="23"/>
      <c r="H916" s="24"/>
      <c r="I916" s="22"/>
      <c r="J916" s="22"/>
      <c r="K916" s="22"/>
      <c r="L916" s="21"/>
      <c r="M916" s="20"/>
      <c r="N916" s="20"/>
      <c r="O916" s="23"/>
      <c r="P916" s="21"/>
      <c r="Q916" s="20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1"/>
      <c r="AU916" s="25" t="str">
        <f t="shared" si="28"/>
        <v>1Q42</v>
      </c>
      <c r="AV916" t="str">
        <f t="shared" si="29"/>
        <v>1Q42</v>
      </c>
      <c r="BA916">
        <f ca="1">IF(COUNTBLANK(C916)=0,COUNTA(INDIRECT(CONCATENATE("Area!",LEFT(ADDRESS(1,MATCH(C916,Area!$1:$1,0),4),1),"2:",LEFT(ADDRESS(1,MATCH(C916,Area!$1:$1,0),4),1),"99"))),0)</f>
        <v>0</v>
      </c>
      <c r="BB916">
        <f ca="1">IF(COUNTBLANK(D916)=0,COUNTA(INDIRECT(CONCATENATE("Setup!",LEFT(ADDRESS(1,MATCH(CONCATENATE(C916,":",D916),Setup!$1:$1,0),4),1),"2:",LEFT(ADDRESS(1,MATCH(CONCATENATE(C916,":",D916),Setup!$1:$1,0),4),1),"99"))),0)</f>
        <v>0</v>
      </c>
      <c r="BC916">
        <f ca="1">IF(COUNTBLANK(E916)=0,COUNTA(INDIRECT(CONCATENATE("Comp!",SUBSTITUTE(ADDRESS(1,MATCH(CONCATENATE(C916,":",D916,":",E916),Comp!$1:$1,0),4),"1",""),"2:",SUBSTITUTE(ADDRESS(1,MATCH(CONCATENATE(C916,":",D916,":",E916),Comp!$1:$1,0),4),"1",""),"99"))),0)</f>
        <v>0</v>
      </c>
    </row>
    <row r="917" spans="1:55">
      <c r="A917" s="20" t="s">
        <v>73</v>
      </c>
      <c r="B917" s="21"/>
      <c r="C917" s="20"/>
      <c r="D917" s="22"/>
      <c r="E917" s="22"/>
      <c r="F917" s="21"/>
      <c r="G917" s="23"/>
      <c r="H917" s="24"/>
      <c r="I917" s="22"/>
      <c r="J917" s="22"/>
      <c r="K917" s="22"/>
      <c r="L917" s="21"/>
      <c r="M917" s="20"/>
      <c r="N917" s="20"/>
      <c r="O917" s="23"/>
      <c r="P917" s="21"/>
      <c r="Q917" s="20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1"/>
      <c r="AU917" s="25" t="str">
        <f t="shared" si="28"/>
        <v>1Q42</v>
      </c>
      <c r="AV917" t="str">
        <f t="shared" si="29"/>
        <v>1Q42</v>
      </c>
      <c r="BA917">
        <f ca="1">IF(COUNTBLANK(C917)=0,COUNTA(INDIRECT(CONCATENATE("Area!",LEFT(ADDRESS(1,MATCH(C917,Area!$1:$1,0),4),1),"2:",LEFT(ADDRESS(1,MATCH(C917,Area!$1:$1,0),4),1),"99"))),0)</f>
        <v>0</v>
      </c>
      <c r="BB917">
        <f ca="1">IF(COUNTBLANK(D917)=0,COUNTA(INDIRECT(CONCATENATE("Setup!",LEFT(ADDRESS(1,MATCH(CONCATENATE(C917,":",D917),Setup!$1:$1,0),4),1),"2:",LEFT(ADDRESS(1,MATCH(CONCATENATE(C917,":",D917),Setup!$1:$1,0),4),1),"99"))),0)</f>
        <v>0</v>
      </c>
      <c r="BC917">
        <f ca="1">IF(COUNTBLANK(E917)=0,COUNTA(INDIRECT(CONCATENATE("Comp!",SUBSTITUTE(ADDRESS(1,MATCH(CONCATENATE(C917,":",D917,":",E917),Comp!$1:$1,0),4),"1",""),"2:",SUBSTITUTE(ADDRESS(1,MATCH(CONCATENATE(C917,":",D917,":",E917),Comp!$1:$1,0),4),"1",""),"99"))),0)</f>
        <v>0</v>
      </c>
    </row>
    <row r="918" spans="1:55">
      <c r="A918" s="20" t="s">
        <v>73</v>
      </c>
      <c r="B918" s="21"/>
      <c r="C918" s="20"/>
      <c r="D918" s="22"/>
      <c r="E918" s="22"/>
      <c r="F918" s="21"/>
      <c r="G918" s="23"/>
      <c r="H918" s="24"/>
      <c r="I918" s="22"/>
      <c r="J918" s="22"/>
      <c r="K918" s="22"/>
      <c r="L918" s="21"/>
      <c r="M918" s="20"/>
      <c r="N918" s="20"/>
      <c r="O918" s="23"/>
      <c r="P918" s="21"/>
      <c r="Q918" s="20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1"/>
      <c r="AU918" s="25" t="str">
        <f t="shared" si="28"/>
        <v>1Q42</v>
      </c>
      <c r="AV918" t="str">
        <f t="shared" si="29"/>
        <v>1Q42</v>
      </c>
      <c r="BA918">
        <f ca="1">IF(COUNTBLANK(C918)=0,COUNTA(INDIRECT(CONCATENATE("Area!",LEFT(ADDRESS(1,MATCH(C918,Area!$1:$1,0),4),1),"2:",LEFT(ADDRESS(1,MATCH(C918,Area!$1:$1,0),4),1),"99"))),0)</f>
        <v>0</v>
      </c>
      <c r="BB918">
        <f ca="1">IF(COUNTBLANK(D918)=0,COUNTA(INDIRECT(CONCATENATE("Setup!",LEFT(ADDRESS(1,MATCH(CONCATENATE(C918,":",D918),Setup!$1:$1,0),4),1),"2:",LEFT(ADDRESS(1,MATCH(CONCATENATE(C918,":",D918),Setup!$1:$1,0),4),1),"99"))),0)</f>
        <v>0</v>
      </c>
      <c r="BC918">
        <f ca="1">IF(COUNTBLANK(E918)=0,COUNTA(INDIRECT(CONCATENATE("Comp!",SUBSTITUTE(ADDRESS(1,MATCH(CONCATENATE(C918,":",D918,":",E918),Comp!$1:$1,0),4),"1",""),"2:",SUBSTITUTE(ADDRESS(1,MATCH(CONCATENATE(C918,":",D918,":",E918),Comp!$1:$1,0),4),"1",""),"99"))),0)</f>
        <v>0</v>
      </c>
    </row>
    <row r="919" spans="1:55">
      <c r="A919" s="20" t="s">
        <v>73</v>
      </c>
      <c r="B919" s="21"/>
      <c r="C919" s="20"/>
      <c r="D919" s="22"/>
      <c r="E919" s="22"/>
      <c r="F919" s="21"/>
      <c r="G919" s="23"/>
      <c r="H919" s="24"/>
      <c r="I919" s="22"/>
      <c r="J919" s="22"/>
      <c r="K919" s="22"/>
      <c r="L919" s="21"/>
      <c r="M919" s="20"/>
      <c r="N919" s="20"/>
      <c r="O919" s="23"/>
      <c r="P919" s="21"/>
      <c r="Q919" s="20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1"/>
      <c r="AU919" s="25" t="str">
        <f t="shared" si="28"/>
        <v>1Q42</v>
      </c>
      <c r="AV919" t="str">
        <f t="shared" si="29"/>
        <v>1Q42</v>
      </c>
      <c r="BA919">
        <f ca="1">IF(COUNTBLANK(C919)=0,COUNTA(INDIRECT(CONCATENATE("Area!",LEFT(ADDRESS(1,MATCH(C919,Area!$1:$1,0),4),1),"2:",LEFT(ADDRESS(1,MATCH(C919,Area!$1:$1,0),4),1),"99"))),0)</f>
        <v>0</v>
      </c>
      <c r="BB919">
        <f ca="1">IF(COUNTBLANK(D919)=0,COUNTA(INDIRECT(CONCATENATE("Setup!",LEFT(ADDRESS(1,MATCH(CONCATENATE(C919,":",D919),Setup!$1:$1,0),4),1),"2:",LEFT(ADDRESS(1,MATCH(CONCATENATE(C919,":",D919),Setup!$1:$1,0),4),1),"99"))),0)</f>
        <v>0</v>
      </c>
      <c r="BC919">
        <f ca="1">IF(COUNTBLANK(E919)=0,COUNTA(INDIRECT(CONCATENATE("Comp!",SUBSTITUTE(ADDRESS(1,MATCH(CONCATENATE(C919,":",D919,":",E919),Comp!$1:$1,0),4),"1",""),"2:",SUBSTITUTE(ADDRESS(1,MATCH(CONCATENATE(C919,":",D919,":",E919),Comp!$1:$1,0),4),"1",""),"99"))),0)</f>
        <v>0</v>
      </c>
    </row>
    <row r="920" spans="1:55">
      <c r="A920" s="20" t="s">
        <v>73</v>
      </c>
      <c r="B920" s="21"/>
      <c r="C920" s="20"/>
      <c r="D920" s="22"/>
      <c r="E920" s="22"/>
      <c r="F920" s="21"/>
      <c r="G920" s="23"/>
      <c r="H920" s="24"/>
      <c r="I920" s="22"/>
      <c r="J920" s="22"/>
      <c r="K920" s="22"/>
      <c r="L920" s="21"/>
      <c r="M920" s="20"/>
      <c r="N920" s="20"/>
      <c r="O920" s="23"/>
      <c r="P920" s="21"/>
      <c r="Q920" s="20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1"/>
      <c r="AU920" s="25" t="str">
        <f t="shared" si="28"/>
        <v>1Q42</v>
      </c>
      <c r="AV920" t="str">
        <f t="shared" si="29"/>
        <v>1Q42</v>
      </c>
      <c r="BA920">
        <f ca="1">IF(COUNTBLANK(C920)=0,COUNTA(INDIRECT(CONCATENATE("Area!",LEFT(ADDRESS(1,MATCH(C920,Area!$1:$1,0),4),1),"2:",LEFT(ADDRESS(1,MATCH(C920,Area!$1:$1,0),4),1),"99"))),0)</f>
        <v>0</v>
      </c>
      <c r="BB920">
        <f ca="1">IF(COUNTBLANK(D920)=0,COUNTA(INDIRECT(CONCATENATE("Setup!",LEFT(ADDRESS(1,MATCH(CONCATENATE(C920,":",D920),Setup!$1:$1,0),4),1),"2:",LEFT(ADDRESS(1,MATCH(CONCATENATE(C920,":",D920),Setup!$1:$1,0),4),1),"99"))),0)</f>
        <v>0</v>
      </c>
      <c r="BC920">
        <f ca="1">IF(COUNTBLANK(E920)=0,COUNTA(INDIRECT(CONCATENATE("Comp!",SUBSTITUTE(ADDRESS(1,MATCH(CONCATENATE(C920,":",D920,":",E920),Comp!$1:$1,0),4),"1",""),"2:",SUBSTITUTE(ADDRESS(1,MATCH(CONCATENATE(C920,":",D920,":",E920),Comp!$1:$1,0),4),"1",""),"99"))),0)</f>
        <v>0</v>
      </c>
    </row>
    <row r="921" spans="1:55">
      <c r="A921" s="20" t="s">
        <v>73</v>
      </c>
      <c r="B921" s="21"/>
      <c r="C921" s="20"/>
      <c r="D921" s="22"/>
      <c r="E921" s="22"/>
      <c r="F921" s="21"/>
      <c r="G921" s="23"/>
      <c r="H921" s="24"/>
      <c r="I921" s="22"/>
      <c r="J921" s="22"/>
      <c r="K921" s="22"/>
      <c r="L921" s="21"/>
      <c r="M921" s="20"/>
      <c r="N921" s="20"/>
      <c r="O921" s="23"/>
      <c r="P921" s="21"/>
      <c r="Q921" s="20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1"/>
      <c r="AU921" s="25" t="str">
        <f t="shared" si="28"/>
        <v>1Q42</v>
      </c>
      <c r="AV921" t="str">
        <f t="shared" si="29"/>
        <v>1Q42</v>
      </c>
      <c r="BA921">
        <f ca="1">IF(COUNTBLANK(C921)=0,COUNTA(INDIRECT(CONCATENATE("Area!",LEFT(ADDRESS(1,MATCH(C921,Area!$1:$1,0),4),1),"2:",LEFT(ADDRESS(1,MATCH(C921,Area!$1:$1,0),4),1),"99"))),0)</f>
        <v>0</v>
      </c>
      <c r="BB921">
        <f ca="1">IF(COUNTBLANK(D921)=0,COUNTA(INDIRECT(CONCATENATE("Setup!",LEFT(ADDRESS(1,MATCH(CONCATENATE(C921,":",D921),Setup!$1:$1,0),4),1),"2:",LEFT(ADDRESS(1,MATCH(CONCATENATE(C921,":",D921),Setup!$1:$1,0),4),1),"99"))),0)</f>
        <v>0</v>
      </c>
      <c r="BC921">
        <f ca="1">IF(COUNTBLANK(E921)=0,COUNTA(INDIRECT(CONCATENATE("Comp!",SUBSTITUTE(ADDRESS(1,MATCH(CONCATENATE(C921,":",D921,":",E921),Comp!$1:$1,0),4),"1",""),"2:",SUBSTITUTE(ADDRESS(1,MATCH(CONCATENATE(C921,":",D921,":",E921),Comp!$1:$1,0),4),"1",""),"99"))),0)</f>
        <v>0</v>
      </c>
    </row>
    <row r="922" spans="1:55">
      <c r="A922" s="20" t="s">
        <v>73</v>
      </c>
      <c r="B922" s="21"/>
      <c r="C922" s="20"/>
      <c r="D922" s="22"/>
      <c r="E922" s="22"/>
      <c r="F922" s="21"/>
      <c r="G922" s="23"/>
      <c r="H922" s="24"/>
      <c r="I922" s="22"/>
      <c r="J922" s="22"/>
      <c r="K922" s="22"/>
      <c r="L922" s="21"/>
      <c r="M922" s="20"/>
      <c r="N922" s="20"/>
      <c r="O922" s="23"/>
      <c r="P922" s="21"/>
      <c r="Q922" s="20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1"/>
      <c r="AU922" s="25" t="str">
        <f t="shared" si="28"/>
        <v>1Q42</v>
      </c>
      <c r="AV922" t="str">
        <f t="shared" si="29"/>
        <v>1Q42</v>
      </c>
      <c r="BA922">
        <f ca="1">IF(COUNTBLANK(C922)=0,COUNTA(INDIRECT(CONCATENATE("Area!",LEFT(ADDRESS(1,MATCH(C922,Area!$1:$1,0),4),1),"2:",LEFT(ADDRESS(1,MATCH(C922,Area!$1:$1,0),4),1),"99"))),0)</f>
        <v>0</v>
      </c>
      <c r="BB922">
        <f ca="1">IF(COUNTBLANK(D922)=0,COUNTA(INDIRECT(CONCATENATE("Setup!",LEFT(ADDRESS(1,MATCH(CONCATENATE(C922,":",D922),Setup!$1:$1,0),4),1),"2:",LEFT(ADDRESS(1,MATCH(CONCATENATE(C922,":",D922),Setup!$1:$1,0),4),1),"99"))),0)</f>
        <v>0</v>
      </c>
      <c r="BC922">
        <f ca="1">IF(COUNTBLANK(E922)=0,COUNTA(INDIRECT(CONCATENATE("Comp!",SUBSTITUTE(ADDRESS(1,MATCH(CONCATENATE(C922,":",D922,":",E922),Comp!$1:$1,0),4),"1",""),"2:",SUBSTITUTE(ADDRESS(1,MATCH(CONCATENATE(C922,":",D922,":",E922),Comp!$1:$1,0),4),"1",""),"99"))),0)</f>
        <v>0</v>
      </c>
    </row>
    <row r="923" spans="1:55">
      <c r="A923" s="20" t="s">
        <v>73</v>
      </c>
      <c r="B923" s="21"/>
      <c r="C923" s="20"/>
      <c r="D923" s="22"/>
      <c r="E923" s="22"/>
      <c r="F923" s="21"/>
      <c r="G923" s="23"/>
      <c r="H923" s="24"/>
      <c r="I923" s="22"/>
      <c r="J923" s="22"/>
      <c r="K923" s="22"/>
      <c r="L923" s="21"/>
      <c r="M923" s="20"/>
      <c r="N923" s="20"/>
      <c r="O923" s="23"/>
      <c r="P923" s="21"/>
      <c r="Q923" s="20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1"/>
      <c r="AU923" s="25" t="str">
        <f t="shared" si="28"/>
        <v>1Q42</v>
      </c>
      <c r="AV923" t="str">
        <f t="shared" si="29"/>
        <v>1Q42</v>
      </c>
      <c r="BA923">
        <f ca="1">IF(COUNTBLANK(C923)=0,COUNTA(INDIRECT(CONCATENATE("Area!",LEFT(ADDRESS(1,MATCH(C923,Area!$1:$1,0),4),1),"2:",LEFT(ADDRESS(1,MATCH(C923,Area!$1:$1,0),4),1),"99"))),0)</f>
        <v>0</v>
      </c>
      <c r="BB923">
        <f ca="1">IF(COUNTBLANK(D923)=0,COUNTA(INDIRECT(CONCATENATE("Setup!",LEFT(ADDRESS(1,MATCH(CONCATENATE(C923,":",D923),Setup!$1:$1,0),4),1),"2:",LEFT(ADDRESS(1,MATCH(CONCATENATE(C923,":",D923),Setup!$1:$1,0),4),1),"99"))),0)</f>
        <v>0</v>
      </c>
      <c r="BC923">
        <f ca="1">IF(COUNTBLANK(E923)=0,COUNTA(INDIRECT(CONCATENATE("Comp!",SUBSTITUTE(ADDRESS(1,MATCH(CONCATENATE(C923,":",D923,":",E923),Comp!$1:$1,0),4),"1",""),"2:",SUBSTITUTE(ADDRESS(1,MATCH(CONCATENATE(C923,":",D923,":",E923),Comp!$1:$1,0),4),"1",""),"99"))),0)</f>
        <v>0</v>
      </c>
    </row>
    <row r="924" spans="1:55">
      <c r="A924" s="20" t="s">
        <v>73</v>
      </c>
      <c r="B924" s="21"/>
      <c r="C924" s="20"/>
      <c r="D924" s="22"/>
      <c r="E924" s="22"/>
      <c r="F924" s="21"/>
      <c r="G924" s="23"/>
      <c r="H924" s="24"/>
      <c r="I924" s="22"/>
      <c r="J924" s="22"/>
      <c r="K924" s="22"/>
      <c r="L924" s="21"/>
      <c r="M924" s="20"/>
      <c r="N924" s="20"/>
      <c r="O924" s="23"/>
      <c r="P924" s="21"/>
      <c r="Q924" s="20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1"/>
      <c r="AU924" s="25" t="str">
        <f t="shared" si="28"/>
        <v>1Q42</v>
      </c>
      <c r="AV924" t="str">
        <f t="shared" si="29"/>
        <v>1Q42</v>
      </c>
      <c r="BA924">
        <f ca="1">IF(COUNTBLANK(C924)=0,COUNTA(INDIRECT(CONCATENATE("Area!",LEFT(ADDRESS(1,MATCH(C924,Area!$1:$1,0),4),1),"2:",LEFT(ADDRESS(1,MATCH(C924,Area!$1:$1,0),4),1),"99"))),0)</f>
        <v>0</v>
      </c>
      <c r="BB924">
        <f ca="1">IF(COUNTBLANK(D924)=0,COUNTA(INDIRECT(CONCATENATE("Setup!",LEFT(ADDRESS(1,MATCH(CONCATENATE(C924,":",D924),Setup!$1:$1,0),4),1),"2:",LEFT(ADDRESS(1,MATCH(CONCATENATE(C924,":",D924),Setup!$1:$1,0),4),1),"99"))),0)</f>
        <v>0</v>
      </c>
      <c r="BC924">
        <f ca="1">IF(COUNTBLANK(E924)=0,COUNTA(INDIRECT(CONCATENATE("Comp!",SUBSTITUTE(ADDRESS(1,MATCH(CONCATENATE(C924,":",D924,":",E924),Comp!$1:$1,0),4),"1",""),"2:",SUBSTITUTE(ADDRESS(1,MATCH(CONCATENATE(C924,":",D924,":",E924),Comp!$1:$1,0),4),"1",""),"99"))),0)</f>
        <v>0</v>
      </c>
    </row>
    <row r="925" spans="1:55">
      <c r="A925" s="20" t="s">
        <v>73</v>
      </c>
      <c r="B925" s="21"/>
      <c r="C925" s="20"/>
      <c r="D925" s="22"/>
      <c r="E925" s="22"/>
      <c r="F925" s="21"/>
      <c r="G925" s="23"/>
      <c r="H925" s="24"/>
      <c r="I925" s="22"/>
      <c r="J925" s="22"/>
      <c r="K925" s="22"/>
      <c r="L925" s="21"/>
      <c r="M925" s="20"/>
      <c r="N925" s="20"/>
      <c r="O925" s="23"/>
      <c r="P925" s="21"/>
      <c r="Q925" s="20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1"/>
      <c r="AU925" s="25" t="str">
        <f t="shared" si="28"/>
        <v>1Q42</v>
      </c>
      <c r="AV925" t="str">
        <f t="shared" si="29"/>
        <v>1Q42</v>
      </c>
      <c r="BA925">
        <f ca="1">IF(COUNTBLANK(C925)=0,COUNTA(INDIRECT(CONCATENATE("Area!",LEFT(ADDRESS(1,MATCH(C925,Area!$1:$1,0),4),1),"2:",LEFT(ADDRESS(1,MATCH(C925,Area!$1:$1,0),4),1),"99"))),0)</f>
        <v>0</v>
      </c>
      <c r="BB925">
        <f ca="1">IF(COUNTBLANK(D925)=0,COUNTA(INDIRECT(CONCATENATE("Setup!",LEFT(ADDRESS(1,MATCH(CONCATENATE(C925,":",D925),Setup!$1:$1,0),4),1),"2:",LEFT(ADDRESS(1,MATCH(CONCATENATE(C925,":",D925),Setup!$1:$1,0),4),1),"99"))),0)</f>
        <v>0</v>
      </c>
      <c r="BC925">
        <f ca="1">IF(COUNTBLANK(E925)=0,COUNTA(INDIRECT(CONCATENATE("Comp!",SUBSTITUTE(ADDRESS(1,MATCH(CONCATENATE(C925,":",D925,":",E925),Comp!$1:$1,0),4),"1",""),"2:",SUBSTITUTE(ADDRESS(1,MATCH(CONCATENATE(C925,":",D925,":",E925),Comp!$1:$1,0),4),"1",""),"99"))),0)</f>
        <v>0</v>
      </c>
    </row>
    <row r="926" spans="1:55">
      <c r="A926" s="20" t="s">
        <v>73</v>
      </c>
      <c r="B926" s="21"/>
      <c r="C926" s="20"/>
      <c r="D926" s="22"/>
      <c r="E926" s="22"/>
      <c r="F926" s="21"/>
      <c r="G926" s="23"/>
      <c r="H926" s="24"/>
      <c r="I926" s="22"/>
      <c r="J926" s="22"/>
      <c r="K926" s="22"/>
      <c r="L926" s="21"/>
      <c r="M926" s="20"/>
      <c r="N926" s="20"/>
      <c r="O926" s="23"/>
      <c r="P926" s="21"/>
      <c r="Q926" s="20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1"/>
      <c r="AU926" s="25" t="str">
        <f t="shared" si="28"/>
        <v>1Q42</v>
      </c>
      <c r="AV926" t="str">
        <f t="shared" si="29"/>
        <v>1Q42</v>
      </c>
      <c r="BA926">
        <f ca="1">IF(COUNTBLANK(C926)=0,COUNTA(INDIRECT(CONCATENATE("Area!",LEFT(ADDRESS(1,MATCH(C926,Area!$1:$1,0),4),1),"2:",LEFT(ADDRESS(1,MATCH(C926,Area!$1:$1,0),4),1),"99"))),0)</f>
        <v>0</v>
      </c>
      <c r="BB926">
        <f ca="1">IF(COUNTBLANK(D926)=0,COUNTA(INDIRECT(CONCATENATE("Setup!",LEFT(ADDRESS(1,MATCH(CONCATENATE(C926,":",D926),Setup!$1:$1,0),4),1),"2:",LEFT(ADDRESS(1,MATCH(CONCATENATE(C926,":",D926),Setup!$1:$1,0),4),1),"99"))),0)</f>
        <v>0</v>
      </c>
      <c r="BC926">
        <f ca="1">IF(COUNTBLANK(E926)=0,COUNTA(INDIRECT(CONCATENATE("Comp!",SUBSTITUTE(ADDRESS(1,MATCH(CONCATENATE(C926,":",D926,":",E926),Comp!$1:$1,0),4),"1",""),"2:",SUBSTITUTE(ADDRESS(1,MATCH(CONCATENATE(C926,":",D926,":",E926),Comp!$1:$1,0),4),"1",""),"99"))),0)</f>
        <v>0</v>
      </c>
    </row>
    <row r="927" spans="1:55">
      <c r="A927" s="20" t="s">
        <v>73</v>
      </c>
      <c r="B927" s="21"/>
      <c r="C927" s="20"/>
      <c r="D927" s="22"/>
      <c r="E927" s="22"/>
      <c r="F927" s="21"/>
      <c r="G927" s="23"/>
      <c r="H927" s="24"/>
      <c r="I927" s="22"/>
      <c r="J927" s="22"/>
      <c r="K927" s="22"/>
      <c r="L927" s="21"/>
      <c r="M927" s="20"/>
      <c r="N927" s="20"/>
      <c r="O927" s="23"/>
      <c r="P927" s="21"/>
      <c r="Q927" s="20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1"/>
      <c r="AU927" s="25" t="str">
        <f t="shared" si="28"/>
        <v>1Q42</v>
      </c>
      <c r="AV927" t="str">
        <f t="shared" si="29"/>
        <v>1Q42</v>
      </c>
      <c r="BA927">
        <f ca="1">IF(COUNTBLANK(C927)=0,COUNTA(INDIRECT(CONCATENATE("Area!",LEFT(ADDRESS(1,MATCH(C927,Area!$1:$1,0),4),1),"2:",LEFT(ADDRESS(1,MATCH(C927,Area!$1:$1,0),4),1),"99"))),0)</f>
        <v>0</v>
      </c>
      <c r="BB927">
        <f ca="1">IF(COUNTBLANK(D927)=0,COUNTA(INDIRECT(CONCATENATE("Setup!",LEFT(ADDRESS(1,MATCH(CONCATENATE(C927,":",D927),Setup!$1:$1,0),4),1),"2:",LEFT(ADDRESS(1,MATCH(CONCATENATE(C927,":",D927),Setup!$1:$1,0),4),1),"99"))),0)</f>
        <v>0</v>
      </c>
      <c r="BC927">
        <f ca="1">IF(COUNTBLANK(E927)=0,COUNTA(INDIRECT(CONCATENATE("Comp!",SUBSTITUTE(ADDRESS(1,MATCH(CONCATENATE(C927,":",D927,":",E927),Comp!$1:$1,0),4),"1",""),"2:",SUBSTITUTE(ADDRESS(1,MATCH(CONCATENATE(C927,":",D927,":",E927),Comp!$1:$1,0),4),"1",""),"99"))),0)</f>
        <v>0</v>
      </c>
    </row>
    <row r="928" spans="1:55">
      <c r="A928" s="20" t="s">
        <v>73</v>
      </c>
      <c r="B928" s="21"/>
      <c r="C928" s="20"/>
      <c r="D928" s="22"/>
      <c r="E928" s="22"/>
      <c r="F928" s="21"/>
      <c r="G928" s="23"/>
      <c r="H928" s="24"/>
      <c r="I928" s="22"/>
      <c r="J928" s="22"/>
      <c r="K928" s="22"/>
      <c r="L928" s="21"/>
      <c r="M928" s="20"/>
      <c r="N928" s="20"/>
      <c r="O928" s="23"/>
      <c r="P928" s="21"/>
      <c r="Q928" s="20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1"/>
      <c r="AU928" s="25" t="str">
        <f t="shared" si="28"/>
        <v>1Q42</v>
      </c>
      <c r="AV928" t="str">
        <f t="shared" si="29"/>
        <v>1Q42</v>
      </c>
      <c r="BA928">
        <f ca="1">IF(COUNTBLANK(C928)=0,COUNTA(INDIRECT(CONCATENATE("Area!",LEFT(ADDRESS(1,MATCH(C928,Area!$1:$1,0),4),1),"2:",LEFT(ADDRESS(1,MATCH(C928,Area!$1:$1,0),4),1),"99"))),0)</f>
        <v>0</v>
      </c>
      <c r="BB928">
        <f ca="1">IF(COUNTBLANK(D928)=0,COUNTA(INDIRECT(CONCATENATE("Setup!",LEFT(ADDRESS(1,MATCH(CONCATENATE(C928,":",D928),Setup!$1:$1,0),4),1),"2:",LEFT(ADDRESS(1,MATCH(CONCATENATE(C928,":",D928),Setup!$1:$1,0),4),1),"99"))),0)</f>
        <v>0</v>
      </c>
      <c r="BC928">
        <f ca="1">IF(COUNTBLANK(E928)=0,COUNTA(INDIRECT(CONCATENATE("Comp!",SUBSTITUTE(ADDRESS(1,MATCH(CONCATENATE(C928,":",D928,":",E928),Comp!$1:$1,0),4),"1",""),"2:",SUBSTITUTE(ADDRESS(1,MATCH(CONCATENATE(C928,":",D928,":",E928),Comp!$1:$1,0),4),"1",""),"99"))),0)</f>
        <v>0</v>
      </c>
    </row>
    <row r="929" spans="1:55">
      <c r="A929" s="20" t="s">
        <v>73</v>
      </c>
      <c r="B929" s="21"/>
      <c r="C929" s="20"/>
      <c r="D929" s="22"/>
      <c r="E929" s="22"/>
      <c r="F929" s="21"/>
      <c r="G929" s="23"/>
      <c r="H929" s="24"/>
      <c r="I929" s="22"/>
      <c r="J929" s="22"/>
      <c r="K929" s="22"/>
      <c r="L929" s="21"/>
      <c r="M929" s="20"/>
      <c r="N929" s="20"/>
      <c r="O929" s="23"/>
      <c r="P929" s="21"/>
      <c r="Q929" s="20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1"/>
      <c r="AU929" s="25" t="str">
        <f t="shared" si="28"/>
        <v>1Q42</v>
      </c>
      <c r="AV929" t="str">
        <f t="shared" si="29"/>
        <v>1Q42</v>
      </c>
      <c r="BA929">
        <f ca="1">IF(COUNTBLANK(C929)=0,COUNTA(INDIRECT(CONCATENATE("Area!",LEFT(ADDRESS(1,MATCH(C929,Area!$1:$1,0),4),1),"2:",LEFT(ADDRESS(1,MATCH(C929,Area!$1:$1,0),4),1),"99"))),0)</f>
        <v>0</v>
      </c>
      <c r="BB929">
        <f ca="1">IF(COUNTBLANK(D929)=0,COUNTA(INDIRECT(CONCATENATE("Setup!",LEFT(ADDRESS(1,MATCH(CONCATENATE(C929,":",D929),Setup!$1:$1,0),4),1),"2:",LEFT(ADDRESS(1,MATCH(CONCATENATE(C929,":",D929),Setup!$1:$1,0),4),1),"99"))),0)</f>
        <v>0</v>
      </c>
      <c r="BC929">
        <f ca="1">IF(COUNTBLANK(E929)=0,COUNTA(INDIRECT(CONCATENATE("Comp!",SUBSTITUTE(ADDRESS(1,MATCH(CONCATENATE(C929,":",D929,":",E929),Comp!$1:$1,0),4),"1",""),"2:",SUBSTITUTE(ADDRESS(1,MATCH(CONCATENATE(C929,":",D929,":",E929),Comp!$1:$1,0),4),"1",""),"99"))),0)</f>
        <v>0</v>
      </c>
    </row>
    <row r="930" spans="1:55">
      <c r="A930" s="20" t="s">
        <v>73</v>
      </c>
      <c r="B930" s="21"/>
      <c r="C930" s="20"/>
      <c r="D930" s="22"/>
      <c r="E930" s="22"/>
      <c r="F930" s="21"/>
      <c r="G930" s="23"/>
      <c r="H930" s="24"/>
      <c r="I930" s="22"/>
      <c r="J930" s="22"/>
      <c r="K930" s="22"/>
      <c r="L930" s="21"/>
      <c r="M930" s="20"/>
      <c r="N930" s="20"/>
      <c r="O930" s="23"/>
      <c r="P930" s="21"/>
      <c r="Q930" s="20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1"/>
      <c r="AU930" s="25" t="str">
        <f t="shared" si="28"/>
        <v>1Q42</v>
      </c>
      <c r="AV930" t="str">
        <f t="shared" si="29"/>
        <v>1Q42</v>
      </c>
      <c r="BA930">
        <f ca="1">IF(COUNTBLANK(C930)=0,COUNTA(INDIRECT(CONCATENATE("Area!",LEFT(ADDRESS(1,MATCH(C930,Area!$1:$1,0),4),1),"2:",LEFT(ADDRESS(1,MATCH(C930,Area!$1:$1,0),4),1),"99"))),0)</f>
        <v>0</v>
      </c>
      <c r="BB930">
        <f ca="1">IF(COUNTBLANK(D930)=0,COUNTA(INDIRECT(CONCATENATE("Setup!",LEFT(ADDRESS(1,MATCH(CONCATENATE(C930,":",D930),Setup!$1:$1,0),4),1),"2:",LEFT(ADDRESS(1,MATCH(CONCATENATE(C930,":",D930),Setup!$1:$1,0),4),1),"99"))),0)</f>
        <v>0</v>
      </c>
      <c r="BC930">
        <f ca="1">IF(COUNTBLANK(E930)=0,COUNTA(INDIRECT(CONCATENATE("Comp!",SUBSTITUTE(ADDRESS(1,MATCH(CONCATENATE(C930,":",D930,":",E930),Comp!$1:$1,0),4),"1",""),"2:",SUBSTITUTE(ADDRESS(1,MATCH(CONCATENATE(C930,":",D930,":",E930),Comp!$1:$1,0),4),"1",""),"99"))),0)</f>
        <v>0</v>
      </c>
    </row>
    <row r="931" spans="1:55">
      <c r="A931" s="20" t="s">
        <v>73</v>
      </c>
      <c r="B931" s="21"/>
      <c r="C931" s="20"/>
      <c r="D931" s="22"/>
      <c r="E931" s="22"/>
      <c r="F931" s="21"/>
      <c r="G931" s="23"/>
      <c r="H931" s="24"/>
      <c r="I931" s="22"/>
      <c r="J931" s="22"/>
      <c r="K931" s="22"/>
      <c r="L931" s="21"/>
      <c r="M931" s="20"/>
      <c r="N931" s="20"/>
      <c r="O931" s="23"/>
      <c r="P931" s="21"/>
      <c r="Q931" s="20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1"/>
      <c r="AU931" s="25" t="str">
        <f t="shared" si="28"/>
        <v>1Q42</v>
      </c>
      <c r="AV931" t="str">
        <f t="shared" si="29"/>
        <v>1Q42</v>
      </c>
      <c r="BA931">
        <f ca="1">IF(COUNTBLANK(C931)=0,COUNTA(INDIRECT(CONCATENATE("Area!",LEFT(ADDRESS(1,MATCH(C931,Area!$1:$1,0),4),1),"2:",LEFT(ADDRESS(1,MATCH(C931,Area!$1:$1,0),4),1),"99"))),0)</f>
        <v>0</v>
      </c>
      <c r="BB931">
        <f ca="1">IF(COUNTBLANK(D931)=0,COUNTA(INDIRECT(CONCATENATE("Setup!",LEFT(ADDRESS(1,MATCH(CONCATENATE(C931,":",D931),Setup!$1:$1,0),4),1),"2:",LEFT(ADDRESS(1,MATCH(CONCATENATE(C931,":",D931),Setup!$1:$1,0),4),1),"99"))),0)</f>
        <v>0</v>
      </c>
      <c r="BC931">
        <f ca="1">IF(COUNTBLANK(E931)=0,COUNTA(INDIRECT(CONCATENATE("Comp!",SUBSTITUTE(ADDRESS(1,MATCH(CONCATENATE(C931,":",D931,":",E931),Comp!$1:$1,0),4),"1",""),"2:",SUBSTITUTE(ADDRESS(1,MATCH(CONCATENATE(C931,":",D931,":",E931),Comp!$1:$1,0),4),"1",""),"99"))),0)</f>
        <v>0</v>
      </c>
    </row>
    <row r="932" spans="1:55">
      <c r="A932" s="20" t="s">
        <v>73</v>
      </c>
      <c r="B932" s="21"/>
      <c r="C932" s="20"/>
      <c r="D932" s="22"/>
      <c r="E932" s="22"/>
      <c r="F932" s="21"/>
      <c r="G932" s="23"/>
      <c r="H932" s="24"/>
      <c r="I932" s="22"/>
      <c r="J932" s="22"/>
      <c r="K932" s="22"/>
      <c r="L932" s="21"/>
      <c r="M932" s="20"/>
      <c r="N932" s="20"/>
      <c r="O932" s="23"/>
      <c r="P932" s="21"/>
      <c r="Q932" s="20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1"/>
      <c r="AU932" s="25" t="str">
        <f t="shared" si="28"/>
        <v>1Q42</v>
      </c>
      <c r="AV932" t="str">
        <f t="shared" si="29"/>
        <v>1Q42</v>
      </c>
      <c r="BA932">
        <f ca="1">IF(COUNTBLANK(C932)=0,COUNTA(INDIRECT(CONCATENATE("Area!",LEFT(ADDRESS(1,MATCH(C932,Area!$1:$1,0),4),1),"2:",LEFT(ADDRESS(1,MATCH(C932,Area!$1:$1,0),4),1),"99"))),0)</f>
        <v>0</v>
      </c>
      <c r="BB932">
        <f ca="1">IF(COUNTBLANK(D932)=0,COUNTA(INDIRECT(CONCATENATE("Setup!",LEFT(ADDRESS(1,MATCH(CONCATENATE(C932,":",D932),Setup!$1:$1,0),4),1),"2:",LEFT(ADDRESS(1,MATCH(CONCATENATE(C932,":",D932),Setup!$1:$1,0),4),1),"99"))),0)</f>
        <v>0</v>
      </c>
      <c r="BC932">
        <f ca="1">IF(COUNTBLANK(E932)=0,COUNTA(INDIRECT(CONCATENATE("Comp!",SUBSTITUTE(ADDRESS(1,MATCH(CONCATENATE(C932,":",D932,":",E932),Comp!$1:$1,0),4),"1",""),"2:",SUBSTITUTE(ADDRESS(1,MATCH(CONCATENATE(C932,":",D932,":",E932),Comp!$1:$1,0),4),"1",""),"99"))),0)</f>
        <v>0</v>
      </c>
    </row>
    <row r="933" spans="1:55">
      <c r="A933" s="20" t="s">
        <v>73</v>
      </c>
      <c r="B933" s="21"/>
      <c r="C933" s="20"/>
      <c r="D933" s="22"/>
      <c r="E933" s="22"/>
      <c r="F933" s="21"/>
      <c r="G933" s="23"/>
      <c r="H933" s="24"/>
      <c r="I933" s="22"/>
      <c r="J933" s="22"/>
      <c r="K933" s="22"/>
      <c r="L933" s="21"/>
      <c r="M933" s="20"/>
      <c r="N933" s="20"/>
      <c r="O933" s="23"/>
      <c r="P933" s="21"/>
      <c r="Q933" s="20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1"/>
      <c r="AU933" s="25" t="str">
        <f t="shared" si="28"/>
        <v>1Q42</v>
      </c>
      <c r="AV933" t="str">
        <f t="shared" si="29"/>
        <v>1Q42</v>
      </c>
      <c r="BA933">
        <f ca="1">IF(COUNTBLANK(C933)=0,COUNTA(INDIRECT(CONCATENATE("Area!",LEFT(ADDRESS(1,MATCH(C933,Area!$1:$1,0),4),1),"2:",LEFT(ADDRESS(1,MATCH(C933,Area!$1:$1,0),4),1),"99"))),0)</f>
        <v>0</v>
      </c>
      <c r="BB933">
        <f ca="1">IF(COUNTBLANK(D933)=0,COUNTA(INDIRECT(CONCATENATE("Setup!",LEFT(ADDRESS(1,MATCH(CONCATENATE(C933,":",D933),Setup!$1:$1,0),4),1),"2:",LEFT(ADDRESS(1,MATCH(CONCATENATE(C933,":",D933),Setup!$1:$1,0),4),1),"99"))),0)</f>
        <v>0</v>
      </c>
      <c r="BC933">
        <f ca="1">IF(COUNTBLANK(E933)=0,COUNTA(INDIRECT(CONCATENATE("Comp!",SUBSTITUTE(ADDRESS(1,MATCH(CONCATENATE(C933,":",D933,":",E933),Comp!$1:$1,0),4),"1",""),"2:",SUBSTITUTE(ADDRESS(1,MATCH(CONCATENATE(C933,":",D933,":",E933),Comp!$1:$1,0),4),"1",""),"99"))),0)</f>
        <v>0</v>
      </c>
    </row>
    <row r="934" spans="1:55">
      <c r="A934" s="20" t="s">
        <v>73</v>
      </c>
      <c r="B934" s="21"/>
      <c r="C934" s="20"/>
      <c r="D934" s="22"/>
      <c r="E934" s="22"/>
      <c r="F934" s="21"/>
      <c r="G934" s="23"/>
      <c r="H934" s="24"/>
      <c r="I934" s="22"/>
      <c r="J934" s="22"/>
      <c r="K934" s="22"/>
      <c r="L934" s="21"/>
      <c r="M934" s="20"/>
      <c r="N934" s="20"/>
      <c r="O934" s="23"/>
      <c r="P934" s="21"/>
      <c r="Q934" s="20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1"/>
      <c r="AU934" s="25" t="str">
        <f t="shared" si="28"/>
        <v>1Q42</v>
      </c>
      <c r="AV934" t="str">
        <f t="shared" si="29"/>
        <v>1Q42</v>
      </c>
      <c r="BA934">
        <f ca="1">IF(COUNTBLANK(C934)=0,COUNTA(INDIRECT(CONCATENATE("Area!",LEFT(ADDRESS(1,MATCH(C934,Area!$1:$1,0),4),1),"2:",LEFT(ADDRESS(1,MATCH(C934,Area!$1:$1,0),4),1),"99"))),0)</f>
        <v>0</v>
      </c>
      <c r="BB934">
        <f ca="1">IF(COUNTBLANK(D934)=0,COUNTA(INDIRECT(CONCATENATE("Setup!",LEFT(ADDRESS(1,MATCH(CONCATENATE(C934,":",D934),Setup!$1:$1,0),4),1),"2:",LEFT(ADDRESS(1,MATCH(CONCATENATE(C934,":",D934),Setup!$1:$1,0),4),1),"99"))),0)</f>
        <v>0</v>
      </c>
      <c r="BC934">
        <f ca="1">IF(COUNTBLANK(E934)=0,COUNTA(INDIRECT(CONCATENATE("Comp!",SUBSTITUTE(ADDRESS(1,MATCH(CONCATENATE(C934,":",D934,":",E934),Comp!$1:$1,0),4),"1",""),"2:",SUBSTITUTE(ADDRESS(1,MATCH(CONCATENATE(C934,":",D934,":",E934),Comp!$1:$1,0),4),"1",""),"99"))),0)</f>
        <v>0</v>
      </c>
    </row>
    <row r="935" spans="1:55">
      <c r="A935" s="20" t="s">
        <v>73</v>
      </c>
      <c r="B935" s="21"/>
      <c r="C935" s="20"/>
      <c r="D935" s="22"/>
      <c r="E935" s="22"/>
      <c r="F935" s="21"/>
      <c r="G935" s="23"/>
      <c r="H935" s="24"/>
      <c r="I935" s="22"/>
      <c r="J935" s="22"/>
      <c r="K935" s="22"/>
      <c r="L935" s="21"/>
      <c r="M935" s="20"/>
      <c r="N935" s="20"/>
      <c r="O935" s="23"/>
      <c r="P935" s="21"/>
      <c r="Q935" s="20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1"/>
      <c r="AU935" s="25" t="str">
        <f t="shared" si="28"/>
        <v>1Q42</v>
      </c>
      <c r="AV935" t="str">
        <f t="shared" si="29"/>
        <v>1Q42</v>
      </c>
      <c r="BA935">
        <f ca="1">IF(COUNTBLANK(C935)=0,COUNTA(INDIRECT(CONCATENATE("Area!",LEFT(ADDRESS(1,MATCH(C935,Area!$1:$1,0),4),1),"2:",LEFT(ADDRESS(1,MATCH(C935,Area!$1:$1,0),4),1),"99"))),0)</f>
        <v>0</v>
      </c>
      <c r="BB935">
        <f ca="1">IF(COUNTBLANK(D935)=0,COUNTA(INDIRECT(CONCATENATE("Setup!",LEFT(ADDRESS(1,MATCH(CONCATENATE(C935,":",D935),Setup!$1:$1,0),4),1),"2:",LEFT(ADDRESS(1,MATCH(CONCATENATE(C935,":",D935),Setup!$1:$1,0),4),1),"99"))),0)</f>
        <v>0</v>
      </c>
      <c r="BC935">
        <f ca="1">IF(COUNTBLANK(E935)=0,COUNTA(INDIRECT(CONCATENATE("Comp!",SUBSTITUTE(ADDRESS(1,MATCH(CONCATENATE(C935,":",D935,":",E935),Comp!$1:$1,0),4),"1",""),"2:",SUBSTITUTE(ADDRESS(1,MATCH(CONCATENATE(C935,":",D935,":",E935),Comp!$1:$1,0),4),"1",""),"99"))),0)</f>
        <v>0</v>
      </c>
    </row>
    <row r="936" spans="1:55">
      <c r="A936" s="20" t="s">
        <v>73</v>
      </c>
      <c r="B936" s="21"/>
      <c r="C936" s="20"/>
      <c r="D936" s="22"/>
      <c r="E936" s="22"/>
      <c r="F936" s="21"/>
      <c r="G936" s="23"/>
      <c r="H936" s="24"/>
      <c r="I936" s="22"/>
      <c r="J936" s="22"/>
      <c r="K936" s="22"/>
      <c r="L936" s="21"/>
      <c r="M936" s="20"/>
      <c r="N936" s="20"/>
      <c r="O936" s="23"/>
      <c r="P936" s="21"/>
      <c r="Q936" s="20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1"/>
      <c r="AU936" s="25" t="str">
        <f t="shared" si="28"/>
        <v>1Q42</v>
      </c>
      <c r="AV936" t="str">
        <f t="shared" si="29"/>
        <v>1Q42</v>
      </c>
      <c r="BA936">
        <f ca="1">IF(COUNTBLANK(C936)=0,COUNTA(INDIRECT(CONCATENATE("Area!",LEFT(ADDRESS(1,MATCH(C936,Area!$1:$1,0),4),1),"2:",LEFT(ADDRESS(1,MATCH(C936,Area!$1:$1,0),4),1),"99"))),0)</f>
        <v>0</v>
      </c>
      <c r="BB936">
        <f ca="1">IF(COUNTBLANK(D936)=0,COUNTA(INDIRECT(CONCATENATE("Setup!",LEFT(ADDRESS(1,MATCH(CONCATENATE(C936,":",D936),Setup!$1:$1,0),4),1),"2:",LEFT(ADDRESS(1,MATCH(CONCATENATE(C936,":",D936),Setup!$1:$1,0),4),1),"99"))),0)</f>
        <v>0</v>
      </c>
      <c r="BC936">
        <f ca="1">IF(COUNTBLANK(E936)=0,COUNTA(INDIRECT(CONCATENATE("Comp!",SUBSTITUTE(ADDRESS(1,MATCH(CONCATENATE(C936,":",D936,":",E936),Comp!$1:$1,0),4),"1",""),"2:",SUBSTITUTE(ADDRESS(1,MATCH(CONCATENATE(C936,":",D936,":",E936),Comp!$1:$1,0),4),"1",""),"99"))),0)</f>
        <v>0</v>
      </c>
    </row>
    <row r="937" spans="1:55">
      <c r="A937" s="20" t="s">
        <v>73</v>
      </c>
      <c r="B937" s="21"/>
      <c r="C937" s="20"/>
      <c r="D937" s="22"/>
      <c r="E937" s="22"/>
      <c r="F937" s="21"/>
      <c r="G937" s="23"/>
      <c r="H937" s="24"/>
      <c r="I937" s="22"/>
      <c r="J937" s="22"/>
      <c r="K937" s="22"/>
      <c r="L937" s="21"/>
      <c r="M937" s="20"/>
      <c r="N937" s="20"/>
      <c r="O937" s="23"/>
      <c r="P937" s="21"/>
      <c r="Q937" s="20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1"/>
      <c r="AU937" s="25" t="str">
        <f t="shared" si="28"/>
        <v>1Q42</v>
      </c>
      <c r="AV937" t="str">
        <f t="shared" si="29"/>
        <v>1Q42</v>
      </c>
      <c r="BA937">
        <f ca="1">IF(COUNTBLANK(C937)=0,COUNTA(INDIRECT(CONCATENATE("Area!",LEFT(ADDRESS(1,MATCH(C937,Area!$1:$1,0),4),1),"2:",LEFT(ADDRESS(1,MATCH(C937,Area!$1:$1,0),4),1),"99"))),0)</f>
        <v>0</v>
      </c>
      <c r="BB937">
        <f ca="1">IF(COUNTBLANK(D937)=0,COUNTA(INDIRECT(CONCATENATE("Setup!",LEFT(ADDRESS(1,MATCH(CONCATENATE(C937,":",D937),Setup!$1:$1,0),4),1),"2:",LEFT(ADDRESS(1,MATCH(CONCATENATE(C937,":",D937),Setup!$1:$1,0),4),1),"99"))),0)</f>
        <v>0</v>
      </c>
      <c r="BC937">
        <f ca="1">IF(COUNTBLANK(E937)=0,COUNTA(INDIRECT(CONCATENATE("Comp!",SUBSTITUTE(ADDRESS(1,MATCH(CONCATENATE(C937,":",D937,":",E937),Comp!$1:$1,0),4),"1",""),"2:",SUBSTITUTE(ADDRESS(1,MATCH(CONCATENATE(C937,":",D937,":",E937),Comp!$1:$1,0),4),"1",""),"99"))),0)</f>
        <v>0</v>
      </c>
    </row>
    <row r="938" spans="1:55">
      <c r="A938" s="20" t="s">
        <v>73</v>
      </c>
      <c r="B938" s="21"/>
      <c r="C938" s="20"/>
      <c r="D938" s="22"/>
      <c r="E938" s="22"/>
      <c r="F938" s="21"/>
      <c r="G938" s="23"/>
      <c r="H938" s="24"/>
      <c r="I938" s="22"/>
      <c r="J938" s="22"/>
      <c r="K938" s="22"/>
      <c r="L938" s="21"/>
      <c r="M938" s="20"/>
      <c r="N938" s="20"/>
      <c r="O938" s="23"/>
      <c r="P938" s="21"/>
      <c r="Q938" s="20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1"/>
      <c r="AU938" s="25" t="str">
        <f t="shared" si="28"/>
        <v>1Q42</v>
      </c>
      <c r="AV938" t="str">
        <f t="shared" si="29"/>
        <v>1Q42</v>
      </c>
      <c r="BA938">
        <f ca="1">IF(COUNTBLANK(C938)=0,COUNTA(INDIRECT(CONCATENATE("Area!",LEFT(ADDRESS(1,MATCH(C938,Area!$1:$1,0),4),1),"2:",LEFT(ADDRESS(1,MATCH(C938,Area!$1:$1,0),4),1),"99"))),0)</f>
        <v>0</v>
      </c>
      <c r="BB938">
        <f ca="1">IF(COUNTBLANK(D938)=0,COUNTA(INDIRECT(CONCATENATE("Setup!",LEFT(ADDRESS(1,MATCH(CONCATENATE(C938,":",D938),Setup!$1:$1,0),4),1),"2:",LEFT(ADDRESS(1,MATCH(CONCATENATE(C938,":",D938),Setup!$1:$1,0),4),1),"99"))),0)</f>
        <v>0</v>
      </c>
      <c r="BC938">
        <f ca="1">IF(COUNTBLANK(E938)=0,COUNTA(INDIRECT(CONCATENATE("Comp!",SUBSTITUTE(ADDRESS(1,MATCH(CONCATENATE(C938,":",D938,":",E938),Comp!$1:$1,0),4),"1",""),"2:",SUBSTITUTE(ADDRESS(1,MATCH(CONCATENATE(C938,":",D938,":",E938),Comp!$1:$1,0),4),"1",""),"99"))),0)</f>
        <v>0</v>
      </c>
    </row>
    <row r="939" spans="1:55">
      <c r="A939" s="20" t="s">
        <v>73</v>
      </c>
      <c r="B939" s="21"/>
      <c r="C939" s="20"/>
      <c r="D939" s="22"/>
      <c r="E939" s="22"/>
      <c r="F939" s="21"/>
      <c r="G939" s="23"/>
      <c r="H939" s="24"/>
      <c r="I939" s="22"/>
      <c r="J939" s="22"/>
      <c r="K939" s="22"/>
      <c r="L939" s="21"/>
      <c r="M939" s="20"/>
      <c r="N939" s="20"/>
      <c r="O939" s="23"/>
      <c r="P939" s="21"/>
      <c r="Q939" s="20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1"/>
      <c r="AU939" s="25" t="str">
        <f t="shared" si="28"/>
        <v>1Q42</v>
      </c>
      <c r="AV939" t="str">
        <f t="shared" si="29"/>
        <v>1Q42</v>
      </c>
      <c r="BA939">
        <f ca="1">IF(COUNTBLANK(C939)=0,COUNTA(INDIRECT(CONCATENATE("Area!",LEFT(ADDRESS(1,MATCH(C939,Area!$1:$1,0),4),1),"2:",LEFT(ADDRESS(1,MATCH(C939,Area!$1:$1,0),4),1),"99"))),0)</f>
        <v>0</v>
      </c>
      <c r="BB939">
        <f ca="1">IF(COUNTBLANK(D939)=0,COUNTA(INDIRECT(CONCATENATE("Setup!",LEFT(ADDRESS(1,MATCH(CONCATENATE(C939,":",D939),Setup!$1:$1,0),4),1),"2:",LEFT(ADDRESS(1,MATCH(CONCATENATE(C939,":",D939),Setup!$1:$1,0),4),1),"99"))),0)</f>
        <v>0</v>
      </c>
      <c r="BC939">
        <f ca="1">IF(COUNTBLANK(E939)=0,COUNTA(INDIRECT(CONCATENATE("Comp!",SUBSTITUTE(ADDRESS(1,MATCH(CONCATENATE(C939,":",D939,":",E939),Comp!$1:$1,0),4),"1",""),"2:",SUBSTITUTE(ADDRESS(1,MATCH(CONCATENATE(C939,":",D939,":",E939),Comp!$1:$1,0),4),"1",""),"99"))),0)</f>
        <v>0</v>
      </c>
    </row>
    <row r="940" spans="1:55">
      <c r="A940" s="20" t="s">
        <v>73</v>
      </c>
      <c r="B940" s="21"/>
      <c r="C940" s="20"/>
      <c r="D940" s="22"/>
      <c r="E940" s="22"/>
      <c r="F940" s="21"/>
      <c r="G940" s="23"/>
      <c r="H940" s="24"/>
      <c r="I940" s="22"/>
      <c r="J940" s="22"/>
      <c r="K940" s="22"/>
      <c r="L940" s="21"/>
      <c r="M940" s="20"/>
      <c r="N940" s="20"/>
      <c r="O940" s="23"/>
      <c r="P940" s="21"/>
      <c r="Q940" s="20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1"/>
      <c r="AU940" s="25" t="str">
        <f t="shared" si="28"/>
        <v>1Q42</v>
      </c>
      <c r="AV940" t="str">
        <f t="shared" si="29"/>
        <v>1Q42</v>
      </c>
      <c r="BA940">
        <f ca="1">IF(COUNTBLANK(C940)=0,COUNTA(INDIRECT(CONCATENATE("Area!",LEFT(ADDRESS(1,MATCH(C940,Area!$1:$1,0),4),1),"2:",LEFT(ADDRESS(1,MATCH(C940,Area!$1:$1,0),4),1),"99"))),0)</f>
        <v>0</v>
      </c>
      <c r="BB940">
        <f ca="1">IF(COUNTBLANK(D940)=0,COUNTA(INDIRECT(CONCATENATE("Setup!",LEFT(ADDRESS(1,MATCH(CONCATENATE(C940,":",D940),Setup!$1:$1,0),4),1),"2:",LEFT(ADDRESS(1,MATCH(CONCATENATE(C940,":",D940),Setup!$1:$1,0),4),1),"99"))),0)</f>
        <v>0</v>
      </c>
      <c r="BC940">
        <f ca="1">IF(COUNTBLANK(E940)=0,COUNTA(INDIRECT(CONCATENATE("Comp!",SUBSTITUTE(ADDRESS(1,MATCH(CONCATENATE(C940,":",D940,":",E940),Comp!$1:$1,0),4),"1",""),"2:",SUBSTITUTE(ADDRESS(1,MATCH(CONCATENATE(C940,":",D940,":",E940),Comp!$1:$1,0),4),"1",""),"99"))),0)</f>
        <v>0</v>
      </c>
    </row>
    <row r="941" spans="1:55">
      <c r="A941" s="20" t="s">
        <v>73</v>
      </c>
      <c r="B941" s="21"/>
      <c r="C941" s="20"/>
      <c r="D941" s="22"/>
      <c r="E941" s="22"/>
      <c r="F941" s="21"/>
      <c r="G941" s="23"/>
      <c r="H941" s="24"/>
      <c r="I941" s="22"/>
      <c r="J941" s="22"/>
      <c r="K941" s="22"/>
      <c r="L941" s="21"/>
      <c r="M941" s="20"/>
      <c r="N941" s="20"/>
      <c r="O941" s="23"/>
      <c r="P941" s="21"/>
      <c r="Q941" s="20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1"/>
      <c r="AU941" s="25" t="str">
        <f t="shared" si="28"/>
        <v>1Q42</v>
      </c>
      <c r="AV941" t="str">
        <f t="shared" si="29"/>
        <v>1Q42</v>
      </c>
      <c r="BA941">
        <f ca="1">IF(COUNTBLANK(C941)=0,COUNTA(INDIRECT(CONCATENATE("Area!",LEFT(ADDRESS(1,MATCH(C941,Area!$1:$1,0),4),1),"2:",LEFT(ADDRESS(1,MATCH(C941,Area!$1:$1,0),4),1),"99"))),0)</f>
        <v>0</v>
      </c>
      <c r="BB941">
        <f ca="1">IF(COUNTBLANK(D941)=0,COUNTA(INDIRECT(CONCATENATE("Setup!",LEFT(ADDRESS(1,MATCH(CONCATENATE(C941,":",D941),Setup!$1:$1,0),4),1),"2:",LEFT(ADDRESS(1,MATCH(CONCATENATE(C941,":",D941),Setup!$1:$1,0),4),1),"99"))),0)</f>
        <v>0</v>
      </c>
      <c r="BC941">
        <f ca="1">IF(COUNTBLANK(E941)=0,COUNTA(INDIRECT(CONCATENATE("Comp!",SUBSTITUTE(ADDRESS(1,MATCH(CONCATENATE(C941,":",D941,":",E941),Comp!$1:$1,0),4),"1",""),"2:",SUBSTITUTE(ADDRESS(1,MATCH(CONCATENATE(C941,":",D941,":",E941),Comp!$1:$1,0),4),"1",""),"99"))),0)</f>
        <v>0</v>
      </c>
    </row>
    <row r="942" spans="1:55">
      <c r="A942" s="20" t="s">
        <v>73</v>
      </c>
      <c r="B942" s="21"/>
      <c r="C942" s="20"/>
      <c r="D942" s="22"/>
      <c r="E942" s="22"/>
      <c r="F942" s="21"/>
      <c r="G942" s="23"/>
      <c r="H942" s="24"/>
      <c r="I942" s="22"/>
      <c r="J942" s="22"/>
      <c r="K942" s="22"/>
      <c r="L942" s="21"/>
      <c r="M942" s="20"/>
      <c r="N942" s="20"/>
      <c r="O942" s="23"/>
      <c r="P942" s="21"/>
      <c r="Q942" s="20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1"/>
      <c r="AU942" s="25" t="str">
        <f t="shared" si="28"/>
        <v>1Q42</v>
      </c>
      <c r="AV942" t="str">
        <f t="shared" si="29"/>
        <v>1Q42</v>
      </c>
      <c r="BA942">
        <f ca="1">IF(COUNTBLANK(C942)=0,COUNTA(INDIRECT(CONCATENATE("Area!",LEFT(ADDRESS(1,MATCH(C942,Area!$1:$1,0),4),1),"2:",LEFT(ADDRESS(1,MATCH(C942,Area!$1:$1,0),4),1),"99"))),0)</f>
        <v>0</v>
      </c>
      <c r="BB942">
        <f ca="1">IF(COUNTBLANK(D942)=0,COUNTA(INDIRECT(CONCATENATE("Setup!",LEFT(ADDRESS(1,MATCH(CONCATENATE(C942,":",D942),Setup!$1:$1,0),4),1),"2:",LEFT(ADDRESS(1,MATCH(CONCATENATE(C942,":",D942),Setup!$1:$1,0),4),1),"99"))),0)</f>
        <v>0</v>
      </c>
      <c r="BC942">
        <f ca="1">IF(COUNTBLANK(E942)=0,COUNTA(INDIRECT(CONCATENATE("Comp!",SUBSTITUTE(ADDRESS(1,MATCH(CONCATENATE(C942,":",D942,":",E942),Comp!$1:$1,0),4),"1",""),"2:",SUBSTITUTE(ADDRESS(1,MATCH(CONCATENATE(C942,":",D942,":",E942),Comp!$1:$1,0),4),"1",""),"99"))),0)</f>
        <v>0</v>
      </c>
    </row>
    <row r="943" spans="1:55">
      <c r="A943" s="20" t="s">
        <v>73</v>
      </c>
      <c r="B943" s="21"/>
      <c r="C943" s="20"/>
      <c r="D943" s="22"/>
      <c r="E943" s="22"/>
      <c r="F943" s="21"/>
      <c r="G943" s="23"/>
      <c r="H943" s="24"/>
      <c r="I943" s="22"/>
      <c r="J943" s="22"/>
      <c r="K943" s="22"/>
      <c r="L943" s="21"/>
      <c r="M943" s="20"/>
      <c r="N943" s="20"/>
      <c r="O943" s="23"/>
      <c r="P943" s="21"/>
      <c r="Q943" s="20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1"/>
      <c r="AU943" s="25" t="str">
        <f t="shared" si="28"/>
        <v>1Q42</v>
      </c>
      <c r="AV943" t="str">
        <f t="shared" si="29"/>
        <v>1Q42</v>
      </c>
      <c r="BA943">
        <f ca="1">IF(COUNTBLANK(C943)=0,COUNTA(INDIRECT(CONCATENATE("Area!",LEFT(ADDRESS(1,MATCH(C943,Area!$1:$1,0),4),1),"2:",LEFT(ADDRESS(1,MATCH(C943,Area!$1:$1,0),4),1),"99"))),0)</f>
        <v>0</v>
      </c>
      <c r="BB943">
        <f ca="1">IF(COUNTBLANK(D943)=0,COUNTA(INDIRECT(CONCATENATE("Setup!",LEFT(ADDRESS(1,MATCH(CONCATENATE(C943,":",D943),Setup!$1:$1,0),4),1),"2:",LEFT(ADDRESS(1,MATCH(CONCATENATE(C943,":",D943),Setup!$1:$1,0),4),1),"99"))),0)</f>
        <v>0</v>
      </c>
      <c r="BC943">
        <f ca="1">IF(COUNTBLANK(E943)=0,COUNTA(INDIRECT(CONCATENATE("Comp!",SUBSTITUTE(ADDRESS(1,MATCH(CONCATENATE(C943,":",D943,":",E943),Comp!$1:$1,0),4),"1",""),"2:",SUBSTITUTE(ADDRESS(1,MATCH(CONCATENATE(C943,":",D943,":",E943),Comp!$1:$1,0),4),"1",""),"99"))),0)</f>
        <v>0</v>
      </c>
    </row>
    <row r="944" spans="1:55">
      <c r="A944" s="20" t="s">
        <v>73</v>
      </c>
      <c r="B944" s="21"/>
      <c r="C944" s="20"/>
      <c r="D944" s="22"/>
      <c r="E944" s="22"/>
      <c r="F944" s="21"/>
      <c r="G944" s="23"/>
      <c r="H944" s="24"/>
      <c r="I944" s="22"/>
      <c r="J944" s="22"/>
      <c r="K944" s="22"/>
      <c r="L944" s="21"/>
      <c r="M944" s="20"/>
      <c r="N944" s="20"/>
      <c r="O944" s="23"/>
      <c r="P944" s="21"/>
      <c r="Q944" s="20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1"/>
      <c r="AU944" s="25" t="str">
        <f t="shared" si="28"/>
        <v>1Q42</v>
      </c>
      <c r="AV944" t="str">
        <f t="shared" si="29"/>
        <v>1Q42</v>
      </c>
      <c r="BA944">
        <f ca="1">IF(COUNTBLANK(C944)=0,COUNTA(INDIRECT(CONCATENATE("Area!",LEFT(ADDRESS(1,MATCH(C944,Area!$1:$1,0),4),1),"2:",LEFT(ADDRESS(1,MATCH(C944,Area!$1:$1,0),4),1),"99"))),0)</f>
        <v>0</v>
      </c>
      <c r="BB944">
        <f ca="1">IF(COUNTBLANK(D944)=0,COUNTA(INDIRECT(CONCATENATE("Setup!",LEFT(ADDRESS(1,MATCH(CONCATENATE(C944,":",D944),Setup!$1:$1,0),4),1),"2:",LEFT(ADDRESS(1,MATCH(CONCATENATE(C944,":",D944),Setup!$1:$1,0),4),1),"99"))),0)</f>
        <v>0</v>
      </c>
      <c r="BC944">
        <f ca="1">IF(COUNTBLANK(E944)=0,COUNTA(INDIRECT(CONCATENATE("Comp!",SUBSTITUTE(ADDRESS(1,MATCH(CONCATENATE(C944,":",D944,":",E944),Comp!$1:$1,0),4),"1",""),"2:",SUBSTITUTE(ADDRESS(1,MATCH(CONCATENATE(C944,":",D944,":",E944),Comp!$1:$1,0),4),"1",""),"99"))),0)</f>
        <v>0</v>
      </c>
    </row>
    <row r="945" spans="1:55">
      <c r="A945" s="20" t="s">
        <v>73</v>
      </c>
      <c r="B945" s="21"/>
      <c r="C945" s="20"/>
      <c r="D945" s="22"/>
      <c r="E945" s="22"/>
      <c r="F945" s="21"/>
      <c r="G945" s="23"/>
      <c r="H945" s="24"/>
      <c r="I945" s="22"/>
      <c r="J945" s="22"/>
      <c r="K945" s="22"/>
      <c r="L945" s="21"/>
      <c r="M945" s="20"/>
      <c r="N945" s="20"/>
      <c r="O945" s="23"/>
      <c r="P945" s="21"/>
      <c r="Q945" s="20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1"/>
      <c r="AU945" s="25" t="str">
        <f t="shared" si="28"/>
        <v>1Q42</v>
      </c>
      <c r="AV945" t="str">
        <f t="shared" si="29"/>
        <v>1Q42</v>
      </c>
      <c r="BA945">
        <f ca="1">IF(COUNTBLANK(C945)=0,COUNTA(INDIRECT(CONCATENATE("Area!",LEFT(ADDRESS(1,MATCH(C945,Area!$1:$1,0),4),1),"2:",LEFT(ADDRESS(1,MATCH(C945,Area!$1:$1,0),4),1),"99"))),0)</f>
        <v>0</v>
      </c>
      <c r="BB945">
        <f ca="1">IF(COUNTBLANK(D945)=0,COUNTA(INDIRECT(CONCATENATE("Setup!",LEFT(ADDRESS(1,MATCH(CONCATENATE(C945,":",D945),Setup!$1:$1,0),4),1),"2:",LEFT(ADDRESS(1,MATCH(CONCATENATE(C945,":",D945),Setup!$1:$1,0),4),1),"99"))),0)</f>
        <v>0</v>
      </c>
      <c r="BC945">
        <f ca="1">IF(COUNTBLANK(E945)=0,COUNTA(INDIRECT(CONCATENATE("Comp!",SUBSTITUTE(ADDRESS(1,MATCH(CONCATENATE(C945,":",D945,":",E945),Comp!$1:$1,0),4),"1",""),"2:",SUBSTITUTE(ADDRESS(1,MATCH(CONCATENATE(C945,":",D945,":",E945),Comp!$1:$1,0),4),"1",""),"99"))),0)</f>
        <v>0</v>
      </c>
    </row>
    <row r="946" spans="1:55">
      <c r="A946" s="20" t="s">
        <v>73</v>
      </c>
      <c r="B946" s="21"/>
      <c r="C946" s="20"/>
      <c r="D946" s="22"/>
      <c r="E946" s="22"/>
      <c r="F946" s="21"/>
      <c r="G946" s="23"/>
      <c r="H946" s="24"/>
      <c r="I946" s="22"/>
      <c r="J946" s="22"/>
      <c r="K946" s="22"/>
      <c r="L946" s="21"/>
      <c r="M946" s="20"/>
      <c r="N946" s="20"/>
      <c r="O946" s="23"/>
      <c r="P946" s="21"/>
      <c r="Q946" s="20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1"/>
      <c r="AU946" s="25" t="str">
        <f t="shared" si="28"/>
        <v>1Q42</v>
      </c>
      <c r="AV946" t="str">
        <f t="shared" si="29"/>
        <v>1Q42</v>
      </c>
      <c r="BA946">
        <f ca="1">IF(COUNTBLANK(C946)=0,COUNTA(INDIRECT(CONCATENATE("Area!",LEFT(ADDRESS(1,MATCH(C946,Area!$1:$1,0),4),1),"2:",LEFT(ADDRESS(1,MATCH(C946,Area!$1:$1,0),4),1),"99"))),0)</f>
        <v>0</v>
      </c>
      <c r="BB946">
        <f ca="1">IF(COUNTBLANK(D946)=0,COUNTA(INDIRECT(CONCATENATE("Setup!",LEFT(ADDRESS(1,MATCH(CONCATENATE(C946,":",D946),Setup!$1:$1,0),4),1),"2:",LEFT(ADDRESS(1,MATCH(CONCATENATE(C946,":",D946),Setup!$1:$1,0),4),1),"99"))),0)</f>
        <v>0</v>
      </c>
      <c r="BC946">
        <f ca="1">IF(COUNTBLANK(E946)=0,COUNTA(INDIRECT(CONCATENATE("Comp!",SUBSTITUTE(ADDRESS(1,MATCH(CONCATENATE(C946,":",D946,":",E946),Comp!$1:$1,0),4),"1",""),"2:",SUBSTITUTE(ADDRESS(1,MATCH(CONCATENATE(C946,":",D946,":",E946),Comp!$1:$1,0),4),"1",""),"99"))),0)</f>
        <v>0</v>
      </c>
    </row>
    <row r="947" spans="1:55">
      <c r="A947" s="20" t="s">
        <v>73</v>
      </c>
      <c r="B947" s="21"/>
      <c r="C947" s="20"/>
      <c r="D947" s="22"/>
      <c r="E947" s="22"/>
      <c r="F947" s="21"/>
      <c r="G947" s="23"/>
      <c r="H947" s="24"/>
      <c r="I947" s="22"/>
      <c r="J947" s="22"/>
      <c r="K947" s="22"/>
      <c r="L947" s="21"/>
      <c r="M947" s="20"/>
      <c r="N947" s="20"/>
      <c r="O947" s="23"/>
      <c r="P947" s="21"/>
      <c r="Q947" s="20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1"/>
      <c r="AU947" s="25" t="str">
        <f t="shared" si="28"/>
        <v>1Q42</v>
      </c>
      <c r="AV947" t="str">
        <f t="shared" si="29"/>
        <v>1Q42</v>
      </c>
      <c r="BA947">
        <f ca="1">IF(COUNTBLANK(C947)=0,COUNTA(INDIRECT(CONCATENATE("Area!",LEFT(ADDRESS(1,MATCH(C947,Area!$1:$1,0),4),1),"2:",LEFT(ADDRESS(1,MATCH(C947,Area!$1:$1,0),4),1),"99"))),0)</f>
        <v>0</v>
      </c>
      <c r="BB947">
        <f ca="1">IF(COUNTBLANK(D947)=0,COUNTA(INDIRECT(CONCATENATE("Setup!",LEFT(ADDRESS(1,MATCH(CONCATENATE(C947,":",D947),Setup!$1:$1,0),4),1),"2:",LEFT(ADDRESS(1,MATCH(CONCATENATE(C947,":",D947),Setup!$1:$1,0),4),1),"99"))),0)</f>
        <v>0</v>
      </c>
      <c r="BC947">
        <f ca="1">IF(COUNTBLANK(E947)=0,COUNTA(INDIRECT(CONCATENATE("Comp!",SUBSTITUTE(ADDRESS(1,MATCH(CONCATENATE(C947,":",D947,":",E947),Comp!$1:$1,0),4),"1",""),"2:",SUBSTITUTE(ADDRESS(1,MATCH(CONCATENATE(C947,":",D947,":",E947),Comp!$1:$1,0),4),"1",""),"99"))),0)</f>
        <v>0</v>
      </c>
    </row>
    <row r="948" spans="1:55">
      <c r="A948" s="20" t="s">
        <v>73</v>
      </c>
      <c r="B948" s="21"/>
      <c r="C948" s="20"/>
      <c r="D948" s="22"/>
      <c r="E948" s="22"/>
      <c r="F948" s="21"/>
      <c r="G948" s="23"/>
      <c r="H948" s="24"/>
      <c r="I948" s="22"/>
      <c r="J948" s="22"/>
      <c r="K948" s="22"/>
      <c r="L948" s="21"/>
      <c r="M948" s="20"/>
      <c r="N948" s="20"/>
      <c r="O948" s="23"/>
      <c r="P948" s="21"/>
      <c r="Q948" s="20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1"/>
      <c r="AU948" s="25" t="str">
        <f t="shared" si="28"/>
        <v>1Q42</v>
      </c>
      <c r="AV948" t="str">
        <f t="shared" si="29"/>
        <v>1Q42</v>
      </c>
      <c r="BA948">
        <f ca="1">IF(COUNTBLANK(C948)=0,COUNTA(INDIRECT(CONCATENATE("Area!",LEFT(ADDRESS(1,MATCH(C948,Area!$1:$1,0),4),1),"2:",LEFT(ADDRESS(1,MATCH(C948,Area!$1:$1,0),4),1),"99"))),0)</f>
        <v>0</v>
      </c>
      <c r="BB948">
        <f ca="1">IF(COUNTBLANK(D948)=0,COUNTA(INDIRECT(CONCATENATE("Setup!",LEFT(ADDRESS(1,MATCH(CONCATENATE(C948,":",D948),Setup!$1:$1,0),4),1),"2:",LEFT(ADDRESS(1,MATCH(CONCATENATE(C948,":",D948),Setup!$1:$1,0),4),1),"99"))),0)</f>
        <v>0</v>
      </c>
      <c r="BC948">
        <f ca="1">IF(COUNTBLANK(E948)=0,COUNTA(INDIRECT(CONCATENATE("Comp!",SUBSTITUTE(ADDRESS(1,MATCH(CONCATENATE(C948,":",D948,":",E948),Comp!$1:$1,0),4),"1",""),"2:",SUBSTITUTE(ADDRESS(1,MATCH(CONCATENATE(C948,":",D948,":",E948),Comp!$1:$1,0),4),"1",""),"99"))),0)</f>
        <v>0</v>
      </c>
    </row>
    <row r="949" spans="1:55">
      <c r="A949" s="20" t="s">
        <v>73</v>
      </c>
      <c r="B949" s="21"/>
      <c r="C949" s="20"/>
      <c r="D949" s="22"/>
      <c r="E949" s="22"/>
      <c r="F949" s="21"/>
      <c r="G949" s="23"/>
      <c r="H949" s="24"/>
      <c r="I949" s="22"/>
      <c r="J949" s="22"/>
      <c r="K949" s="22"/>
      <c r="L949" s="21"/>
      <c r="M949" s="20"/>
      <c r="N949" s="20"/>
      <c r="O949" s="23"/>
      <c r="P949" s="21"/>
      <c r="Q949" s="20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1"/>
      <c r="AU949" s="25" t="str">
        <f t="shared" si="28"/>
        <v>1Q42</v>
      </c>
      <c r="AV949" t="str">
        <f t="shared" si="29"/>
        <v>1Q42</v>
      </c>
      <c r="BA949">
        <f ca="1">IF(COUNTBLANK(C949)=0,COUNTA(INDIRECT(CONCATENATE("Area!",LEFT(ADDRESS(1,MATCH(C949,Area!$1:$1,0),4),1),"2:",LEFT(ADDRESS(1,MATCH(C949,Area!$1:$1,0),4),1),"99"))),0)</f>
        <v>0</v>
      </c>
      <c r="BB949">
        <f ca="1">IF(COUNTBLANK(D949)=0,COUNTA(INDIRECT(CONCATENATE("Setup!",LEFT(ADDRESS(1,MATCH(CONCATENATE(C949,":",D949),Setup!$1:$1,0),4),1),"2:",LEFT(ADDRESS(1,MATCH(CONCATENATE(C949,":",D949),Setup!$1:$1,0),4),1),"99"))),0)</f>
        <v>0</v>
      </c>
      <c r="BC949">
        <f ca="1">IF(COUNTBLANK(E949)=0,COUNTA(INDIRECT(CONCATENATE("Comp!",SUBSTITUTE(ADDRESS(1,MATCH(CONCATENATE(C949,":",D949,":",E949),Comp!$1:$1,0),4),"1",""),"2:",SUBSTITUTE(ADDRESS(1,MATCH(CONCATENATE(C949,":",D949,":",E949),Comp!$1:$1,0),4),"1",""),"99"))),0)</f>
        <v>0</v>
      </c>
    </row>
    <row r="950" spans="1:55">
      <c r="A950" s="20" t="s">
        <v>73</v>
      </c>
      <c r="B950" s="21"/>
      <c r="C950" s="20"/>
      <c r="D950" s="22"/>
      <c r="E950" s="22"/>
      <c r="F950" s="21"/>
      <c r="G950" s="23"/>
      <c r="H950" s="24"/>
      <c r="I950" s="22"/>
      <c r="J950" s="22"/>
      <c r="K950" s="22"/>
      <c r="L950" s="21"/>
      <c r="M950" s="20"/>
      <c r="N950" s="20"/>
      <c r="O950" s="23"/>
      <c r="P950" s="21"/>
      <c r="Q950" s="20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1"/>
      <c r="AU950" s="25" t="str">
        <f t="shared" si="28"/>
        <v>1Q42</v>
      </c>
      <c r="AV950" t="str">
        <f t="shared" si="29"/>
        <v>1Q42</v>
      </c>
      <c r="BA950">
        <f ca="1">IF(COUNTBLANK(C950)=0,COUNTA(INDIRECT(CONCATENATE("Area!",LEFT(ADDRESS(1,MATCH(C950,Area!$1:$1,0),4),1),"2:",LEFT(ADDRESS(1,MATCH(C950,Area!$1:$1,0),4),1),"99"))),0)</f>
        <v>0</v>
      </c>
      <c r="BB950">
        <f ca="1">IF(COUNTBLANK(D950)=0,COUNTA(INDIRECT(CONCATENATE("Setup!",LEFT(ADDRESS(1,MATCH(CONCATENATE(C950,":",D950),Setup!$1:$1,0),4),1),"2:",LEFT(ADDRESS(1,MATCH(CONCATENATE(C950,":",D950),Setup!$1:$1,0),4),1),"99"))),0)</f>
        <v>0</v>
      </c>
      <c r="BC950">
        <f ca="1">IF(COUNTBLANK(E950)=0,COUNTA(INDIRECT(CONCATENATE("Comp!",SUBSTITUTE(ADDRESS(1,MATCH(CONCATENATE(C950,":",D950,":",E950),Comp!$1:$1,0),4),"1",""),"2:",SUBSTITUTE(ADDRESS(1,MATCH(CONCATENATE(C950,":",D950,":",E950),Comp!$1:$1,0),4),"1",""),"99"))),0)</f>
        <v>0</v>
      </c>
    </row>
    <row r="951" spans="1:55">
      <c r="A951" s="20" t="s">
        <v>73</v>
      </c>
      <c r="B951" s="21"/>
      <c r="C951" s="20"/>
      <c r="D951" s="22"/>
      <c r="E951" s="22"/>
      <c r="F951" s="21"/>
      <c r="G951" s="23"/>
      <c r="H951" s="24"/>
      <c r="I951" s="22"/>
      <c r="J951" s="22"/>
      <c r="K951" s="22"/>
      <c r="L951" s="21"/>
      <c r="M951" s="20"/>
      <c r="N951" s="20"/>
      <c r="O951" s="23"/>
      <c r="P951" s="21"/>
      <c r="Q951" s="20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1"/>
      <c r="AU951" s="25" t="str">
        <f t="shared" si="28"/>
        <v>1Q42</v>
      </c>
      <c r="AV951" t="str">
        <f t="shared" si="29"/>
        <v>1Q42</v>
      </c>
      <c r="BA951">
        <f ca="1">IF(COUNTBLANK(C951)=0,COUNTA(INDIRECT(CONCATENATE("Area!",LEFT(ADDRESS(1,MATCH(C951,Area!$1:$1,0),4),1),"2:",LEFT(ADDRESS(1,MATCH(C951,Area!$1:$1,0),4),1),"99"))),0)</f>
        <v>0</v>
      </c>
      <c r="BB951">
        <f ca="1">IF(COUNTBLANK(D951)=0,COUNTA(INDIRECT(CONCATENATE("Setup!",LEFT(ADDRESS(1,MATCH(CONCATENATE(C951,":",D951),Setup!$1:$1,0),4),1),"2:",LEFT(ADDRESS(1,MATCH(CONCATENATE(C951,":",D951),Setup!$1:$1,0),4),1),"99"))),0)</f>
        <v>0</v>
      </c>
      <c r="BC951">
        <f ca="1">IF(COUNTBLANK(E951)=0,COUNTA(INDIRECT(CONCATENATE("Comp!",SUBSTITUTE(ADDRESS(1,MATCH(CONCATENATE(C951,":",D951,":",E951),Comp!$1:$1,0),4),"1",""),"2:",SUBSTITUTE(ADDRESS(1,MATCH(CONCATENATE(C951,":",D951,":",E951),Comp!$1:$1,0),4),"1",""),"99"))),0)</f>
        <v>0</v>
      </c>
    </row>
    <row r="952" spans="1:55">
      <c r="A952" s="20" t="s">
        <v>73</v>
      </c>
      <c r="B952" s="21"/>
      <c r="C952" s="20"/>
      <c r="D952" s="22"/>
      <c r="E952" s="22"/>
      <c r="F952" s="21"/>
      <c r="G952" s="23"/>
      <c r="H952" s="24"/>
      <c r="I952" s="22"/>
      <c r="J952" s="22"/>
      <c r="K952" s="22"/>
      <c r="L952" s="21"/>
      <c r="M952" s="20"/>
      <c r="N952" s="20"/>
      <c r="O952" s="23"/>
      <c r="P952" s="21"/>
      <c r="Q952" s="20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1"/>
      <c r="AU952" s="25" t="str">
        <f t="shared" si="28"/>
        <v>1Q42</v>
      </c>
      <c r="AV952" t="str">
        <f t="shared" si="29"/>
        <v>1Q42</v>
      </c>
      <c r="BA952">
        <f ca="1">IF(COUNTBLANK(C952)=0,COUNTA(INDIRECT(CONCATENATE("Area!",LEFT(ADDRESS(1,MATCH(C952,Area!$1:$1,0),4),1),"2:",LEFT(ADDRESS(1,MATCH(C952,Area!$1:$1,0),4),1),"99"))),0)</f>
        <v>0</v>
      </c>
      <c r="BB952">
        <f ca="1">IF(COUNTBLANK(D952)=0,COUNTA(INDIRECT(CONCATENATE("Setup!",LEFT(ADDRESS(1,MATCH(CONCATENATE(C952,":",D952),Setup!$1:$1,0),4),1),"2:",LEFT(ADDRESS(1,MATCH(CONCATENATE(C952,":",D952),Setup!$1:$1,0),4),1),"99"))),0)</f>
        <v>0</v>
      </c>
      <c r="BC952">
        <f ca="1">IF(COUNTBLANK(E952)=0,COUNTA(INDIRECT(CONCATENATE("Comp!",SUBSTITUTE(ADDRESS(1,MATCH(CONCATENATE(C952,":",D952,":",E952),Comp!$1:$1,0),4),"1",""),"2:",SUBSTITUTE(ADDRESS(1,MATCH(CONCATENATE(C952,":",D952,":",E952),Comp!$1:$1,0),4),"1",""),"99"))),0)</f>
        <v>0</v>
      </c>
    </row>
    <row r="953" spans="1:55">
      <c r="A953" s="20" t="s">
        <v>73</v>
      </c>
      <c r="B953" s="21"/>
      <c r="C953" s="20"/>
      <c r="D953" s="22"/>
      <c r="E953" s="22"/>
      <c r="F953" s="21"/>
      <c r="G953" s="23"/>
      <c r="H953" s="24"/>
      <c r="I953" s="22"/>
      <c r="J953" s="22"/>
      <c r="K953" s="22"/>
      <c r="L953" s="21"/>
      <c r="M953" s="20"/>
      <c r="N953" s="20"/>
      <c r="O953" s="23"/>
      <c r="P953" s="21"/>
      <c r="Q953" s="20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1"/>
      <c r="AU953" s="25" t="str">
        <f t="shared" si="28"/>
        <v>1Q42</v>
      </c>
      <c r="AV953" t="str">
        <f t="shared" si="29"/>
        <v>1Q42</v>
      </c>
      <c r="BA953">
        <f ca="1">IF(COUNTBLANK(C953)=0,COUNTA(INDIRECT(CONCATENATE("Area!",LEFT(ADDRESS(1,MATCH(C953,Area!$1:$1,0),4),1),"2:",LEFT(ADDRESS(1,MATCH(C953,Area!$1:$1,0),4),1),"99"))),0)</f>
        <v>0</v>
      </c>
      <c r="BB953">
        <f ca="1">IF(COUNTBLANK(D953)=0,COUNTA(INDIRECT(CONCATENATE("Setup!",LEFT(ADDRESS(1,MATCH(CONCATENATE(C953,":",D953),Setup!$1:$1,0),4),1),"2:",LEFT(ADDRESS(1,MATCH(CONCATENATE(C953,":",D953),Setup!$1:$1,0),4),1),"99"))),0)</f>
        <v>0</v>
      </c>
      <c r="BC953">
        <f ca="1">IF(COUNTBLANK(E953)=0,COUNTA(INDIRECT(CONCATENATE("Comp!",SUBSTITUTE(ADDRESS(1,MATCH(CONCATENATE(C953,":",D953,":",E953),Comp!$1:$1,0),4),"1",""),"2:",SUBSTITUTE(ADDRESS(1,MATCH(CONCATENATE(C953,":",D953,":",E953),Comp!$1:$1,0),4),"1",""),"99"))),0)</f>
        <v>0</v>
      </c>
    </row>
    <row r="954" spans="1:55">
      <c r="A954" s="20" t="s">
        <v>73</v>
      </c>
      <c r="B954" s="21"/>
      <c r="C954" s="20"/>
      <c r="D954" s="22"/>
      <c r="E954" s="22"/>
      <c r="F954" s="21"/>
      <c r="G954" s="23"/>
      <c r="H954" s="24"/>
      <c r="I954" s="22"/>
      <c r="J954" s="22"/>
      <c r="K954" s="22"/>
      <c r="L954" s="21"/>
      <c r="M954" s="20"/>
      <c r="N954" s="20"/>
      <c r="O954" s="23"/>
      <c r="P954" s="21"/>
      <c r="Q954" s="20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1"/>
      <c r="AU954" s="25" t="str">
        <f t="shared" si="28"/>
        <v>1Q42</v>
      </c>
      <c r="AV954" t="str">
        <f t="shared" si="29"/>
        <v>1Q42</v>
      </c>
      <c r="BA954">
        <f ca="1">IF(COUNTBLANK(C954)=0,COUNTA(INDIRECT(CONCATENATE("Area!",LEFT(ADDRESS(1,MATCH(C954,Area!$1:$1,0),4),1),"2:",LEFT(ADDRESS(1,MATCH(C954,Area!$1:$1,0),4),1),"99"))),0)</f>
        <v>0</v>
      </c>
      <c r="BB954">
        <f ca="1">IF(COUNTBLANK(D954)=0,COUNTA(INDIRECT(CONCATENATE("Setup!",LEFT(ADDRESS(1,MATCH(CONCATENATE(C954,":",D954),Setup!$1:$1,0),4),1),"2:",LEFT(ADDRESS(1,MATCH(CONCATENATE(C954,":",D954),Setup!$1:$1,0),4),1),"99"))),0)</f>
        <v>0</v>
      </c>
      <c r="BC954">
        <f ca="1">IF(COUNTBLANK(E954)=0,COUNTA(INDIRECT(CONCATENATE("Comp!",SUBSTITUTE(ADDRESS(1,MATCH(CONCATENATE(C954,":",D954,":",E954),Comp!$1:$1,0),4),"1",""),"2:",SUBSTITUTE(ADDRESS(1,MATCH(CONCATENATE(C954,":",D954,":",E954),Comp!$1:$1,0),4),"1",""),"99"))),0)</f>
        <v>0</v>
      </c>
    </row>
    <row r="955" spans="1:55">
      <c r="A955" s="20" t="s">
        <v>73</v>
      </c>
      <c r="B955" s="21"/>
      <c r="C955" s="20"/>
      <c r="D955" s="22"/>
      <c r="E955" s="22"/>
      <c r="F955" s="21"/>
      <c r="G955" s="23"/>
      <c r="H955" s="24"/>
      <c r="I955" s="22"/>
      <c r="J955" s="22"/>
      <c r="K955" s="22"/>
      <c r="L955" s="21"/>
      <c r="M955" s="20"/>
      <c r="N955" s="20"/>
      <c r="O955" s="23"/>
      <c r="P955" s="21"/>
      <c r="Q955" s="20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1"/>
      <c r="AU955" s="25" t="str">
        <f t="shared" si="28"/>
        <v>1Q42</v>
      </c>
      <c r="AV955" t="str">
        <f t="shared" si="29"/>
        <v>1Q42</v>
      </c>
      <c r="BA955">
        <f ca="1">IF(COUNTBLANK(C955)=0,COUNTA(INDIRECT(CONCATENATE("Area!",LEFT(ADDRESS(1,MATCH(C955,Area!$1:$1,0),4),1),"2:",LEFT(ADDRESS(1,MATCH(C955,Area!$1:$1,0),4),1),"99"))),0)</f>
        <v>0</v>
      </c>
      <c r="BB955">
        <f ca="1">IF(COUNTBLANK(D955)=0,COUNTA(INDIRECT(CONCATENATE("Setup!",LEFT(ADDRESS(1,MATCH(CONCATENATE(C955,":",D955),Setup!$1:$1,0),4),1),"2:",LEFT(ADDRESS(1,MATCH(CONCATENATE(C955,":",D955),Setup!$1:$1,0),4),1),"99"))),0)</f>
        <v>0</v>
      </c>
      <c r="BC955">
        <f ca="1">IF(COUNTBLANK(E955)=0,COUNTA(INDIRECT(CONCATENATE("Comp!",SUBSTITUTE(ADDRESS(1,MATCH(CONCATENATE(C955,":",D955,":",E955),Comp!$1:$1,0),4),"1",""),"2:",SUBSTITUTE(ADDRESS(1,MATCH(CONCATENATE(C955,":",D955,":",E955),Comp!$1:$1,0),4),"1",""),"99"))),0)</f>
        <v>0</v>
      </c>
    </row>
    <row r="956" spans="1:55">
      <c r="A956" s="20" t="s">
        <v>73</v>
      </c>
      <c r="B956" s="21"/>
      <c r="C956" s="20"/>
      <c r="D956" s="22"/>
      <c r="E956" s="22"/>
      <c r="F956" s="21"/>
      <c r="G956" s="23"/>
      <c r="H956" s="24"/>
      <c r="I956" s="22"/>
      <c r="J956" s="22"/>
      <c r="K956" s="22"/>
      <c r="L956" s="21"/>
      <c r="M956" s="20"/>
      <c r="N956" s="20"/>
      <c r="O956" s="23"/>
      <c r="P956" s="21"/>
      <c r="Q956" s="20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1"/>
      <c r="AU956" s="25" t="str">
        <f t="shared" si="28"/>
        <v>1Q42</v>
      </c>
      <c r="AV956" t="str">
        <f t="shared" si="29"/>
        <v>1Q42</v>
      </c>
      <c r="BA956">
        <f ca="1">IF(COUNTBLANK(C956)=0,COUNTA(INDIRECT(CONCATENATE("Area!",LEFT(ADDRESS(1,MATCH(C956,Area!$1:$1,0),4),1),"2:",LEFT(ADDRESS(1,MATCH(C956,Area!$1:$1,0),4),1),"99"))),0)</f>
        <v>0</v>
      </c>
      <c r="BB956">
        <f ca="1">IF(COUNTBLANK(D956)=0,COUNTA(INDIRECT(CONCATENATE("Setup!",LEFT(ADDRESS(1,MATCH(CONCATENATE(C956,":",D956),Setup!$1:$1,0),4),1),"2:",LEFT(ADDRESS(1,MATCH(CONCATENATE(C956,":",D956),Setup!$1:$1,0),4),1),"99"))),0)</f>
        <v>0</v>
      </c>
      <c r="BC956">
        <f ca="1">IF(COUNTBLANK(E956)=0,COUNTA(INDIRECT(CONCATENATE("Comp!",SUBSTITUTE(ADDRESS(1,MATCH(CONCATENATE(C956,":",D956,":",E956),Comp!$1:$1,0),4),"1",""),"2:",SUBSTITUTE(ADDRESS(1,MATCH(CONCATENATE(C956,":",D956,":",E956),Comp!$1:$1,0),4),"1",""),"99"))),0)</f>
        <v>0</v>
      </c>
    </row>
    <row r="957" spans="1:55">
      <c r="A957" s="20" t="s">
        <v>73</v>
      </c>
      <c r="B957" s="21"/>
      <c r="C957" s="20"/>
      <c r="D957" s="22"/>
      <c r="E957" s="22"/>
      <c r="F957" s="21"/>
      <c r="G957" s="23"/>
      <c r="H957" s="24"/>
      <c r="I957" s="22"/>
      <c r="J957" s="22"/>
      <c r="K957" s="22"/>
      <c r="L957" s="21"/>
      <c r="M957" s="20"/>
      <c r="N957" s="20"/>
      <c r="O957" s="23"/>
      <c r="P957" s="21"/>
      <c r="Q957" s="20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1"/>
      <c r="AU957" s="25" t="str">
        <f t="shared" si="28"/>
        <v>1Q42</v>
      </c>
      <c r="AV957" t="str">
        <f t="shared" si="29"/>
        <v>1Q42</v>
      </c>
      <c r="BA957">
        <f ca="1">IF(COUNTBLANK(C957)=0,COUNTA(INDIRECT(CONCATENATE("Area!",LEFT(ADDRESS(1,MATCH(C957,Area!$1:$1,0),4),1),"2:",LEFT(ADDRESS(1,MATCH(C957,Area!$1:$1,0),4),1),"99"))),0)</f>
        <v>0</v>
      </c>
      <c r="BB957">
        <f ca="1">IF(COUNTBLANK(D957)=0,COUNTA(INDIRECT(CONCATENATE("Setup!",LEFT(ADDRESS(1,MATCH(CONCATENATE(C957,":",D957),Setup!$1:$1,0),4),1),"2:",LEFT(ADDRESS(1,MATCH(CONCATENATE(C957,":",D957),Setup!$1:$1,0),4),1),"99"))),0)</f>
        <v>0</v>
      </c>
      <c r="BC957">
        <f ca="1">IF(COUNTBLANK(E957)=0,COUNTA(INDIRECT(CONCATENATE("Comp!",SUBSTITUTE(ADDRESS(1,MATCH(CONCATENATE(C957,":",D957,":",E957),Comp!$1:$1,0),4),"1",""),"2:",SUBSTITUTE(ADDRESS(1,MATCH(CONCATENATE(C957,":",D957,":",E957),Comp!$1:$1,0),4),"1",""),"99"))),0)</f>
        <v>0</v>
      </c>
    </row>
    <row r="958" spans="1:55">
      <c r="A958" s="20" t="s">
        <v>73</v>
      </c>
      <c r="B958" s="21"/>
      <c r="C958" s="20"/>
      <c r="D958" s="22"/>
      <c r="E958" s="22"/>
      <c r="F958" s="21"/>
      <c r="G958" s="23"/>
      <c r="H958" s="24"/>
      <c r="I958" s="22"/>
      <c r="J958" s="22"/>
      <c r="K958" s="22"/>
      <c r="L958" s="21"/>
      <c r="M958" s="20"/>
      <c r="N958" s="20"/>
      <c r="O958" s="23"/>
      <c r="P958" s="21"/>
      <c r="Q958" s="20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1"/>
      <c r="AU958" s="25" t="str">
        <f t="shared" si="28"/>
        <v>1Q42</v>
      </c>
      <c r="AV958" t="str">
        <f t="shared" si="29"/>
        <v>1Q42</v>
      </c>
      <c r="BA958">
        <f ca="1">IF(COUNTBLANK(C958)=0,COUNTA(INDIRECT(CONCATENATE("Area!",LEFT(ADDRESS(1,MATCH(C958,Area!$1:$1,0),4),1),"2:",LEFT(ADDRESS(1,MATCH(C958,Area!$1:$1,0),4),1),"99"))),0)</f>
        <v>0</v>
      </c>
      <c r="BB958">
        <f ca="1">IF(COUNTBLANK(D958)=0,COUNTA(INDIRECT(CONCATENATE("Setup!",LEFT(ADDRESS(1,MATCH(CONCATENATE(C958,":",D958),Setup!$1:$1,0),4),1),"2:",LEFT(ADDRESS(1,MATCH(CONCATENATE(C958,":",D958),Setup!$1:$1,0),4),1),"99"))),0)</f>
        <v>0</v>
      </c>
      <c r="BC958">
        <f ca="1">IF(COUNTBLANK(E958)=0,COUNTA(INDIRECT(CONCATENATE("Comp!",SUBSTITUTE(ADDRESS(1,MATCH(CONCATENATE(C958,":",D958,":",E958),Comp!$1:$1,0),4),"1",""),"2:",SUBSTITUTE(ADDRESS(1,MATCH(CONCATENATE(C958,":",D958,":",E958),Comp!$1:$1,0),4),"1",""),"99"))),0)</f>
        <v>0</v>
      </c>
    </row>
    <row r="959" spans="1:55">
      <c r="A959" s="20" t="s">
        <v>73</v>
      </c>
      <c r="B959" s="21"/>
      <c r="C959" s="20"/>
      <c r="D959" s="22"/>
      <c r="E959" s="22"/>
      <c r="F959" s="21"/>
      <c r="G959" s="23"/>
      <c r="H959" s="24"/>
      <c r="I959" s="22"/>
      <c r="J959" s="22"/>
      <c r="K959" s="22"/>
      <c r="L959" s="21"/>
      <c r="M959" s="20"/>
      <c r="N959" s="20"/>
      <c r="O959" s="23"/>
      <c r="P959" s="21"/>
      <c r="Q959" s="20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1"/>
      <c r="AU959" s="25" t="str">
        <f t="shared" si="28"/>
        <v>1Q42</v>
      </c>
      <c r="AV959" t="str">
        <f t="shared" si="29"/>
        <v>1Q42</v>
      </c>
      <c r="BA959">
        <f ca="1">IF(COUNTBLANK(C959)=0,COUNTA(INDIRECT(CONCATENATE("Area!",LEFT(ADDRESS(1,MATCH(C959,Area!$1:$1,0),4),1),"2:",LEFT(ADDRESS(1,MATCH(C959,Area!$1:$1,0),4),1),"99"))),0)</f>
        <v>0</v>
      </c>
      <c r="BB959">
        <f ca="1">IF(COUNTBLANK(D959)=0,COUNTA(INDIRECT(CONCATENATE("Setup!",LEFT(ADDRESS(1,MATCH(CONCATENATE(C959,":",D959),Setup!$1:$1,0),4),1),"2:",LEFT(ADDRESS(1,MATCH(CONCATENATE(C959,":",D959),Setup!$1:$1,0),4),1),"99"))),0)</f>
        <v>0</v>
      </c>
      <c r="BC959">
        <f ca="1">IF(COUNTBLANK(E959)=0,COUNTA(INDIRECT(CONCATENATE("Comp!",SUBSTITUTE(ADDRESS(1,MATCH(CONCATENATE(C959,":",D959,":",E959),Comp!$1:$1,0),4),"1",""),"2:",SUBSTITUTE(ADDRESS(1,MATCH(CONCATENATE(C959,":",D959,":",E959),Comp!$1:$1,0),4),"1",""),"99"))),0)</f>
        <v>0</v>
      </c>
    </row>
    <row r="960" spans="1:55">
      <c r="A960" s="20" t="s">
        <v>73</v>
      </c>
      <c r="B960" s="21"/>
      <c r="C960" s="20"/>
      <c r="D960" s="22"/>
      <c r="E960" s="22"/>
      <c r="F960" s="21"/>
      <c r="G960" s="23"/>
      <c r="H960" s="24"/>
      <c r="I960" s="22"/>
      <c r="J960" s="22"/>
      <c r="K960" s="22"/>
      <c r="L960" s="21"/>
      <c r="M960" s="20"/>
      <c r="N960" s="20"/>
      <c r="O960" s="23"/>
      <c r="P960" s="21"/>
      <c r="Q960" s="20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1"/>
      <c r="AU960" s="25" t="str">
        <f t="shared" si="28"/>
        <v>1Q42</v>
      </c>
      <c r="AV960" t="str">
        <f t="shared" si="29"/>
        <v>1Q42</v>
      </c>
      <c r="BA960">
        <f ca="1">IF(COUNTBLANK(C960)=0,COUNTA(INDIRECT(CONCATENATE("Area!",LEFT(ADDRESS(1,MATCH(C960,Area!$1:$1,0),4),1),"2:",LEFT(ADDRESS(1,MATCH(C960,Area!$1:$1,0),4),1),"99"))),0)</f>
        <v>0</v>
      </c>
      <c r="BB960">
        <f ca="1">IF(COUNTBLANK(D960)=0,COUNTA(INDIRECT(CONCATENATE("Setup!",LEFT(ADDRESS(1,MATCH(CONCATENATE(C960,":",D960),Setup!$1:$1,0),4),1),"2:",LEFT(ADDRESS(1,MATCH(CONCATENATE(C960,":",D960),Setup!$1:$1,0),4),1),"99"))),0)</f>
        <v>0</v>
      </c>
      <c r="BC960">
        <f ca="1">IF(COUNTBLANK(E960)=0,COUNTA(INDIRECT(CONCATENATE("Comp!",SUBSTITUTE(ADDRESS(1,MATCH(CONCATENATE(C960,":",D960,":",E960),Comp!$1:$1,0),4),"1",""),"2:",SUBSTITUTE(ADDRESS(1,MATCH(CONCATENATE(C960,":",D960,":",E960),Comp!$1:$1,0),4),"1",""),"99"))),0)</f>
        <v>0</v>
      </c>
    </row>
    <row r="961" spans="1:55">
      <c r="A961" s="20" t="s">
        <v>73</v>
      </c>
      <c r="B961" s="21"/>
      <c r="C961" s="20"/>
      <c r="D961" s="22"/>
      <c r="E961" s="22"/>
      <c r="F961" s="21"/>
      <c r="G961" s="23"/>
      <c r="H961" s="24"/>
      <c r="I961" s="22"/>
      <c r="J961" s="22"/>
      <c r="K961" s="22"/>
      <c r="L961" s="21"/>
      <c r="M961" s="20"/>
      <c r="N961" s="20"/>
      <c r="O961" s="23"/>
      <c r="P961" s="21"/>
      <c r="Q961" s="20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1"/>
      <c r="AU961" s="25" t="str">
        <f t="shared" si="28"/>
        <v>1Q42</v>
      </c>
      <c r="AV961" t="str">
        <f t="shared" si="29"/>
        <v>1Q42</v>
      </c>
      <c r="BA961">
        <f ca="1">IF(COUNTBLANK(C961)=0,COUNTA(INDIRECT(CONCATENATE("Area!",LEFT(ADDRESS(1,MATCH(C961,Area!$1:$1,0),4),1),"2:",LEFT(ADDRESS(1,MATCH(C961,Area!$1:$1,0),4),1),"99"))),0)</f>
        <v>0</v>
      </c>
      <c r="BB961">
        <f ca="1">IF(COUNTBLANK(D961)=0,COUNTA(INDIRECT(CONCATENATE("Setup!",LEFT(ADDRESS(1,MATCH(CONCATENATE(C961,":",D961),Setup!$1:$1,0),4),1),"2:",LEFT(ADDRESS(1,MATCH(CONCATENATE(C961,":",D961),Setup!$1:$1,0),4),1),"99"))),0)</f>
        <v>0</v>
      </c>
      <c r="BC961">
        <f ca="1">IF(COUNTBLANK(E961)=0,COUNTA(INDIRECT(CONCATENATE("Comp!",SUBSTITUTE(ADDRESS(1,MATCH(CONCATENATE(C961,":",D961,":",E961),Comp!$1:$1,0),4),"1",""),"2:",SUBSTITUTE(ADDRESS(1,MATCH(CONCATENATE(C961,":",D961,":",E961),Comp!$1:$1,0),4),"1",""),"99"))),0)</f>
        <v>0</v>
      </c>
    </row>
    <row r="962" spans="1:55">
      <c r="A962" s="20" t="s">
        <v>73</v>
      </c>
      <c r="B962" s="21"/>
      <c r="C962" s="20"/>
      <c r="D962" s="22"/>
      <c r="E962" s="22"/>
      <c r="F962" s="21"/>
      <c r="G962" s="23"/>
      <c r="H962" s="24"/>
      <c r="I962" s="22"/>
      <c r="J962" s="22"/>
      <c r="K962" s="22"/>
      <c r="L962" s="21"/>
      <c r="M962" s="20"/>
      <c r="N962" s="20"/>
      <c r="O962" s="23"/>
      <c r="P962" s="21"/>
      <c r="Q962" s="20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1"/>
      <c r="AU962" s="25" t="str">
        <f t="shared" si="28"/>
        <v>1Q42</v>
      </c>
      <c r="AV962" t="str">
        <f t="shared" si="29"/>
        <v>1Q42</v>
      </c>
      <c r="BA962">
        <f ca="1">IF(COUNTBLANK(C962)=0,COUNTA(INDIRECT(CONCATENATE("Area!",LEFT(ADDRESS(1,MATCH(C962,Area!$1:$1,0),4),1),"2:",LEFT(ADDRESS(1,MATCH(C962,Area!$1:$1,0),4),1),"99"))),0)</f>
        <v>0</v>
      </c>
      <c r="BB962">
        <f ca="1">IF(COUNTBLANK(D962)=0,COUNTA(INDIRECT(CONCATENATE("Setup!",LEFT(ADDRESS(1,MATCH(CONCATENATE(C962,":",D962),Setup!$1:$1,0),4),1),"2:",LEFT(ADDRESS(1,MATCH(CONCATENATE(C962,":",D962),Setup!$1:$1,0),4),1),"99"))),0)</f>
        <v>0</v>
      </c>
      <c r="BC962">
        <f ca="1">IF(COUNTBLANK(E962)=0,COUNTA(INDIRECT(CONCATENATE("Comp!",SUBSTITUTE(ADDRESS(1,MATCH(CONCATENATE(C962,":",D962,":",E962),Comp!$1:$1,0),4),"1",""),"2:",SUBSTITUTE(ADDRESS(1,MATCH(CONCATENATE(C962,":",D962,":",E962),Comp!$1:$1,0),4),"1",""),"99"))),0)</f>
        <v>0</v>
      </c>
    </row>
    <row r="963" spans="1:55">
      <c r="A963" s="20" t="s">
        <v>73</v>
      </c>
      <c r="B963" s="21"/>
      <c r="C963" s="20"/>
      <c r="D963" s="22"/>
      <c r="E963" s="22"/>
      <c r="F963" s="21"/>
      <c r="G963" s="23"/>
      <c r="H963" s="24"/>
      <c r="I963" s="22"/>
      <c r="J963" s="22"/>
      <c r="K963" s="22"/>
      <c r="L963" s="21"/>
      <c r="M963" s="20"/>
      <c r="N963" s="20"/>
      <c r="O963" s="23"/>
      <c r="P963" s="21"/>
      <c r="Q963" s="20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1"/>
      <c r="AU963" s="25" t="str">
        <f t="shared" si="28"/>
        <v>1Q42</v>
      </c>
      <c r="AV963" t="str">
        <f t="shared" si="29"/>
        <v>1Q42</v>
      </c>
      <c r="BA963">
        <f ca="1">IF(COUNTBLANK(C963)=0,COUNTA(INDIRECT(CONCATENATE("Area!",LEFT(ADDRESS(1,MATCH(C963,Area!$1:$1,0),4),1),"2:",LEFT(ADDRESS(1,MATCH(C963,Area!$1:$1,0),4),1),"99"))),0)</f>
        <v>0</v>
      </c>
      <c r="BB963">
        <f ca="1">IF(COUNTBLANK(D963)=0,COUNTA(INDIRECT(CONCATENATE("Setup!",LEFT(ADDRESS(1,MATCH(CONCATENATE(C963,":",D963),Setup!$1:$1,0),4),1),"2:",LEFT(ADDRESS(1,MATCH(CONCATENATE(C963,":",D963),Setup!$1:$1,0),4),1),"99"))),0)</f>
        <v>0</v>
      </c>
      <c r="BC963">
        <f ca="1">IF(COUNTBLANK(E963)=0,COUNTA(INDIRECT(CONCATENATE("Comp!",SUBSTITUTE(ADDRESS(1,MATCH(CONCATENATE(C963,":",D963,":",E963),Comp!$1:$1,0),4),"1",""),"2:",SUBSTITUTE(ADDRESS(1,MATCH(CONCATENATE(C963,":",D963,":",E963),Comp!$1:$1,0),4),"1",""),"99"))),0)</f>
        <v>0</v>
      </c>
    </row>
    <row r="964" spans="1:55">
      <c r="A964" s="20" t="s">
        <v>73</v>
      </c>
      <c r="B964" s="21"/>
      <c r="C964" s="20"/>
      <c r="D964" s="22"/>
      <c r="E964" s="22"/>
      <c r="F964" s="21"/>
      <c r="G964" s="23"/>
      <c r="H964" s="24"/>
      <c r="I964" s="22"/>
      <c r="J964" s="22"/>
      <c r="K964" s="22"/>
      <c r="L964" s="21"/>
      <c r="M964" s="20"/>
      <c r="N964" s="20"/>
      <c r="O964" s="23"/>
      <c r="P964" s="21"/>
      <c r="Q964" s="20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1"/>
      <c r="AU964" s="25" t="str">
        <f t="shared" si="28"/>
        <v>1Q42</v>
      </c>
      <c r="AV964" t="str">
        <f t="shared" si="29"/>
        <v>1Q42</v>
      </c>
      <c r="BA964">
        <f ca="1">IF(COUNTBLANK(C964)=0,COUNTA(INDIRECT(CONCATENATE("Area!",LEFT(ADDRESS(1,MATCH(C964,Area!$1:$1,0),4),1),"2:",LEFT(ADDRESS(1,MATCH(C964,Area!$1:$1,0),4),1),"99"))),0)</f>
        <v>0</v>
      </c>
      <c r="BB964">
        <f ca="1">IF(COUNTBLANK(D964)=0,COUNTA(INDIRECT(CONCATENATE("Setup!",LEFT(ADDRESS(1,MATCH(CONCATENATE(C964,":",D964),Setup!$1:$1,0),4),1),"2:",LEFT(ADDRESS(1,MATCH(CONCATENATE(C964,":",D964),Setup!$1:$1,0),4),1),"99"))),0)</f>
        <v>0</v>
      </c>
      <c r="BC964">
        <f ca="1">IF(COUNTBLANK(E964)=0,COUNTA(INDIRECT(CONCATENATE("Comp!",SUBSTITUTE(ADDRESS(1,MATCH(CONCATENATE(C964,":",D964,":",E964),Comp!$1:$1,0),4),"1",""),"2:",SUBSTITUTE(ADDRESS(1,MATCH(CONCATENATE(C964,":",D964,":",E964),Comp!$1:$1,0),4),"1",""),"99"))),0)</f>
        <v>0</v>
      </c>
    </row>
    <row r="965" spans="1:55">
      <c r="A965" s="20" t="s">
        <v>73</v>
      </c>
      <c r="B965" s="21"/>
      <c r="C965" s="20"/>
      <c r="D965" s="22"/>
      <c r="E965" s="22"/>
      <c r="F965" s="21"/>
      <c r="G965" s="23"/>
      <c r="H965" s="24"/>
      <c r="I965" s="22"/>
      <c r="J965" s="22"/>
      <c r="K965" s="22"/>
      <c r="L965" s="21"/>
      <c r="M965" s="20"/>
      <c r="N965" s="20"/>
      <c r="O965" s="23"/>
      <c r="P965" s="21"/>
      <c r="Q965" s="20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1"/>
      <c r="AU965" s="25" t="str">
        <f t="shared" si="28"/>
        <v>1Q42</v>
      </c>
      <c r="AV965" t="str">
        <f t="shared" si="29"/>
        <v>1Q42</v>
      </c>
      <c r="BA965">
        <f ca="1">IF(COUNTBLANK(C965)=0,COUNTA(INDIRECT(CONCATENATE("Area!",LEFT(ADDRESS(1,MATCH(C965,Area!$1:$1,0),4),1),"2:",LEFT(ADDRESS(1,MATCH(C965,Area!$1:$1,0),4),1),"99"))),0)</f>
        <v>0</v>
      </c>
      <c r="BB965">
        <f ca="1">IF(COUNTBLANK(D965)=0,COUNTA(INDIRECT(CONCATENATE("Setup!",LEFT(ADDRESS(1,MATCH(CONCATENATE(C965,":",D965),Setup!$1:$1,0),4),1),"2:",LEFT(ADDRESS(1,MATCH(CONCATENATE(C965,":",D965),Setup!$1:$1,0),4),1),"99"))),0)</f>
        <v>0</v>
      </c>
      <c r="BC965">
        <f ca="1">IF(COUNTBLANK(E965)=0,COUNTA(INDIRECT(CONCATENATE("Comp!",SUBSTITUTE(ADDRESS(1,MATCH(CONCATENATE(C965,":",D965,":",E965),Comp!$1:$1,0),4),"1",""),"2:",SUBSTITUTE(ADDRESS(1,MATCH(CONCATENATE(C965,":",D965,":",E965),Comp!$1:$1,0),4),"1",""),"99"))),0)</f>
        <v>0</v>
      </c>
    </row>
    <row r="966" spans="1:55">
      <c r="A966" s="20" t="s">
        <v>73</v>
      </c>
      <c r="B966" s="21"/>
      <c r="C966" s="20"/>
      <c r="D966" s="22"/>
      <c r="E966" s="22"/>
      <c r="F966" s="21"/>
      <c r="G966" s="23"/>
      <c r="H966" s="24"/>
      <c r="I966" s="22"/>
      <c r="J966" s="22"/>
      <c r="K966" s="22"/>
      <c r="L966" s="21"/>
      <c r="M966" s="20"/>
      <c r="N966" s="20"/>
      <c r="O966" s="23"/>
      <c r="P966" s="21"/>
      <c r="Q966" s="20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1"/>
      <c r="AU966" s="25" t="str">
        <f t="shared" si="28"/>
        <v>1Q42</v>
      </c>
      <c r="AV966" t="str">
        <f t="shared" si="29"/>
        <v>1Q42</v>
      </c>
      <c r="BA966">
        <f ca="1">IF(COUNTBLANK(C966)=0,COUNTA(INDIRECT(CONCATENATE("Area!",LEFT(ADDRESS(1,MATCH(C966,Area!$1:$1,0),4),1),"2:",LEFT(ADDRESS(1,MATCH(C966,Area!$1:$1,0),4),1),"99"))),0)</f>
        <v>0</v>
      </c>
      <c r="BB966">
        <f ca="1">IF(COUNTBLANK(D966)=0,COUNTA(INDIRECT(CONCATENATE("Setup!",LEFT(ADDRESS(1,MATCH(CONCATENATE(C966,":",D966),Setup!$1:$1,0),4),1),"2:",LEFT(ADDRESS(1,MATCH(CONCATENATE(C966,":",D966),Setup!$1:$1,0),4),1),"99"))),0)</f>
        <v>0</v>
      </c>
      <c r="BC966">
        <f ca="1">IF(COUNTBLANK(E966)=0,COUNTA(INDIRECT(CONCATENATE("Comp!",SUBSTITUTE(ADDRESS(1,MATCH(CONCATENATE(C966,":",D966,":",E966),Comp!$1:$1,0),4),"1",""),"2:",SUBSTITUTE(ADDRESS(1,MATCH(CONCATENATE(C966,":",D966,":",E966),Comp!$1:$1,0),4),"1",""),"99"))),0)</f>
        <v>0</v>
      </c>
    </row>
    <row r="967" spans="1:55">
      <c r="A967" s="20" t="s">
        <v>73</v>
      </c>
      <c r="B967" s="21"/>
      <c r="C967" s="20"/>
      <c r="D967" s="22"/>
      <c r="E967" s="22"/>
      <c r="F967" s="21"/>
      <c r="G967" s="23"/>
      <c r="H967" s="24"/>
      <c r="I967" s="22"/>
      <c r="J967" s="22"/>
      <c r="K967" s="22"/>
      <c r="L967" s="21"/>
      <c r="M967" s="20"/>
      <c r="N967" s="20"/>
      <c r="O967" s="23"/>
      <c r="P967" s="21"/>
      <c r="Q967" s="20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1"/>
      <c r="AU967" s="25" t="str">
        <f t="shared" si="28"/>
        <v>1Q42</v>
      </c>
      <c r="AV967" t="str">
        <f t="shared" si="29"/>
        <v>1Q42</v>
      </c>
      <c r="BA967">
        <f ca="1">IF(COUNTBLANK(C967)=0,COUNTA(INDIRECT(CONCATENATE("Area!",LEFT(ADDRESS(1,MATCH(C967,Area!$1:$1,0),4),1),"2:",LEFT(ADDRESS(1,MATCH(C967,Area!$1:$1,0),4),1),"99"))),0)</f>
        <v>0</v>
      </c>
      <c r="BB967">
        <f ca="1">IF(COUNTBLANK(D967)=0,COUNTA(INDIRECT(CONCATENATE("Setup!",LEFT(ADDRESS(1,MATCH(CONCATENATE(C967,":",D967),Setup!$1:$1,0),4),1),"2:",LEFT(ADDRESS(1,MATCH(CONCATENATE(C967,":",D967),Setup!$1:$1,0),4),1),"99"))),0)</f>
        <v>0</v>
      </c>
      <c r="BC967">
        <f ca="1">IF(COUNTBLANK(E967)=0,COUNTA(INDIRECT(CONCATENATE("Comp!",SUBSTITUTE(ADDRESS(1,MATCH(CONCATENATE(C967,":",D967,":",E967),Comp!$1:$1,0),4),"1",""),"2:",SUBSTITUTE(ADDRESS(1,MATCH(CONCATENATE(C967,":",D967,":",E967),Comp!$1:$1,0),4),"1",""),"99"))),0)</f>
        <v>0</v>
      </c>
    </row>
    <row r="968" spans="1:55">
      <c r="A968" s="20" t="s">
        <v>73</v>
      </c>
      <c r="B968" s="21"/>
      <c r="C968" s="20"/>
      <c r="D968" s="22"/>
      <c r="E968" s="22"/>
      <c r="F968" s="21"/>
      <c r="G968" s="23"/>
      <c r="H968" s="24"/>
      <c r="I968" s="22"/>
      <c r="J968" s="22"/>
      <c r="K968" s="22"/>
      <c r="L968" s="21"/>
      <c r="M968" s="20"/>
      <c r="N968" s="20"/>
      <c r="O968" s="23"/>
      <c r="P968" s="21"/>
      <c r="Q968" s="20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1"/>
      <c r="AU968" s="25" t="str">
        <f t="shared" si="28"/>
        <v>1Q42</v>
      </c>
      <c r="AV968" t="str">
        <f t="shared" si="29"/>
        <v>1Q42</v>
      </c>
      <c r="BA968">
        <f ca="1">IF(COUNTBLANK(C968)=0,COUNTA(INDIRECT(CONCATENATE("Area!",LEFT(ADDRESS(1,MATCH(C968,Area!$1:$1,0),4),1),"2:",LEFT(ADDRESS(1,MATCH(C968,Area!$1:$1,0),4),1),"99"))),0)</f>
        <v>0</v>
      </c>
      <c r="BB968">
        <f ca="1">IF(COUNTBLANK(D968)=0,COUNTA(INDIRECT(CONCATENATE("Setup!",LEFT(ADDRESS(1,MATCH(CONCATENATE(C968,":",D968),Setup!$1:$1,0),4),1),"2:",LEFT(ADDRESS(1,MATCH(CONCATENATE(C968,":",D968),Setup!$1:$1,0),4),1),"99"))),0)</f>
        <v>0</v>
      </c>
      <c r="BC968">
        <f ca="1">IF(COUNTBLANK(E968)=0,COUNTA(INDIRECT(CONCATENATE("Comp!",SUBSTITUTE(ADDRESS(1,MATCH(CONCATENATE(C968,":",D968,":",E968),Comp!$1:$1,0),4),"1",""),"2:",SUBSTITUTE(ADDRESS(1,MATCH(CONCATENATE(C968,":",D968,":",E968),Comp!$1:$1,0),4),"1",""),"99"))),0)</f>
        <v>0</v>
      </c>
    </row>
    <row r="969" spans="1:55">
      <c r="A969" s="20" t="s">
        <v>73</v>
      </c>
      <c r="B969" s="21"/>
      <c r="C969" s="20"/>
      <c r="D969" s="22"/>
      <c r="E969" s="22"/>
      <c r="F969" s="21"/>
      <c r="G969" s="23"/>
      <c r="H969" s="24"/>
      <c r="I969" s="22"/>
      <c r="J969" s="22"/>
      <c r="K969" s="22"/>
      <c r="L969" s="21"/>
      <c r="M969" s="20"/>
      <c r="N969" s="20"/>
      <c r="O969" s="23"/>
      <c r="P969" s="21"/>
      <c r="Q969" s="20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1"/>
      <c r="AU969" s="25" t="str">
        <f t="shared" ref="AU969:AU1007" si="30">CONCATENATE(A969,B969)</f>
        <v>1Q42</v>
      </c>
      <c r="AV969" t="str">
        <f t="shared" ref="AV969:AV1007" si="31">CONCATENATE(A969,B969)</f>
        <v>1Q42</v>
      </c>
      <c r="BA969">
        <f ca="1">IF(COUNTBLANK(C969)=0,COUNTA(INDIRECT(CONCATENATE("Area!",LEFT(ADDRESS(1,MATCH(C969,Area!$1:$1,0),4),1),"2:",LEFT(ADDRESS(1,MATCH(C969,Area!$1:$1,0),4),1),"99"))),0)</f>
        <v>0</v>
      </c>
      <c r="BB969">
        <f ca="1">IF(COUNTBLANK(D969)=0,COUNTA(INDIRECT(CONCATENATE("Setup!",LEFT(ADDRESS(1,MATCH(CONCATENATE(C969,":",D969),Setup!$1:$1,0),4),1),"2:",LEFT(ADDRESS(1,MATCH(CONCATENATE(C969,":",D969),Setup!$1:$1,0),4),1),"99"))),0)</f>
        <v>0</v>
      </c>
      <c r="BC969">
        <f ca="1">IF(COUNTBLANK(E969)=0,COUNTA(INDIRECT(CONCATENATE("Comp!",SUBSTITUTE(ADDRESS(1,MATCH(CONCATENATE(C969,":",D969,":",E969),Comp!$1:$1,0),4),"1",""),"2:",SUBSTITUTE(ADDRESS(1,MATCH(CONCATENATE(C969,":",D969,":",E969),Comp!$1:$1,0),4),"1",""),"99"))),0)</f>
        <v>0</v>
      </c>
    </row>
    <row r="970" spans="1:55">
      <c r="A970" s="20" t="s">
        <v>73</v>
      </c>
      <c r="B970" s="21"/>
      <c r="C970" s="20"/>
      <c r="D970" s="22"/>
      <c r="E970" s="22"/>
      <c r="F970" s="21"/>
      <c r="G970" s="23"/>
      <c r="H970" s="24"/>
      <c r="I970" s="22"/>
      <c r="J970" s="22"/>
      <c r="K970" s="22"/>
      <c r="L970" s="21"/>
      <c r="M970" s="20"/>
      <c r="N970" s="20"/>
      <c r="O970" s="23"/>
      <c r="P970" s="21"/>
      <c r="Q970" s="20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1"/>
      <c r="AU970" s="25" t="str">
        <f t="shared" si="30"/>
        <v>1Q42</v>
      </c>
      <c r="AV970" t="str">
        <f t="shared" si="31"/>
        <v>1Q42</v>
      </c>
      <c r="BA970">
        <f ca="1">IF(COUNTBLANK(C970)=0,COUNTA(INDIRECT(CONCATENATE("Area!",LEFT(ADDRESS(1,MATCH(C970,Area!$1:$1,0),4),1),"2:",LEFT(ADDRESS(1,MATCH(C970,Area!$1:$1,0),4),1),"99"))),0)</f>
        <v>0</v>
      </c>
      <c r="BB970">
        <f ca="1">IF(COUNTBLANK(D970)=0,COUNTA(INDIRECT(CONCATENATE("Setup!",LEFT(ADDRESS(1,MATCH(CONCATENATE(C970,":",D970),Setup!$1:$1,0),4),1),"2:",LEFT(ADDRESS(1,MATCH(CONCATENATE(C970,":",D970),Setup!$1:$1,0),4),1),"99"))),0)</f>
        <v>0</v>
      </c>
      <c r="BC970">
        <f ca="1">IF(COUNTBLANK(E970)=0,COUNTA(INDIRECT(CONCATENATE("Comp!",SUBSTITUTE(ADDRESS(1,MATCH(CONCATENATE(C970,":",D970,":",E970),Comp!$1:$1,0),4),"1",""),"2:",SUBSTITUTE(ADDRESS(1,MATCH(CONCATENATE(C970,":",D970,":",E970),Comp!$1:$1,0),4),"1",""),"99"))),0)</f>
        <v>0</v>
      </c>
    </row>
    <row r="971" spans="1:55">
      <c r="A971" s="20" t="s">
        <v>73</v>
      </c>
      <c r="B971" s="21"/>
      <c r="C971" s="20"/>
      <c r="D971" s="22"/>
      <c r="E971" s="22"/>
      <c r="F971" s="21"/>
      <c r="G971" s="23"/>
      <c r="H971" s="24"/>
      <c r="I971" s="22"/>
      <c r="J971" s="22"/>
      <c r="K971" s="22"/>
      <c r="L971" s="21"/>
      <c r="M971" s="20"/>
      <c r="N971" s="20"/>
      <c r="O971" s="23"/>
      <c r="P971" s="21"/>
      <c r="Q971" s="20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1"/>
      <c r="AU971" s="25" t="str">
        <f t="shared" si="30"/>
        <v>1Q42</v>
      </c>
      <c r="AV971" t="str">
        <f t="shared" si="31"/>
        <v>1Q42</v>
      </c>
      <c r="BA971">
        <f ca="1">IF(COUNTBLANK(C971)=0,COUNTA(INDIRECT(CONCATENATE("Area!",LEFT(ADDRESS(1,MATCH(C971,Area!$1:$1,0),4),1),"2:",LEFT(ADDRESS(1,MATCH(C971,Area!$1:$1,0),4),1),"99"))),0)</f>
        <v>0</v>
      </c>
      <c r="BB971">
        <f ca="1">IF(COUNTBLANK(D971)=0,COUNTA(INDIRECT(CONCATENATE("Setup!",LEFT(ADDRESS(1,MATCH(CONCATENATE(C971,":",D971),Setup!$1:$1,0),4),1),"2:",LEFT(ADDRESS(1,MATCH(CONCATENATE(C971,":",D971),Setup!$1:$1,0),4),1),"99"))),0)</f>
        <v>0</v>
      </c>
      <c r="BC971">
        <f ca="1">IF(COUNTBLANK(E971)=0,COUNTA(INDIRECT(CONCATENATE("Comp!",SUBSTITUTE(ADDRESS(1,MATCH(CONCATENATE(C971,":",D971,":",E971),Comp!$1:$1,0),4),"1",""),"2:",SUBSTITUTE(ADDRESS(1,MATCH(CONCATENATE(C971,":",D971,":",E971),Comp!$1:$1,0),4),"1",""),"99"))),0)</f>
        <v>0</v>
      </c>
    </row>
    <row r="972" spans="1:55">
      <c r="A972" s="20" t="s">
        <v>73</v>
      </c>
      <c r="B972" s="21"/>
      <c r="C972" s="20"/>
      <c r="D972" s="22"/>
      <c r="E972" s="22"/>
      <c r="F972" s="21"/>
      <c r="G972" s="23"/>
      <c r="H972" s="24"/>
      <c r="I972" s="22"/>
      <c r="J972" s="22"/>
      <c r="K972" s="22"/>
      <c r="L972" s="21"/>
      <c r="M972" s="20"/>
      <c r="N972" s="20"/>
      <c r="O972" s="23"/>
      <c r="P972" s="21"/>
      <c r="Q972" s="20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1"/>
      <c r="AU972" s="25" t="str">
        <f t="shared" si="30"/>
        <v>1Q42</v>
      </c>
      <c r="AV972" t="str">
        <f t="shared" si="31"/>
        <v>1Q42</v>
      </c>
      <c r="BA972">
        <f ca="1">IF(COUNTBLANK(C972)=0,COUNTA(INDIRECT(CONCATENATE("Area!",LEFT(ADDRESS(1,MATCH(C972,Area!$1:$1,0),4),1),"2:",LEFT(ADDRESS(1,MATCH(C972,Area!$1:$1,0),4),1),"99"))),0)</f>
        <v>0</v>
      </c>
      <c r="BB972">
        <f ca="1">IF(COUNTBLANK(D972)=0,COUNTA(INDIRECT(CONCATENATE("Setup!",LEFT(ADDRESS(1,MATCH(CONCATENATE(C972,":",D972),Setup!$1:$1,0),4),1),"2:",LEFT(ADDRESS(1,MATCH(CONCATENATE(C972,":",D972),Setup!$1:$1,0),4),1),"99"))),0)</f>
        <v>0</v>
      </c>
      <c r="BC972">
        <f ca="1">IF(COUNTBLANK(E972)=0,COUNTA(INDIRECT(CONCATENATE("Comp!",SUBSTITUTE(ADDRESS(1,MATCH(CONCATENATE(C972,":",D972,":",E972),Comp!$1:$1,0),4),"1",""),"2:",SUBSTITUTE(ADDRESS(1,MATCH(CONCATENATE(C972,":",D972,":",E972),Comp!$1:$1,0),4),"1",""),"99"))),0)</f>
        <v>0</v>
      </c>
    </row>
    <row r="973" spans="1:55">
      <c r="A973" s="20" t="s">
        <v>73</v>
      </c>
      <c r="B973" s="21"/>
      <c r="C973" s="20"/>
      <c r="D973" s="22"/>
      <c r="E973" s="22"/>
      <c r="F973" s="21"/>
      <c r="G973" s="23"/>
      <c r="H973" s="24"/>
      <c r="I973" s="22"/>
      <c r="J973" s="22"/>
      <c r="K973" s="22"/>
      <c r="L973" s="21"/>
      <c r="M973" s="20"/>
      <c r="N973" s="20"/>
      <c r="O973" s="23"/>
      <c r="P973" s="21"/>
      <c r="Q973" s="20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1"/>
      <c r="AU973" s="25" t="str">
        <f t="shared" si="30"/>
        <v>1Q42</v>
      </c>
      <c r="AV973" t="str">
        <f t="shared" si="31"/>
        <v>1Q42</v>
      </c>
      <c r="BA973">
        <f ca="1">IF(COUNTBLANK(C973)=0,COUNTA(INDIRECT(CONCATENATE("Area!",LEFT(ADDRESS(1,MATCH(C973,Area!$1:$1,0),4),1),"2:",LEFT(ADDRESS(1,MATCH(C973,Area!$1:$1,0),4),1),"99"))),0)</f>
        <v>0</v>
      </c>
      <c r="BB973">
        <f ca="1">IF(COUNTBLANK(D973)=0,COUNTA(INDIRECT(CONCATENATE("Setup!",LEFT(ADDRESS(1,MATCH(CONCATENATE(C973,":",D973),Setup!$1:$1,0),4),1),"2:",LEFT(ADDRESS(1,MATCH(CONCATENATE(C973,":",D973),Setup!$1:$1,0),4),1),"99"))),0)</f>
        <v>0</v>
      </c>
      <c r="BC973">
        <f ca="1">IF(COUNTBLANK(E973)=0,COUNTA(INDIRECT(CONCATENATE("Comp!",SUBSTITUTE(ADDRESS(1,MATCH(CONCATENATE(C973,":",D973,":",E973),Comp!$1:$1,0),4),"1",""),"2:",SUBSTITUTE(ADDRESS(1,MATCH(CONCATENATE(C973,":",D973,":",E973),Comp!$1:$1,0),4),"1",""),"99"))),0)</f>
        <v>0</v>
      </c>
    </row>
    <row r="974" spans="1:55">
      <c r="A974" s="20" t="s">
        <v>73</v>
      </c>
      <c r="B974" s="21"/>
      <c r="C974" s="20"/>
      <c r="D974" s="22"/>
      <c r="E974" s="22"/>
      <c r="F974" s="21"/>
      <c r="G974" s="23"/>
      <c r="H974" s="24"/>
      <c r="I974" s="22"/>
      <c r="J974" s="22"/>
      <c r="K974" s="22"/>
      <c r="L974" s="21"/>
      <c r="M974" s="20"/>
      <c r="N974" s="20"/>
      <c r="O974" s="23"/>
      <c r="P974" s="21"/>
      <c r="Q974" s="20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1"/>
      <c r="AU974" s="25" t="str">
        <f t="shared" si="30"/>
        <v>1Q42</v>
      </c>
      <c r="AV974" t="str">
        <f t="shared" si="31"/>
        <v>1Q42</v>
      </c>
      <c r="BA974">
        <f ca="1">IF(COUNTBLANK(C974)=0,COUNTA(INDIRECT(CONCATENATE("Area!",LEFT(ADDRESS(1,MATCH(C974,Area!$1:$1,0),4),1),"2:",LEFT(ADDRESS(1,MATCH(C974,Area!$1:$1,0),4),1),"99"))),0)</f>
        <v>0</v>
      </c>
      <c r="BB974">
        <f ca="1">IF(COUNTBLANK(D974)=0,COUNTA(INDIRECT(CONCATENATE("Setup!",LEFT(ADDRESS(1,MATCH(CONCATENATE(C974,":",D974),Setup!$1:$1,0),4),1),"2:",LEFT(ADDRESS(1,MATCH(CONCATENATE(C974,":",D974),Setup!$1:$1,0),4),1),"99"))),0)</f>
        <v>0</v>
      </c>
      <c r="BC974">
        <f ca="1">IF(COUNTBLANK(E974)=0,COUNTA(INDIRECT(CONCATENATE("Comp!",SUBSTITUTE(ADDRESS(1,MATCH(CONCATENATE(C974,":",D974,":",E974),Comp!$1:$1,0),4),"1",""),"2:",SUBSTITUTE(ADDRESS(1,MATCH(CONCATENATE(C974,":",D974,":",E974),Comp!$1:$1,0),4),"1",""),"99"))),0)</f>
        <v>0</v>
      </c>
    </row>
    <row r="975" spans="1:55">
      <c r="A975" s="20" t="s">
        <v>73</v>
      </c>
      <c r="B975" s="21"/>
      <c r="C975" s="20"/>
      <c r="D975" s="22"/>
      <c r="E975" s="22"/>
      <c r="F975" s="21"/>
      <c r="G975" s="23"/>
      <c r="H975" s="24"/>
      <c r="I975" s="22"/>
      <c r="J975" s="22"/>
      <c r="K975" s="22"/>
      <c r="L975" s="21"/>
      <c r="M975" s="20"/>
      <c r="N975" s="20"/>
      <c r="O975" s="23"/>
      <c r="P975" s="21"/>
      <c r="Q975" s="20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1"/>
      <c r="AU975" s="25" t="str">
        <f t="shared" si="30"/>
        <v>1Q42</v>
      </c>
      <c r="AV975" t="str">
        <f t="shared" si="31"/>
        <v>1Q42</v>
      </c>
      <c r="BA975">
        <f ca="1">IF(COUNTBLANK(C975)=0,COUNTA(INDIRECT(CONCATENATE("Area!",LEFT(ADDRESS(1,MATCH(C975,Area!$1:$1,0),4),1),"2:",LEFT(ADDRESS(1,MATCH(C975,Area!$1:$1,0),4),1),"99"))),0)</f>
        <v>0</v>
      </c>
      <c r="BB975">
        <f ca="1">IF(COUNTBLANK(D975)=0,COUNTA(INDIRECT(CONCATENATE("Setup!",LEFT(ADDRESS(1,MATCH(CONCATENATE(C975,":",D975),Setup!$1:$1,0),4),1),"2:",LEFT(ADDRESS(1,MATCH(CONCATENATE(C975,":",D975),Setup!$1:$1,0),4),1),"99"))),0)</f>
        <v>0</v>
      </c>
      <c r="BC975">
        <f ca="1">IF(COUNTBLANK(E975)=0,COUNTA(INDIRECT(CONCATENATE("Comp!",SUBSTITUTE(ADDRESS(1,MATCH(CONCATENATE(C975,":",D975,":",E975),Comp!$1:$1,0),4),"1",""),"2:",SUBSTITUTE(ADDRESS(1,MATCH(CONCATENATE(C975,":",D975,":",E975),Comp!$1:$1,0),4),"1",""),"99"))),0)</f>
        <v>0</v>
      </c>
    </row>
    <row r="976" spans="1:55">
      <c r="A976" s="20" t="s">
        <v>73</v>
      </c>
      <c r="B976" s="21"/>
      <c r="C976" s="20"/>
      <c r="D976" s="22"/>
      <c r="E976" s="22"/>
      <c r="F976" s="21"/>
      <c r="G976" s="23"/>
      <c r="H976" s="24"/>
      <c r="I976" s="22"/>
      <c r="J976" s="22"/>
      <c r="K976" s="22"/>
      <c r="L976" s="21"/>
      <c r="M976" s="20"/>
      <c r="N976" s="20"/>
      <c r="O976" s="23"/>
      <c r="P976" s="21"/>
      <c r="Q976" s="20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1"/>
      <c r="AU976" s="25" t="str">
        <f t="shared" si="30"/>
        <v>1Q42</v>
      </c>
      <c r="AV976" t="str">
        <f t="shared" si="31"/>
        <v>1Q42</v>
      </c>
      <c r="BA976">
        <f ca="1">IF(COUNTBLANK(C976)=0,COUNTA(INDIRECT(CONCATENATE("Area!",LEFT(ADDRESS(1,MATCH(C976,Area!$1:$1,0),4),1),"2:",LEFT(ADDRESS(1,MATCH(C976,Area!$1:$1,0),4),1),"99"))),0)</f>
        <v>0</v>
      </c>
      <c r="BB976">
        <f ca="1">IF(COUNTBLANK(D976)=0,COUNTA(INDIRECT(CONCATENATE("Setup!",LEFT(ADDRESS(1,MATCH(CONCATENATE(C976,":",D976),Setup!$1:$1,0),4),1),"2:",LEFT(ADDRESS(1,MATCH(CONCATENATE(C976,":",D976),Setup!$1:$1,0),4),1),"99"))),0)</f>
        <v>0</v>
      </c>
      <c r="BC976">
        <f ca="1">IF(COUNTBLANK(E976)=0,COUNTA(INDIRECT(CONCATENATE("Comp!",SUBSTITUTE(ADDRESS(1,MATCH(CONCATENATE(C976,":",D976,":",E976),Comp!$1:$1,0),4),"1",""),"2:",SUBSTITUTE(ADDRESS(1,MATCH(CONCATENATE(C976,":",D976,":",E976),Comp!$1:$1,0),4),"1",""),"99"))),0)</f>
        <v>0</v>
      </c>
    </row>
    <row r="977" spans="1:55">
      <c r="A977" s="20" t="s">
        <v>73</v>
      </c>
      <c r="B977" s="21"/>
      <c r="C977" s="20"/>
      <c r="D977" s="22"/>
      <c r="E977" s="22"/>
      <c r="F977" s="21"/>
      <c r="G977" s="23"/>
      <c r="H977" s="24"/>
      <c r="I977" s="22"/>
      <c r="J977" s="22"/>
      <c r="K977" s="22"/>
      <c r="L977" s="21"/>
      <c r="M977" s="20"/>
      <c r="N977" s="20"/>
      <c r="O977" s="23"/>
      <c r="P977" s="21"/>
      <c r="Q977" s="20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1"/>
      <c r="AU977" s="25" t="str">
        <f t="shared" si="30"/>
        <v>1Q42</v>
      </c>
      <c r="AV977" t="str">
        <f t="shared" si="31"/>
        <v>1Q42</v>
      </c>
      <c r="BA977">
        <f ca="1">IF(COUNTBLANK(C977)=0,COUNTA(INDIRECT(CONCATENATE("Area!",LEFT(ADDRESS(1,MATCH(C977,Area!$1:$1,0),4),1),"2:",LEFT(ADDRESS(1,MATCH(C977,Area!$1:$1,0),4),1),"99"))),0)</f>
        <v>0</v>
      </c>
      <c r="BB977">
        <f ca="1">IF(COUNTBLANK(D977)=0,COUNTA(INDIRECT(CONCATENATE("Setup!",LEFT(ADDRESS(1,MATCH(CONCATENATE(C977,":",D977),Setup!$1:$1,0),4),1),"2:",LEFT(ADDRESS(1,MATCH(CONCATENATE(C977,":",D977),Setup!$1:$1,0),4),1),"99"))),0)</f>
        <v>0</v>
      </c>
      <c r="BC977">
        <f ca="1">IF(COUNTBLANK(E977)=0,COUNTA(INDIRECT(CONCATENATE("Comp!",SUBSTITUTE(ADDRESS(1,MATCH(CONCATENATE(C977,":",D977,":",E977),Comp!$1:$1,0),4),"1",""),"2:",SUBSTITUTE(ADDRESS(1,MATCH(CONCATENATE(C977,":",D977,":",E977),Comp!$1:$1,0),4),"1",""),"99"))),0)</f>
        <v>0</v>
      </c>
    </row>
    <row r="978" spans="1:55">
      <c r="A978" s="20" t="s">
        <v>73</v>
      </c>
      <c r="B978" s="21"/>
      <c r="C978" s="20"/>
      <c r="D978" s="22"/>
      <c r="E978" s="22"/>
      <c r="F978" s="21"/>
      <c r="G978" s="23"/>
      <c r="H978" s="24"/>
      <c r="I978" s="22"/>
      <c r="J978" s="22"/>
      <c r="K978" s="22"/>
      <c r="L978" s="21"/>
      <c r="M978" s="20"/>
      <c r="N978" s="20"/>
      <c r="O978" s="23"/>
      <c r="P978" s="21"/>
      <c r="Q978" s="20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1"/>
      <c r="AU978" s="25" t="str">
        <f t="shared" si="30"/>
        <v>1Q42</v>
      </c>
      <c r="AV978" t="str">
        <f t="shared" si="31"/>
        <v>1Q42</v>
      </c>
      <c r="BA978">
        <f ca="1">IF(COUNTBLANK(C978)=0,COUNTA(INDIRECT(CONCATENATE("Area!",LEFT(ADDRESS(1,MATCH(C978,Area!$1:$1,0),4),1),"2:",LEFT(ADDRESS(1,MATCH(C978,Area!$1:$1,0),4),1),"99"))),0)</f>
        <v>0</v>
      </c>
      <c r="BB978">
        <f ca="1">IF(COUNTBLANK(D978)=0,COUNTA(INDIRECT(CONCATENATE("Setup!",LEFT(ADDRESS(1,MATCH(CONCATENATE(C978,":",D978),Setup!$1:$1,0),4),1),"2:",LEFT(ADDRESS(1,MATCH(CONCATENATE(C978,":",D978),Setup!$1:$1,0),4),1),"99"))),0)</f>
        <v>0</v>
      </c>
      <c r="BC978">
        <f ca="1">IF(COUNTBLANK(E978)=0,COUNTA(INDIRECT(CONCATENATE("Comp!",SUBSTITUTE(ADDRESS(1,MATCH(CONCATENATE(C978,":",D978,":",E978),Comp!$1:$1,0),4),"1",""),"2:",SUBSTITUTE(ADDRESS(1,MATCH(CONCATENATE(C978,":",D978,":",E978),Comp!$1:$1,0),4),"1",""),"99"))),0)</f>
        <v>0</v>
      </c>
    </row>
    <row r="979" spans="1:55">
      <c r="A979" s="20" t="s">
        <v>73</v>
      </c>
      <c r="B979" s="21"/>
      <c r="C979" s="20"/>
      <c r="D979" s="22"/>
      <c r="E979" s="22"/>
      <c r="F979" s="21"/>
      <c r="G979" s="23"/>
      <c r="H979" s="24"/>
      <c r="I979" s="22"/>
      <c r="J979" s="22"/>
      <c r="K979" s="22"/>
      <c r="L979" s="21"/>
      <c r="M979" s="20"/>
      <c r="N979" s="20"/>
      <c r="O979" s="23"/>
      <c r="P979" s="21"/>
      <c r="Q979" s="20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1"/>
      <c r="AU979" s="25" t="str">
        <f t="shared" si="30"/>
        <v>1Q42</v>
      </c>
      <c r="AV979" t="str">
        <f t="shared" si="31"/>
        <v>1Q42</v>
      </c>
      <c r="BA979">
        <f ca="1">IF(COUNTBLANK(C979)=0,COUNTA(INDIRECT(CONCATENATE("Area!",LEFT(ADDRESS(1,MATCH(C979,Area!$1:$1,0),4),1),"2:",LEFT(ADDRESS(1,MATCH(C979,Area!$1:$1,0),4),1),"99"))),0)</f>
        <v>0</v>
      </c>
      <c r="BB979">
        <f ca="1">IF(COUNTBLANK(D979)=0,COUNTA(INDIRECT(CONCATENATE("Setup!",LEFT(ADDRESS(1,MATCH(CONCATENATE(C979,":",D979),Setup!$1:$1,0),4),1),"2:",LEFT(ADDRESS(1,MATCH(CONCATENATE(C979,":",D979),Setup!$1:$1,0),4),1),"99"))),0)</f>
        <v>0</v>
      </c>
      <c r="BC979">
        <f ca="1">IF(COUNTBLANK(E979)=0,COUNTA(INDIRECT(CONCATENATE("Comp!",SUBSTITUTE(ADDRESS(1,MATCH(CONCATENATE(C979,":",D979,":",E979),Comp!$1:$1,0),4),"1",""),"2:",SUBSTITUTE(ADDRESS(1,MATCH(CONCATENATE(C979,":",D979,":",E979),Comp!$1:$1,0),4),"1",""),"99"))),0)</f>
        <v>0</v>
      </c>
    </row>
    <row r="980" spans="1:55">
      <c r="A980" s="20" t="s">
        <v>73</v>
      </c>
      <c r="B980" s="21"/>
      <c r="C980" s="20"/>
      <c r="D980" s="22"/>
      <c r="E980" s="22"/>
      <c r="F980" s="21"/>
      <c r="G980" s="23"/>
      <c r="H980" s="24"/>
      <c r="I980" s="22"/>
      <c r="J980" s="22"/>
      <c r="K980" s="22"/>
      <c r="L980" s="21"/>
      <c r="M980" s="20"/>
      <c r="N980" s="20"/>
      <c r="O980" s="23"/>
      <c r="P980" s="21"/>
      <c r="Q980" s="20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1"/>
      <c r="AU980" s="25" t="str">
        <f t="shared" si="30"/>
        <v>1Q42</v>
      </c>
      <c r="AV980" t="str">
        <f t="shared" si="31"/>
        <v>1Q42</v>
      </c>
      <c r="BA980">
        <f ca="1">IF(COUNTBLANK(C980)=0,COUNTA(INDIRECT(CONCATENATE("Area!",LEFT(ADDRESS(1,MATCH(C980,Area!$1:$1,0),4),1),"2:",LEFT(ADDRESS(1,MATCH(C980,Area!$1:$1,0),4),1),"99"))),0)</f>
        <v>0</v>
      </c>
      <c r="BB980">
        <f ca="1">IF(COUNTBLANK(D980)=0,COUNTA(INDIRECT(CONCATENATE("Setup!",LEFT(ADDRESS(1,MATCH(CONCATENATE(C980,":",D980),Setup!$1:$1,0),4),1),"2:",LEFT(ADDRESS(1,MATCH(CONCATENATE(C980,":",D980),Setup!$1:$1,0),4),1),"99"))),0)</f>
        <v>0</v>
      </c>
      <c r="BC980">
        <f ca="1">IF(COUNTBLANK(E980)=0,COUNTA(INDIRECT(CONCATENATE("Comp!",SUBSTITUTE(ADDRESS(1,MATCH(CONCATENATE(C980,":",D980,":",E980),Comp!$1:$1,0),4),"1",""),"2:",SUBSTITUTE(ADDRESS(1,MATCH(CONCATENATE(C980,":",D980,":",E980),Comp!$1:$1,0),4),"1",""),"99"))),0)</f>
        <v>0</v>
      </c>
    </row>
    <row r="981" spans="1:55">
      <c r="A981" s="20" t="s">
        <v>73</v>
      </c>
      <c r="B981" s="21"/>
      <c r="C981" s="20"/>
      <c r="D981" s="22"/>
      <c r="E981" s="22"/>
      <c r="F981" s="21"/>
      <c r="G981" s="23"/>
      <c r="H981" s="24"/>
      <c r="I981" s="22"/>
      <c r="J981" s="22"/>
      <c r="K981" s="22"/>
      <c r="L981" s="21"/>
      <c r="M981" s="20"/>
      <c r="N981" s="20"/>
      <c r="O981" s="23"/>
      <c r="P981" s="21"/>
      <c r="Q981" s="20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1"/>
      <c r="AU981" s="25" t="str">
        <f t="shared" si="30"/>
        <v>1Q42</v>
      </c>
      <c r="AV981" t="str">
        <f t="shared" si="31"/>
        <v>1Q42</v>
      </c>
      <c r="BA981">
        <f ca="1">IF(COUNTBLANK(C981)=0,COUNTA(INDIRECT(CONCATENATE("Area!",LEFT(ADDRESS(1,MATCH(C981,Area!$1:$1,0),4),1),"2:",LEFT(ADDRESS(1,MATCH(C981,Area!$1:$1,0),4),1),"99"))),0)</f>
        <v>0</v>
      </c>
      <c r="BB981">
        <f ca="1">IF(COUNTBLANK(D981)=0,COUNTA(INDIRECT(CONCATENATE("Setup!",LEFT(ADDRESS(1,MATCH(CONCATENATE(C981,":",D981),Setup!$1:$1,0),4),1),"2:",LEFT(ADDRESS(1,MATCH(CONCATENATE(C981,":",D981),Setup!$1:$1,0),4),1),"99"))),0)</f>
        <v>0</v>
      </c>
      <c r="BC981">
        <f ca="1">IF(COUNTBLANK(E981)=0,COUNTA(INDIRECT(CONCATENATE("Comp!",SUBSTITUTE(ADDRESS(1,MATCH(CONCATENATE(C981,":",D981,":",E981),Comp!$1:$1,0),4),"1",""),"2:",SUBSTITUTE(ADDRESS(1,MATCH(CONCATENATE(C981,":",D981,":",E981),Comp!$1:$1,0),4),"1",""),"99"))),0)</f>
        <v>0</v>
      </c>
    </row>
    <row r="982" spans="1:55">
      <c r="A982" s="20" t="s">
        <v>73</v>
      </c>
      <c r="B982" s="21"/>
      <c r="C982" s="20"/>
      <c r="D982" s="22"/>
      <c r="E982" s="22"/>
      <c r="F982" s="21"/>
      <c r="G982" s="23"/>
      <c r="H982" s="24"/>
      <c r="I982" s="22"/>
      <c r="J982" s="22"/>
      <c r="K982" s="22"/>
      <c r="L982" s="21"/>
      <c r="M982" s="20"/>
      <c r="N982" s="20"/>
      <c r="O982" s="23"/>
      <c r="P982" s="21"/>
      <c r="Q982" s="20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1"/>
      <c r="AU982" s="25" t="str">
        <f t="shared" si="30"/>
        <v>1Q42</v>
      </c>
      <c r="AV982" t="str">
        <f t="shared" si="31"/>
        <v>1Q42</v>
      </c>
      <c r="BA982">
        <f ca="1">IF(COUNTBLANK(C982)=0,COUNTA(INDIRECT(CONCATENATE("Area!",LEFT(ADDRESS(1,MATCH(C982,Area!$1:$1,0),4),1),"2:",LEFT(ADDRESS(1,MATCH(C982,Area!$1:$1,0),4),1),"99"))),0)</f>
        <v>0</v>
      </c>
      <c r="BB982">
        <f ca="1">IF(COUNTBLANK(D982)=0,COUNTA(INDIRECT(CONCATENATE("Setup!",LEFT(ADDRESS(1,MATCH(CONCATENATE(C982,":",D982),Setup!$1:$1,0),4),1),"2:",LEFT(ADDRESS(1,MATCH(CONCATENATE(C982,":",D982),Setup!$1:$1,0),4),1),"99"))),0)</f>
        <v>0</v>
      </c>
      <c r="BC982">
        <f ca="1">IF(COUNTBLANK(E982)=0,COUNTA(INDIRECT(CONCATENATE("Comp!",SUBSTITUTE(ADDRESS(1,MATCH(CONCATENATE(C982,":",D982,":",E982),Comp!$1:$1,0),4),"1",""),"2:",SUBSTITUTE(ADDRESS(1,MATCH(CONCATENATE(C982,":",D982,":",E982),Comp!$1:$1,0),4),"1",""),"99"))),0)</f>
        <v>0</v>
      </c>
    </row>
    <row r="983" spans="1:55">
      <c r="A983" s="20" t="s">
        <v>73</v>
      </c>
      <c r="B983" s="21"/>
      <c r="C983" s="20"/>
      <c r="D983" s="22"/>
      <c r="E983" s="22"/>
      <c r="F983" s="21"/>
      <c r="G983" s="23"/>
      <c r="H983" s="24"/>
      <c r="I983" s="22"/>
      <c r="J983" s="22"/>
      <c r="K983" s="22"/>
      <c r="L983" s="21"/>
      <c r="M983" s="20"/>
      <c r="N983" s="20"/>
      <c r="O983" s="23"/>
      <c r="P983" s="21"/>
      <c r="Q983" s="20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1"/>
      <c r="AU983" s="25" t="str">
        <f t="shared" si="30"/>
        <v>1Q42</v>
      </c>
      <c r="AV983" t="str">
        <f t="shared" si="31"/>
        <v>1Q42</v>
      </c>
      <c r="BA983">
        <f ca="1">IF(COUNTBLANK(C983)=0,COUNTA(INDIRECT(CONCATENATE("Area!",LEFT(ADDRESS(1,MATCH(C983,Area!$1:$1,0),4),1),"2:",LEFT(ADDRESS(1,MATCH(C983,Area!$1:$1,0),4),1),"99"))),0)</f>
        <v>0</v>
      </c>
      <c r="BB983">
        <f ca="1">IF(COUNTBLANK(D983)=0,COUNTA(INDIRECT(CONCATENATE("Setup!",LEFT(ADDRESS(1,MATCH(CONCATENATE(C983,":",D983),Setup!$1:$1,0),4),1),"2:",LEFT(ADDRESS(1,MATCH(CONCATENATE(C983,":",D983),Setup!$1:$1,0),4),1),"99"))),0)</f>
        <v>0</v>
      </c>
      <c r="BC983">
        <f ca="1">IF(COUNTBLANK(E983)=0,COUNTA(INDIRECT(CONCATENATE("Comp!",SUBSTITUTE(ADDRESS(1,MATCH(CONCATENATE(C983,":",D983,":",E983),Comp!$1:$1,0),4),"1",""),"2:",SUBSTITUTE(ADDRESS(1,MATCH(CONCATENATE(C983,":",D983,":",E983),Comp!$1:$1,0),4),"1",""),"99"))),0)</f>
        <v>0</v>
      </c>
    </row>
    <row r="984" spans="1:55">
      <c r="A984" s="20" t="s">
        <v>73</v>
      </c>
      <c r="B984" s="21"/>
      <c r="C984" s="20"/>
      <c r="D984" s="22"/>
      <c r="E984" s="22"/>
      <c r="F984" s="21"/>
      <c r="G984" s="23"/>
      <c r="H984" s="24"/>
      <c r="I984" s="22"/>
      <c r="J984" s="22"/>
      <c r="K984" s="22"/>
      <c r="L984" s="21"/>
      <c r="M984" s="20"/>
      <c r="N984" s="20"/>
      <c r="O984" s="23"/>
      <c r="P984" s="21"/>
      <c r="Q984" s="20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1"/>
      <c r="AU984" s="25" t="str">
        <f t="shared" si="30"/>
        <v>1Q42</v>
      </c>
      <c r="AV984" t="str">
        <f t="shared" si="31"/>
        <v>1Q42</v>
      </c>
      <c r="BA984">
        <f ca="1">IF(COUNTBLANK(C984)=0,COUNTA(INDIRECT(CONCATENATE("Area!",LEFT(ADDRESS(1,MATCH(C984,Area!$1:$1,0),4),1),"2:",LEFT(ADDRESS(1,MATCH(C984,Area!$1:$1,0),4),1),"99"))),0)</f>
        <v>0</v>
      </c>
      <c r="BB984">
        <f ca="1">IF(COUNTBLANK(D984)=0,COUNTA(INDIRECT(CONCATENATE("Setup!",LEFT(ADDRESS(1,MATCH(CONCATENATE(C984,":",D984),Setup!$1:$1,0),4),1),"2:",LEFT(ADDRESS(1,MATCH(CONCATENATE(C984,":",D984),Setup!$1:$1,0),4),1),"99"))),0)</f>
        <v>0</v>
      </c>
      <c r="BC984">
        <f ca="1">IF(COUNTBLANK(E984)=0,COUNTA(INDIRECT(CONCATENATE("Comp!",SUBSTITUTE(ADDRESS(1,MATCH(CONCATENATE(C984,":",D984,":",E984),Comp!$1:$1,0),4),"1",""),"2:",SUBSTITUTE(ADDRESS(1,MATCH(CONCATENATE(C984,":",D984,":",E984),Comp!$1:$1,0),4),"1",""),"99"))),0)</f>
        <v>0</v>
      </c>
    </row>
    <row r="985" spans="1:55">
      <c r="A985" s="20" t="s">
        <v>73</v>
      </c>
      <c r="B985" s="21"/>
      <c r="C985" s="20"/>
      <c r="D985" s="22"/>
      <c r="E985" s="22"/>
      <c r="F985" s="21"/>
      <c r="G985" s="23"/>
      <c r="H985" s="24"/>
      <c r="I985" s="22"/>
      <c r="J985" s="22"/>
      <c r="K985" s="22"/>
      <c r="L985" s="21"/>
      <c r="M985" s="20"/>
      <c r="N985" s="20"/>
      <c r="O985" s="23"/>
      <c r="P985" s="21"/>
      <c r="Q985" s="20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1"/>
      <c r="AU985" s="25" t="str">
        <f t="shared" si="30"/>
        <v>1Q42</v>
      </c>
      <c r="AV985" t="str">
        <f t="shared" si="31"/>
        <v>1Q42</v>
      </c>
      <c r="BA985">
        <f ca="1">IF(COUNTBLANK(C985)=0,COUNTA(INDIRECT(CONCATENATE("Area!",LEFT(ADDRESS(1,MATCH(C985,Area!$1:$1,0),4),1),"2:",LEFT(ADDRESS(1,MATCH(C985,Area!$1:$1,0),4),1),"99"))),0)</f>
        <v>0</v>
      </c>
      <c r="BB985">
        <f ca="1">IF(COUNTBLANK(D985)=0,COUNTA(INDIRECT(CONCATENATE("Setup!",LEFT(ADDRESS(1,MATCH(CONCATENATE(C985,":",D985),Setup!$1:$1,0),4),1),"2:",LEFT(ADDRESS(1,MATCH(CONCATENATE(C985,":",D985),Setup!$1:$1,0),4),1),"99"))),0)</f>
        <v>0</v>
      </c>
      <c r="BC985">
        <f ca="1">IF(COUNTBLANK(E985)=0,COUNTA(INDIRECT(CONCATENATE("Comp!",SUBSTITUTE(ADDRESS(1,MATCH(CONCATENATE(C985,":",D985,":",E985),Comp!$1:$1,0),4),"1",""),"2:",SUBSTITUTE(ADDRESS(1,MATCH(CONCATENATE(C985,":",D985,":",E985),Comp!$1:$1,0),4),"1",""),"99"))),0)</f>
        <v>0</v>
      </c>
    </row>
    <row r="986" spans="1:55">
      <c r="A986" s="20" t="s">
        <v>73</v>
      </c>
      <c r="B986" s="21"/>
      <c r="C986" s="20"/>
      <c r="D986" s="22"/>
      <c r="E986" s="22"/>
      <c r="F986" s="21"/>
      <c r="G986" s="23"/>
      <c r="H986" s="24"/>
      <c r="I986" s="22"/>
      <c r="J986" s="22"/>
      <c r="K986" s="22"/>
      <c r="L986" s="21"/>
      <c r="M986" s="20"/>
      <c r="N986" s="20"/>
      <c r="O986" s="23"/>
      <c r="P986" s="21"/>
      <c r="Q986" s="20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1"/>
      <c r="AU986" s="25" t="str">
        <f t="shared" si="30"/>
        <v>1Q42</v>
      </c>
      <c r="AV986" t="str">
        <f t="shared" si="31"/>
        <v>1Q42</v>
      </c>
      <c r="BA986">
        <f ca="1">IF(COUNTBLANK(C986)=0,COUNTA(INDIRECT(CONCATENATE("Area!",LEFT(ADDRESS(1,MATCH(C986,Area!$1:$1,0),4),1),"2:",LEFT(ADDRESS(1,MATCH(C986,Area!$1:$1,0),4),1),"99"))),0)</f>
        <v>0</v>
      </c>
      <c r="BB986">
        <f ca="1">IF(COUNTBLANK(D986)=0,COUNTA(INDIRECT(CONCATENATE("Setup!",LEFT(ADDRESS(1,MATCH(CONCATENATE(C986,":",D986),Setup!$1:$1,0),4),1),"2:",LEFT(ADDRESS(1,MATCH(CONCATENATE(C986,":",D986),Setup!$1:$1,0),4),1),"99"))),0)</f>
        <v>0</v>
      </c>
      <c r="BC986">
        <f ca="1">IF(COUNTBLANK(E986)=0,COUNTA(INDIRECT(CONCATENATE("Comp!",SUBSTITUTE(ADDRESS(1,MATCH(CONCATENATE(C986,":",D986,":",E986),Comp!$1:$1,0),4),"1",""),"2:",SUBSTITUTE(ADDRESS(1,MATCH(CONCATENATE(C986,":",D986,":",E986),Comp!$1:$1,0),4),"1",""),"99"))),0)</f>
        <v>0</v>
      </c>
    </row>
    <row r="987" spans="1:55">
      <c r="A987" s="20" t="s">
        <v>73</v>
      </c>
      <c r="B987" s="21"/>
      <c r="C987" s="20"/>
      <c r="D987" s="22"/>
      <c r="E987" s="22"/>
      <c r="F987" s="21"/>
      <c r="G987" s="23"/>
      <c r="H987" s="24"/>
      <c r="I987" s="22"/>
      <c r="J987" s="22"/>
      <c r="K987" s="22"/>
      <c r="L987" s="21"/>
      <c r="M987" s="20"/>
      <c r="N987" s="20"/>
      <c r="O987" s="23"/>
      <c r="P987" s="21"/>
      <c r="Q987" s="20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1"/>
      <c r="AU987" s="25" t="str">
        <f t="shared" si="30"/>
        <v>1Q42</v>
      </c>
      <c r="AV987" t="str">
        <f t="shared" si="31"/>
        <v>1Q42</v>
      </c>
      <c r="BA987">
        <f ca="1">IF(COUNTBLANK(C987)=0,COUNTA(INDIRECT(CONCATENATE("Area!",LEFT(ADDRESS(1,MATCH(C987,Area!$1:$1,0),4),1),"2:",LEFT(ADDRESS(1,MATCH(C987,Area!$1:$1,0),4),1),"99"))),0)</f>
        <v>0</v>
      </c>
      <c r="BB987">
        <f ca="1">IF(COUNTBLANK(D987)=0,COUNTA(INDIRECT(CONCATENATE("Setup!",LEFT(ADDRESS(1,MATCH(CONCATENATE(C987,":",D987),Setup!$1:$1,0),4),1),"2:",LEFT(ADDRESS(1,MATCH(CONCATENATE(C987,":",D987),Setup!$1:$1,0),4),1),"99"))),0)</f>
        <v>0</v>
      </c>
      <c r="BC987">
        <f ca="1">IF(COUNTBLANK(E987)=0,COUNTA(INDIRECT(CONCATENATE("Comp!",SUBSTITUTE(ADDRESS(1,MATCH(CONCATENATE(C987,":",D987,":",E987),Comp!$1:$1,0),4),"1",""),"2:",SUBSTITUTE(ADDRESS(1,MATCH(CONCATENATE(C987,":",D987,":",E987),Comp!$1:$1,0),4),"1",""),"99"))),0)</f>
        <v>0</v>
      </c>
    </row>
    <row r="988" spans="1:55">
      <c r="A988" s="20" t="s">
        <v>73</v>
      </c>
      <c r="B988" s="21"/>
      <c r="C988" s="20"/>
      <c r="D988" s="22"/>
      <c r="E988" s="22"/>
      <c r="F988" s="21"/>
      <c r="G988" s="23"/>
      <c r="H988" s="24"/>
      <c r="I988" s="22"/>
      <c r="J988" s="22"/>
      <c r="K988" s="22"/>
      <c r="L988" s="21"/>
      <c r="M988" s="20"/>
      <c r="N988" s="20"/>
      <c r="O988" s="23"/>
      <c r="P988" s="21"/>
      <c r="Q988" s="20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1"/>
      <c r="AU988" s="25" t="str">
        <f t="shared" si="30"/>
        <v>1Q42</v>
      </c>
      <c r="AV988" t="str">
        <f t="shared" si="31"/>
        <v>1Q42</v>
      </c>
      <c r="BA988">
        <f ca="1">IF(COUNTBLANK(C988)=0,COUNTA(INDIRECT(CONCATENATE("Area!",LEFT(ADDRESS(1,MATCH(C988,Area!$1:$1,0),4),1),"2:",LEFT(ADDRESS(1,MATCH(C988,Area!$1:$1,0),4),1),"99"))),0)</f>
        <v>0</v>
      </c>
      <c r="BB988">
        <f ca="1">IF(COUNTBLANK(D988)=0,COUNTA(INDIRECT(CONCATENATE("Setup!",LEFT(ADDRESS(1,MATCH(CONCATENATE(C988,":",D988),Setup!$1:$1,0),4),1),"2:",LEFT(ADDRESS(1,MATCH(CONCATENATE(C988,":",D988),Setup!$1:$1,0),4),1),"99"))),0)</f>
        <v>0</v>
      </c>
      <c r="BC988">
        <f ca="1">IF(COUNTBLANK(E988)=0,COUNTA(INDIRECT(CONCATENATE("Comp!",SUBSTITUTE(ADDRESS(1,MATCH(CONCATENATE(C988,":",D988,":",E988),Comp!$1:$1,0),4),"1",""),"2:",SUBSTITUTE(ADDRESS(1,MATCH(CONCATENATE(C988,":",D988,":",E988),Comp!$1:$1,0),4),"1",""),"99"))),0)</f>
        <v>0</v>
      </c>
    </row>
    <row r="989" spans="1:55">
      <c r="A989" s="20" t="s">
        <v>73</v>
      </c>
      <c r="B989" s="21"/>
      <c r="C989" s="20"/>
      <c r="D989" s="22"/>
      <c r="E989" s="22"/>
      <c r="F989" s="21"/>
      <c r="G989" s="23"/>
      <c r="H989" s="24"/>
      <c r="I989" s="22"/>
      <c r="J989" s="22"/>
      <c r="K989" s="22"/>
      <c r="L989" s="21"/>
      <c r="M989" s="20"/>
      <c r="N989" s="20"/>
      <c r="O989" s="23"/>
      <c r="P989" s="21"/>
      <c r="Q989" s="20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1"/>
      <c r="AU989" s="25" t="str">
        <f t="shared" si="30"/>
        <v>1Q42</v>
      </c>
      <c r="AV989" t="str">
        <f t="shared" si="31"/>
        <v>1Q42</v>
      </c>
      <c r="BA989">
        <f ca="1">IF(COUNTBLANK(C989)=0,COUNTA(INDIRECT(CONCATENATE("Area!",LEFT(ADDRESS(1,MATCH(C989,Area!$1:$1,0),4),1),"2:",LEFT(ADDRESS(1,MATCH(C989,Area!$1:$1,0),4),1),"99"))),0)</f>
        <v>0</v>
      </c>
      <c r="BB989">
        <f ca="1">IF(COUNTBLANK(D989)=0,COUNTA(INDIRECT(CONCATENATE("Setup!",LEFT(ADDRESS(1,MATCH(CONCATENATE(C989,":",D989),Setup!$1:$1,0),4),1),"2:",LEFT(ADDRESS(1,MATCH(CONCATENATE(C989,":",D989),Setup!$1:$1,0),4),1),"99"))),0)</f>
        <v>0</v>
      </c>
      <c r="BC989">
        <f ca="1">IF(COUNTBLANK(E989)=0,COUNTA(INDIRECT(CONCATENATE("Comp!",SUBSTITUTE(ADDRESS(1,MATCH(CONCATENATE(C989,":",D989,":",E989),Comp!$1:$1,0),4),"1",""),"2:",SUBSTITUTE(ADDRESS(1,MATCH(CONCATENATE(C989,":",D989,":",E989),Comp!$1:$1,0),4),"1",""),"99"))),0)</f>
        <v>0</v>
      </c>
    </row>
    <row r="990" spans="1:55">
      <c r="A990" s="20" t="s">
        <v>73</v>
      </c>
      <c r="B990" s="21"/>
      <c r="C990" s="20"/>
      <c r="D990" s="22"/>
      <c r="E990" s="22"/>
      <c r="F990" s="21"/>
      <c r="G990" s="23"/>
      <c r="H990" s="24"/>
      <c r="I990" s="22"/>
      <c r="J990" s="22"/>
      <c r="K990" s="22"/>
      <c r="L990" s="21"/>
      <c r="M990" s="20"/>
      <c r="N990" s="20"/>
      <c r="O990" s="23"/>
      <c r="P990" s="21"/>
      <c r="Q990" s="20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1"/>
      <c r="AU990" s="25" t="str">
        <f t="shared" si="30"/>
        <v>1Q42</v>
      </c>
      <c r="AV990" t="str">
        <f t="shared" si="31"/>
        <v>1Q42</v>
      </c>
      <c r="BA990">
        <f ca="1">IF(COUNTBLANK(C990)=0,COUNTA(INDIRECT(CONCATENATE("Area!",LEFT(ADDRESS(1,MATCH(C990,Area!$1:$1,0),4),1),"2:",LEFT(ADDRESS(1,MATCH(C990,Area!$1:$1,0),4),1),"99"))),0)</f>
        <v>0</v>
      </c>
      <c r="BB990">
        <f ca="1">IF(COUNTBLANK(D990)=0,COUNTA(INDIRECT(CONCATENATE("Setup!",LEFT(ADDRESS(1,MATCH(CONCATENATE(C990,":",D990),Setup!$1:$1,0),4),1),"2:",LEFT(ADDRESS(1,MATCH(CONCATENATE(C990,":",D990),Setup!$1:$1,0),4),1),"99"))),0)</f>
        <v>0</v>
      </c>
      <c r="BC990">
        <f ca="1">IF(COUNTBLANK(E990)=0,COUNTA(INDIRECT(CONCATENATE("Comp!",SUBSTITUTE(ADDRESS(1,MATCH(CONCATENATE(C990,":",D990,":",E990),Comp!$1:$1,0),4),"1",""),"2:",SUBSTITUTE(ADDRESS(1,MATCH(CONCATENATE(C990,":",D990,":",E990),Comp!$1:$1,0),4),"1",""),"99"))),0)</f>
        <v>0</v>
      </c>
    </row>
    <row r="991" spans="1:55">
      <c r="A991" s="20" t="s">
        <v>73</v>
      </c>
      <c r="B991" s="21"/>
      <c r="C991" s="20"/>
      <c r="D991" s="22"/>
      <c r="E991" s="22"/>
      <c r="F991" s="21"/>
      <c r="G991" s="23"/>
      <c r="H991" s="24"/>
      <c r="I991" s="22"/>
      <c r="J991" s="22"/>
      <c r="K991" s="22"/>
      <c r="L991" s="21"/>
      <c r="M991" s="20"/>
      <c r="N991" s="20"/>
      <c r="O991" s="23"/>
      <c r="P991" s="21"/>
      <c r="Q991" s="20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1"/>
      <c r="AU991" s="25" t="str">
        <f t="shared" si="30"/>
        <v>1Q42</v>
      </c>
      <c r="AV991" t="str">
        <f t="shared" si="31"/>
        <v>1Q42</v>
      </c>
      <c r="BA991">
        <f ca="1">IF(COUNTBLANK(C991)=0,COUNTA(INDIRECT(CONCATENATE("Area!",LEFT(ADDRESS(1,MATCH(C991,Area!$1:$1,0),4),1),"2:",LEFT(ADDRESS(1,MATCH(C991,Area!$1:$1,0),4),1),"99"))),0)</f>
        <v>0</v>
      </c>
      <c r="BB991">
        <f ca="1">IF(COUNTBLANK(D991)=0,COUNTA(INDIRECT(CONCATENATE("Setup!",LEFT(ADDRESS(1,MATCH(CONCATENATE(C991,":",D991),Setup!$1:$1,0),4),1),"2:",LEFT(ADDRESS(1,MATCH(CONCATENATE(C991,":",D991),Setup!$1:$1,0),4),1),"99"))),0)</f>
        <v>0</v>
      </c>
      <c r="BC991">
        <f ca="1">IF(COUNTBLANK(E991)=0,COUNTA(INDIRECT(CONCATENATE("Comp!",SUBSTITUTE(ADDRESS(1,MATCH(CONCATENATE(C991,":",D991,":",E991),Comp!$1:$1,0),4),"1",""),"2:",SUBSTITUTE(ADDRESS(1,MATCH(CONCATENATE(C991,":",D991,":",E991),Comp!$1:$1,0),4),"1",""),"99"))),0)</f>
        <v>0</v>
      </c>
    </row>
    <row r="992" spans="1:55">
      <c r="A992" s="20" t="s">
        <v>73</v>
      </c>
      <c r="B992" s="21"/>
      <c r="C992" s="20"/>
      <c r="D992" s="22"/>
      <c r="E992" s="22"/>
      <c r="F992" s="21"/>
      <c r="G992" s="23"/>
      <c r="H992" s="24"/>
      <c r="I992" s="22"/>
      <c r="J992" s="22"/>
      <c r="K992" s="22"/>
      <c r="L992" s="21"/>
      <c r="M992" s="20"/>
      <c r="N992" s="20"/>
      <c r="O992" s="23"/>
      <c r="P992" s="21"/>
      <c r="Q992" s="20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1"/>
      <c r="AU992" s="25" t="str">
        <f t="shared" si="30"/>
        <v>1Q42</v>
      </c>
      <c r="AV992" t="str">
        <f t="shared" si="31"/>
        <v>1Q42</v>
      </c>
      <c r="BA992">
        <f ca="1">IF(COUNTBLANK(C992)=0,COUNTA(INDIRECT(CONCATENATE("Area!",LEFT(ADDRESS(1,MATCH(C992,Area!$1:$1,0),4),1),"2:",LEFT(ADDRESS(1,MATCH(C992,Area!$1:$1,0),4),1),"99"))),0)</f>
        <v>0</v>
      </c>
      <c r="BB992">
        <f ca="1">IF(COUNTBLANK(D992)=0,COUNTA(INDIRECT(CONCATENATE("Setup!",LEFT(ADDRESS(1,MATCH(CONCATENATE(C992,":",D992),Setup!$1:$1,0),4),1),"2:",LEFT(ADDRESS(1,MATCH(CONCATENATE(C992,":",D992),Setup!$1:$1,0),4),1),"99"))),0)</f>
        <v>0</v>
      </c>
      <c r="BC992">
        <f ca="1">IF(COUNTBLANK(E992)=0,COUNTA(INDIRECT(CONCATENATE("Comp!",SUBSTITUTE(ADDRESS(1,MATCH(CONCATENATE(C992,":",D992,":",E992),Comp!$1:$1,0),4),"1",""),"2:",SUBSTITUTE(ADDRESS(1,MATCH(CONCATENATE(C992,":",D992,":",E992),Comp!$1:$1,0),4),"1",""),"99"))),0)</f>
        <v>0</v>
      </c>
    </row>
    <row r="993" spans="1:55">
      <c r="A993" s="20" t="s">
        <v>73</v>
      </c>
      <c r="B993" s="21"/>
      <c r="C993" s="20"/>
      <c r="D993" s="22"/>
      <c r="E993" s="22"/>
      <c r="F993" s="21"/>
      <c r="G993" s="23"/>
      <c r="H993" s="24"/>
      <c r="I993" s="22"/>
      <c r="J993" s="22"/>
      <c r="K993" s="22"/>
      <c r="L993" s="21"/>
      <c r="M993" s="20"/>
      <c r="N993" s="20"/>
      <c r="O993" s="23"/>
      <c r="P993" s="21"/>
      <c r="Q993" s="20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1"/>
      <c r="AU993" s="25" t="str">
        <f t="shared" si="30"/>
        <v>1Q42</v>
      </c>
      <c r="AV993" t="str">
        <f t="shared" si="31"/>
        <v>1Q42</v>
      </c>
      <c r="BA993">
        <f ca="1">IF(COUNTBLANK(C993)=0,COUNTA(INDIRECT(CONCATENATE("Area!",LEFT(ADDRESS(1,MATCH(C993,Area!$1:$1,0),4),1),"2:",LEFT(ADDRESS(1,MATCH(C993,Area!$1:$1,0),4),1),"99"))),0)</f>
        <v>0</v>
      </c>
      <c r="BB993">
        <f ca="1">IF(COUNTBLANK(D993)=0,COUNTA(INDIRECT(CONCATENATE("Setup!",LEFT(ADDRESS(1,MATCH(CONCATENATE(C993,":",D993),Setup!$1:$1,0),4),1),"2:",LEFT(ADDRESS(1,MATCH(CONCATENATE(C993,":",D993),Setup!$1:$1,0),4),1),"99"))),0)</f>
        <v>0</v>
      </c>
      <c r="BC993">
        <f ca="1">IF(COUNTBLANK(E993)=0,COUNTA(INDIRECT(CONCATENATE("Comp!",SUBSTITUTE(ADDRESS(1,MATCH(CONCATENATE(C993,":",D993,":",E993),Comp!$1:$1,0),4),"1",""),"2:",SUBSTITUTE(ADDRESS(1,MATCH(CONCATENATE(C993,":",D993,":",E993),Comp!$1:$1,0),4),"1",""),"99"))),0)</f>
        <v>0</v>
      </c>
    </row>
    <row r="994" spans="1:55">
      <c r="A994" s="20" t="s">
        <v>73</v>
      </c>
      <c r="B994" s="21"/>
      <c r="C994" s="20"/>
      <c r="D994" s="22"/>
      <c r="E994" s="22"/>
      <c r="F994" s="21"/>
      <c r="G994" s="23"/>
      <c r="H994" s="24"/>
      <c r="I994" s="22"/>
      <c r="J994" s="22"/>
      <c r="K994" s="22"/>
      <c r="L994" s="21"/>
      <c r="M994" s="20"/>
      <c r="N994" s="20"/>
      <c r="O994" s="23"/>
      <c r="P994" s="21"/>
      <c r="Q994" s="20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1"/>
      <c r="AU994" s="25" t="str">
        <f t="shared" si="30"/>
        <v>1Q42</v>
      </c>
      <c r="AV994" t="str">
        <f t="shared" si="31"/>
        <v>1Q42</v>
      </c>
      <c r="BA994">
        <f ca="1">IF(COUNTBLANK(C994)=0,COUNTA(INDIRECT(CONCATENATE("Area!",LEFT(ADDRESS(1,MATCH(C994,Area!$1:$1,0),4),1),"2:",LEFT(ADDRESS(1,MATCH(C994,Area!$1:$1,0),4),1),"99"))),0)</f>
        <v>0</v>
      </c>
      <c r="BB994">
        <f ca="1">IF(COUNTBLANK(D994)=0,COUNTA(INDIRECT(CONCATENATE("Setup!",LEFT(ADDRESS(1,MATCH(CONCATENATE(C994,":",D994),Setup!$1:$1,0),4),1),"2:",LEFT(ADDRESS(1,MATCH(CONCATENATE(C994,":",D994),Setup!$1:$1,0),4),1),"99"))),0)</f>
        <v>0</v>
      </c>
      <c r="BC994">
        <f ca="1">IF(COUNTBLANK(E994)=0,COUNTA(INDIRECT(CONCATENATE("Comp!",SUBSTITUTE(ADDRESS(1,MATCH(CONCATENATE(C994,":",D994,":",E994),Comp!$1:$1,0),4),"1",""),"2:",SUBSTITUTE(ADDRESS(1,MATCH(CONCATENATE(C994,":",D994,":",E994),Comp!$1:$1,0),4),"1",""),"99"))),0)</f>
        <v>0</v>
      </c>
    </row>
    <row r="995" spans="1:55">
      <c r="A995" s="20" t="s">
        <v>73</v>
      </c>
      <c r="B995" s="21"/>
      <c r="C995" s="20"/>
      <c r="D995" s="22"/>
      <c r="E995" s="22"/>
      <c r="F995" s="21"/>
      <c r="G995" s="23"/>
      <c r="H995" s="24"/>
      <c r="I995" s="22"/>
      <c r="J995" s="22"/>
      <c r="K995" s="22"/>
      <c r="L995" s="21"/>
      <c r="M995" s="20"/>
      <c r="N995" s="20"/>
      <c r="O995" s="23"/>
      <c r="P995" s="21"/>
      <c r="Q995" s="20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1"/>
      <c r="AU995" s="25" t="str">
        <f t="shared" si="30"/>
        <v>1Q42</v>
      </c>
      <c r="AV995" t="str">
        <f t="shared" si="31"/>
        <v>1Q42</v>
      </c>
      <c r="BA995">
        <f ca="1">IF(COUNTBLANK(C995)=0,COUNTA(INDIRECT(CONCATENATE("Area!",LEFT(ADDRESS(1,MATCH(C995,Area!$1:$1,0),4),1),"2:",LEFT(ADDRESS(1,MATCH(C995,Area!$1:$1,0),4),1),"99"))),0)</f>
        <v>0</v>
      </c>
      <c r="BB995">
        <f ca="1">IF(COUNTBLANK(D995)=0,COUNTA(INDIRECT(CONCATENATE("Setup!",LEFT(ADDRESS(1,MATCH(CONCATENATE(C995,":",D995),Setup!$1:$1,0),4),1),"2:",LEFT(ADDRESS(1,MATCH(CONCATENATE(C995,":",D995),Setup!$1:$1,0),4),1),"99"))),0)</f>
        <v>0</v>
      </c>
      <c r="BC995">
        <f ca="1">IF(COUNTBLANK(E995)=0,COUNTA(INDIRECT(CONCATENATE("Comp!",SUBSTITUTE(ADDRESS(1,MATCH(CONCATENATE(C995,":",D995,":",E995),Comp!$1:$1,0),4),"1",""),"2:",SUBSTITUTE(ADDRESS(1,MATCH(CONCATENATE(C995,":",D995,":",E995),Comp!$1:$1,0),4),"1",""),"99"))),0)</f>
        <v>0</v>
      </c>
    </row>
    <row r="996" spans="1:55">
      <c r="A996" s="20" t="s">
        <v>73</v>
      </c>
      <c r="B996" s="21"/>
      <c r="C996" s="20"/>
      <c r="D996" s="22"/>
      <c r="E996" s="22"/>
      <c r="F996" s="21"/>
      <c r="G996" s="23"/>
      <c r="H996" s="24"/>
      <c r="I996" s="22"/>
      <c r="J996" s="22"/>
      <c r="K996" s="22"/>
      <c r="L996" s="21"/>
      <c r="M996" s="20"/>
      <c r="N996" s="20"/>
      <c r="O996" s="23"/>
      <c r="P996" s="21"/>
      <c r="Q996" s="20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1"/>
      <c r="AU996" s="25" t="str">
        <f t="shared" si="30"/>
        <v>1Q42</v>
      </c>
      <c r="AV996" t="str">
        <f t="shared" si="31"/>
        <v>1Q42</v>
      </c>
      <c r="BA996">
        <f ca="1">IF(COUNTBLANK(C996)=0,COUNTA(INDIRECT(CONCATENATE("Area!",LEFT(ADDRESS(1,MATCH(C996,Area!$1:$1,0),4),1),"2:",LEFT(ADDRESS(1,MATCH(C996,Area!$1:$1,0),4),1),"99"))),0)</f>
        <v>0</v>
      </c>
      <c r="BB996">
        <f ca="1">IF(COUNTBLANK(D996)=0,COUNTA(INDIRECT(CONCATENATE("Setup!",LEFT(ADDRESS(1,MATCH(CONCATENATE(C996,":",D996),Setup!$1:$1,0),4),1),"2:",LEFT(ADDRESS(1,MATCH(CONCATENATE(C996,":",D996),Setup!$1:$1,0),4),1),"99"))),0)</f>
        <v>0</v>
      </c>
      <c r="BC996">
        <f ca="1">IF(COUNTBLANK(E996)=0,COUNTA(INDIRECT(CONCATENATE("Comp!",SUBSTITUTE(ADDRESS(1,MATCH(CONCATENATE(C996,":",D996,":",E996),Comp!$1:$1,0),4),"1",""),"2:",SUBSTITUTE(ADDRESS(1,MATCH(CONCATENATE(C996,":",D996,":",E996),Comp!$1:$1,0),4),"1",""),"99"))),0)</f>
        <v>0</v>
      </c>
    </row>
    <row r="997" spans="1:55">
      <c r="A997" s="20" t="s">
        <v>73</v>
      </c>
      <c r="B997" s="21"/>
      <c r="C997" s="20"/>
      <c r="D997" s="22"/>
      <c r="E997" s="22"/>
      <c r="F997" s="21"/>
      <c r="G997" s="23"/>
      <c r="H997" s="24"/>
      <c r="I997" s="22"/>
      <c r="J997" s="22"/>
      <c r="K997" s="22"/>
      <c r="L997" s="21"/>
      <c r="M997" s="20"/>
      <c r="N997" s="20"/>
      <c r="O997" s="23"/>
      <c r="P997" s="21"/>
      <c r="Q997" s="20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1"/>
      <c r="AU997" s="25" t="str">
        <f t="shared" si="30"/>
        <v>1Q42</v>
      </c>
      <c r="AV997" t="str">
        <f t="shared" si="31"/>
        <v>1Q42</v>
      </c>
      <c r="BA997">
        <f ca="1">IF(COUNTBLANK(C997)=0,COUNTA(INDIRECT(CONCATENATE("Area!",LEFT(ADDRESS(1,MATCH(C997,Area!$1:$1,0),4),1),"2:",LEFT(ADDRESS(1,MATCH(C997,Area!$1:$1,0),4),1),"99"))),0)</f>
        <v>0</v>
      </c>
      <c r="BB997">
        <f ca="1">IF(COUNTBLANK(D997)=0,COUNTA(INDIRECT(CONCATENATE("Setup!",LEFT(ADDRESS(1,MATCH(CONCATENATE(C997,":",D997),Setup!$1:$1,0),4),1),"2:",LEFT(ADDRESS(1,MATCH(CONCATENATE(C997,":",D997),Setup!$1:$1,0),4),1),"99"))),0)</f>
        <v>0</v>
      </c>
      <c r="BC997">
        <f ca="1">IF(COUNTBLANK(E997)=0,COUNTA(INDIRECT(CONCATENATE("Comp!",SUBSTITUTE(ADDRESS(1,MATCH(CONCATENATE(C997,":",D997,":",E997),Comp!$1:$1,0),4),"1",""),"2:",SUBSTITUTE(ADDRESS(1,MATCH(CONCATENATE(C997,":",D997,":",E997),Comp!$1:$1,0),4),"1",""),"99"))),0)</f>
        <v>0</v>
      </c>
    </row>
    <row r="998" spans="1:55">
      <c r="A998" s="20" t="s">
        <v>73</v>
      </c>
      <c r="B998" s="21"/>
      <c r="C998" s="20"/>
      <c r="D998" s="22"/>
      <c r="E998" s="22"/>
      <c r="F998" s="21"/>
      <c r="G998" s="23"/>
      <c r="H998" s="24"/>
      <c r="I998" s="22"/>
      <c r="J998" s="22"/>
      <c r="K998" s="22"/>
      <c r="L998" s="21"/>
      <c r="M998" s="20"/>
      <c r="N998" s="20"/>
      <c r="O998" s="23"/>
      <c r="P998" s="21"/>
      <c r="Q998" s="20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1"/>
      <c r="AU998" s="25" t="str">
        <f t="shared" si="30"/>
        <v>1Q42</v>
      </c>
      <c r="AV998" t="str">
        <f t="shared" si="31"/>
        <v>1Q42</v>
      </c>
      <c r="BA998">
        <f ca="1">IF(COUNTBLANK(C998)=0,COUNTA(INDIRECT(CONCATENATE("Area!",LEFT(ADDRESS(1,MATCH(C998,Area!$1:$1,0),4),1),"2:",LEFT(ADDRESS(1,MATCH(C998,Area!$1:$1,0),4),1),"99"))),0)</f>
        <v>0</v>
      </c>
      <c r="BB998">
        <f ca="1">IF(COUNTBLANK(D998)=0,COUNTA(INDIRECT(CONCATENATE("Setup!",LEFT(ADDRESS(1,MATCH(CONCATENATE(C998,":",D998),Setup!$1:$1,0),4),1),"2:",LEFT(ADDRESS(1,MATCH(CONCATENATE(C998,":",D998),Setup!$1:$1,0),4),1),"99"))),0)</f>
        <v>0</v>
      </c>
      <c r="BC998">
        <f ca="1">IF(COUNTBLANK(E998)=0,COUNTA(INDIRECT(CONCATENATE("Comp!",SUBSTITUTE(ADDRESS(1,MATCH(CONCATENATE(C998,":",D998,":",E998),Comp!$1:$1,0),4),"1",""),"2:",SUBSTITUTE(ADDRESS(1,MATCH(CONCATENATE(C998,":",D998,":",E998),Comp!$1:$1,0),4),"1",""),"99"))),0)</f>
        <v>0</v>
      </c>
    </row>
    <row r="999" spans="1:55">
      <c r="A999" s="20" t="s">
        <v>73</v>
      </c>
      <c r="B999" s="21"/>
      <c r="C999" s="20"/>
      <c r="D999" s="22"/>
      <c r="E999" s="22"/>
      <c r="F999" s="21"/>
      <c r="G999" s="23"/>
      <c r="H999" s="24"/>
      <c r="I999" s="22"/>
      <c r="J999" s="22"/>
      <c r="K999" s="22"/>
      <c r="L999" s="21"/>
      <c r="M999" s="20"/>
      <c r="N999" s="20"/>
      <c r="O999" s="23"/>
      <c r="P999" s="21"/>
      <c r="Q999" s="20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1"/>
      <c r="AU999" s="25" t="str">
        <f t="shared" si="30"/>
        <v>1Q42</v>
      </c>
      <c r="AV999" t="str">
        <f t="shared" si="31"/>
        <v>1Q42</v>
      </c>
      <c r="BA999">
        <f ca="1">IF(COUNTBLANK(C999)=0,COUNTA(INDIRECT(CONCATENATE("Area!",LEFT(ADDRESS(1,MATCH(C999,Area!$1:$1,0),4),1),"2:",LEFT(ADDRESS(1,MATCH(C999,Area!$1:$1,0),4),1),"99"))),0)</f>
        <v>0</v>
      </c>
      <c r="BB999">
        <f ca="1">IF(COUNTBLANK(D999)=0,COUNTA(INDIRECT(CONCATENATE("Setup!",LEFT(ADDRESS(1,MATCH(CONCATENATE(C999,":",D999),Setup!$1:$1,0),4),1),"2:",LEFT(ADDRESS(1,MATCH(CONCATENATE(C999,":",D999),Setup!$1:$1,0),4),1),"99"))),0)</f>
        <v>0</v>
      </c>
      <c r="BC999">
        <f ca="1">IF(COUNTBLANK(E999)=0,COUNTA(INDIRECT(CONCATENATE("Comp!",SUBSTITUTE(ADDRESS(1,MATCH(CONCATENATE(C999,":",D999,":",E999),Comp!$1:$1,0),4),"1",""),"2:",SUBSTITUTE(ADDRESS(1,MATCH(CONCATENATE(C999,":",D999,":",E999),Comp!$1:$1,0),4),"1",""),"99"))),0)</f>
        <v>0</v>
      </c>
    </row>
    <row r="1000" spans="1:55">
      <c r="A1000" s="20" t="s">
        <v>73</v>
      </c>
      <c r="B1000" s="21"/>
      <c r="C1000" s="20"/>
      <c r="D1000" s="22"/>
      <c r="E1000" s="22"/>
      <c r="F1000" s="21"/>
      <c r="G1000" s="23"/>
      <c r="H1000" s="24"/>
      <c r="I1000" s="22"/>
      <c r="J1000" s="22"/>
      <c r="K1000" s="22"/>
      <c r="L1000" s="21"/>
      <c r="M1000" s="20"/>
      <c r="N1000" s="20"/>
      <c r="O1000" s="23"/>
      <c r="P1000" s="21"/>
      <c r="Q1000" s="20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1"/>
      <c r="AU1000" s="25" t="str">
        <f t="shared" si="30"/>
        <v>1Q42</v>
      </c>
      <c r="AV1000" t="str">
        <f t="shared" si="31"/>
        <v>1Q42</v>
      </c>
      <c r="BA1000">
        <f ca="1">IF(COUNTBLANK(C1000)=0,COUNTA(INDIRECT(CONCATENATE("Area!",LEFT(ADDRESS(1,MATCH(C1000,Area!$1:$1,0),4),1),"2:",LEFT(ADDRESS(1,MATCH(C1000,Area!$1:$1,0),4),1),"99"))),0)</f>
        <v>0</v>
      </c>
      <c r="BB1000">
        <f ca="1">IF(COUNTBLANK(D1000)=0,COUNTA(INDIRECT(CONCATENATE("Setup!",LEFT(ADDRESS(1,MATCH(CONCATENATE(C1000,":",D1000),Setup!$1:$1,0),4),1),"2:",LEFT(ADDRESS(1,MATCH(CONCATENATE(C1000,":",D1000),Setup!$1:$1,0),4),1),"99"))),0)</f>
        <v>0</v>
      </c>
      <c r="BC1000">
        <f ca="1">IF(COUNTBLANK(E1000)=0,COUNTA(INDIRECT(CONCATENATE("Comp!",SUBSTITUTE(ADDRESS(1,MATCH(CONCATENATE(C1000,":",D1000,":",E1000),Comp!$1:$1,0),4),"1",""),"2:",SUBSTITUTE(ADDRESS(1,MATCH(CONCATENATE(C1000,":",D1000,":",E1000),Comp!$1:$1,0),4),"1",""),"99"))),0)</f>
        <v>0</v>
      </c>
    </row>
    <row r="1001" spans="1:55">
      <c r="A1001" s="20" t="s">
        <v>73</v>
      </c>
      <c r="B1001" s="21"/>
      <c r="C1001" s="20"/>
      <c r="D1001" s="22"/>
      <c r="E1001" s="22"/>
      <c r="F1001" s="21"/>
      <c r="G1001" s="23"/>
      <c r="H1001" s="24"/>
      <c r="I1001" s="22"/>
      <c r="J1001" s="22"/>
      <c r="K1001" s="22"/>
      <c r="L1001" s="21"/>
      <c r="M1001" s="20"/>
      <c r="N1001" s="20"/>
      <c r="O1001" s="23"/>
      <c r="P1001" s="21"/>
      <c r="Q1001" s="20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1"/>
      <c r="AU1001" s="25" t="str">
        <f t="shared" si="30"/>
        <v>1Q42</v>
      </c>
      <c r="AV1001" t="str">
        <f t="shared" si="31"/>
        <v>1Q42</v>
      </c>
      <c r="BA1001">
        <f ca="1">IF(COUNTBLANK(C1001)=0,COUNTA(INDIRECT(CONCATENATE("Area!",LEFT(ADDRESS(1,MATCH(C1001,Area!$1:$1,0),4),1),"2:",LEFT(ADDRESS(1,MATCH(C1001,Area!$1:$1,0),4),1),"99"))),0)</f>
        <v>0</v>
      </c>
      <c r="BB1001">
        <f ca="1">IF(COUNTBLANK(D1001)=0,COUNTA(INDIRECT(CONCATENATE("Setup!",LEFT(ADDRESS(1,MATCH(CONCATENATE(C1001,":",D1001),Setup!$1:$1,0),4),1),"2:",LEFT(ADDRESS(1,MATCH(CONCATENATE(C1001,":",D1001),Setup!$1:$1,0),4),1),"99"))),0)</f>
        <v>0</v>
      </c>
      <c r="BC1001">
        <f ca="1">IF(COUNTBLANK(E1001)=0,COUNTA(INDIRECT(CONCATENATE("Comp!",SUBSTITUTE(ADDRESS(1,MATCH(CONCATENATE(C1001,":",D1001,":",E1001),Comp!$1:$1,0),4),"1",""),"2:",SUBSTITUTE(ADDRESS(1,MATCH(CONCATENATE(C1001,":",D1001,":",E1001),Comp!$1:$1,0),4),"1",""),"99"))),0)</f>
        <v>0</v>
      </c>
    </row>
    <row r="1002" spans="1:55">
      <c r="A1002" s="20" t="s">
        <v>73</v>
      </c>
      <c r="B1002" s="21"/>
      <c r="C1002" s="20"/>
      <c r="D1002" s="22"/>
      <c r="E1002" s="22"/>
      <c r="F1002" s="21"/>
      <c r="G1002" s="23"/>
      <c r="H1002" s="24"/>
      <c r="I1002" s="22"/>
      <c r="J1002" s="22"/>
      <c r="K1002" s="22"/>
      <c r="L1002" s="21"/>
      <c r="M1002" s="20"/>
      <c r="N1002" s="20"/>
      <c r="O1002" s="23"/>
      <c r="P1002" s="21"/>
      <c r="Q1002" s="20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1"/>
      <c r="AU1002" s="25" t="str">
        <f t="shared" si="30"/>
        <v>1Q42</v>
      </c>
      <c r="AV1002" t="str">
        <f t="shared" si="31"/>
        <v>1Q42</v>
      </c>
      <c r="BA1002">
        <f ca="1">IF(COUNTBLANK(C1002)=0,COUNTA(INDIRECT(CONCATENATE("Area!",LEFT(ADDRESS(1,MATCH(C1002,Area!$1:$1,0),4),1),"2:",LEFT(ADDRESS(1,MATCH(C1002,Area!$1:$1,0),4),1),"99"))),0)</f>
        <v>0</v>
      </c>
      <c r="BB1002">
        <f ca="1">IF(COUNTBLANK(D1002)=0,COUNTA(INDIRECT(CONCATENATE("Setup!",LEFT(ADDRESS(1,MATCH(CONCATENATE(C1002,":",D1002),Setup!$1:$1,0),4),1),"2:",LEFT(ADDRESS(1,MATCH(CONCATENATE(C1002,":",D1002),Setup!$1:$1,0),4),1),"99"))),0)</f>
        <v>0</v>
      </c>
      <c r="BC1002">
        <f ca="1">IF(COUNTBLANK(E1002)=0,COUNTA(INDIRECT(CONCATENATE("Comp!",SUBSTITUTE(ADDRESS(1,MATCH(CONCATENATE(C1002,":",D1002,":",E1002),Comp!$1:$1,0),4),"1",""),"2:",SUBSTITUTE(ADDRESS(1,MATCH(CONCATENATE(C1002,":",D1002,":",E1002),Comp!$1:$1,0),4),"1",""),"99"))),0)</f>
        <v>0</v>
      </c>
    </row>
    <row r="1003" spans="1:55">
      <c r="A1003" s="20" t="s">
        <v>73</v>
      </c>
      <c r="B1003" s="21"/>
      <c r="C1003" s="20"/>
      <c r="D1003" s="22"/>
      <c r="E1003" s="22"/>
      <c r="F1003" s="21"/>
      <c r="G1003" s="23"/>
      <c r="H1003" s="24"/>
      <c r="I1003" s="22"/>
      <c r="J1003" s="22"/>
      <c r="K1003" s="22"/>
      <c r="L1003" s="21"/>
      <c r="M1003" s="20"/>
      <c r="N1003" s="20"/>
      <c r="O1003" s="23"/>
      <c r="P1003" s="21"/>
      <c r="Q1003" s="20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1"/>
      <c r="AU1003" s="25" t="str">
        <f t="shared" si="30"/>
        <v>1Q42</v>
      </c>
      <c r="AV1003" t="str">
        <f t="shared" si="31"/>
        <v>1Q42</v>
      </c>
      <c r="BA1003">
        <f ca="1">IF(COUNTBLANK(C1003)=0,COUNTA(INDIRECT(CONCATENATE("Area!",LEFT(ADDRESS(1,MATCH(C1003,Area!$1:$1,0),4),1),"2:",LEFT(ADDRESS(1,MATCH(C1003,Area!$1:$1,0),4),1),"99"))),0)</f>
        <v>0</v>
      </c>
      <c r="BB1003">
        <f ca="1">IF(COUNTBLANK(D1003)=0,COUNTA(INDIRECT(CONCATENATE("Setup!",LEFT(ADDRESS(1,MATCH(CONCATENATE(C1003,":",D1003),Setup!$1:$1,0),4),1),"2:",LEFT(ADDRESS(1,MATCH(CONCATENATE(C1003,":",D1003),Setup!$1:$1,0),4),1),"99"))),0)</f>
        <v>0</v>
      </c>
      <c r="BC1003">
        <f ca="1">IF(COUNTBLANK(E1003)=0,COUNTA(INDIRECT(CONCATENATE("Comp!",SUBSTITUTE(ADDRESS(1,MATCH(CONCATENATE(C1003,":",D1003,":",E1003),Comp!$1:$1,0),4),"1",""),"2:",SUBSTITUTE(ADDRESS(1,MATCH(CONCATENATE(C1003,":",D1003,":",E1003),Comp!$1:$1,0),4),"1",""),"99"))),0)</f>
        <v>0</v>
      </c>
    </row>
    <row r="1004" spans="1:55">
      <c r="A1004" s="20" t="s">
        <v>73</v>
      </c>
      <c r="B1004" s="21"/>
      <c r="C1004" s="20"/>
      <c r="D1004" s="22"/>
      <c r="E1004" s="22"/>
      <c r="F1004" s="21"/>
      <c r="G1004" s="23"/>
      <c r="H1004" s="24"/>
      <c r="I1004" s="22"/>
      <c r="J1004" s="22"/>
      <c r="K1004" s="22"/>
      <c r="L1004" s="21"/>
      <c r="M1004" s="20"/>
      <c r="N1004" s="20"/>
      <c r="O1004" s="23"/>
      <c r="P1004" s="21"/>
      <c r="Q1004" s="20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1"/>
      <c r="AU1004" s="25" t="str">
        <f t="shared" si="30"/>
        <v>1Q42</v>
      </c>
      <c r="AV1004" t="str">
        <f t="shared" si="31"/>
        <v>1Q42</v>
      </c>
      <c r="BA1004">
        <f ca="1">IF(COUNTBLANK(C1004)=0,COUNTA(INDIRECT(CONCATENATE("Area!",LEFT(ADDRESS(1,MATCH(C1004,Area!$1:$1,0),4),1),"2:",LEFT(ADDRESS(1,MATCH(C1004,Area!$1:$1,0),4),1),"99"))),0)</f>
        <v>0</v>
      </c>
      <c r="BB1004">
        <f ca="1">IF(COUNTBLANK(D1004)=0,COUNTA(INDIRECT(CONCATENATE("Setup!",LEFT(ADDRESS(1,MATCH(CONCATENATE(C1004,":",D1004),Setup!$1:$1,0),4),1),"2:",LEFT(ADDRESS(1,MATCH(CONCATENATE(C1004,":",D1004),Setup!$1:$1,0),4),1),"99"))),0)</f>
        <v>0</v>
      </c>
      <c r="BC1004">
        <f ca="1">IF(COUNTBLANK(E1004)=0,COUNTA(INDIRECT(CONCATENATE("Comp!",SUBSTITUTE(ADDRESS(1,MATCH(CONCATENATE(C1004,":",D1004,":",E1004),Comp!$1:$1,0),4),"1",""),"2:",SUBSTITUTE(ADDRESS(1,MATCH(CONCATENATE(C1004,":",D1004,":",E1004),Comp!$1:$1,0),4),"1",""),"99"))),0)</f>
        <v>0</v>
      </c>
    </row>
    <row r="1005" spans="1:55">
      <c r="A1005" s="20" t="s">
        <v>73</v>
      </c>
      <c r="B1005" s="21"/>
      <c r="C1005" s="20"/>
      <c r="D1005" s="22"/>
      <c r="E1005" s="22"/>
      <c r="F1005" s="21"/>
      <c r="G1005" s="23"/>
      <c r="H1005" s="24"/>
      <c r="I1005" s="22"/>
      <c r="J1005" s="22"/>
      <c r="K1005" s="22"/>
      <c r="L1005" s="21"/>
      <c r="M1005" s="20"/>
      <c r="N1005" s="20"/>
      <c r="O1005" s="23"/>
      <c r="P1005" s="21"/>
      <c r="Q1005" s="20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1"/>
      <c r="AU1005" s="25" t="str">
        <f t="shared" si="30"/>
        <v>1Q42</v>
      </c>
      <c r="AV1005" t="str">
        <f t="shared" si="31"/>
        <v>1Q42</v>
      </c>
      <c r="BA1005">
        <f ca="1">IF(COUNTBLANK(C1005)=0,COUNTA(INDIRECT(CONCATENATE("Area!",LEFT(ADDRESS(1,MATCH(C1005,Area!$1:$1,0),4),1),"2:",LEFT(ADDRESS(1,MATCH(C1005,Area!$1:$1,0),4),1),"99"))),0)</f>
        <v>0</v>
      </c>
      <c r="BB1005">
        <f ca="1">IF(COUNTBLANK(D1005)=0,COUNTA(INDIRECT(CONCATENATE("Setup!",LEFT(ADDRESS(1,MATCH(CONCATENATE(C1005,":",D1005),Setup!$1:$1,0),4),1),"2:",LEFT(ADDRESS(1,MATCH(CONCATENATE(C1005,":",D1005),Setup!$1:$1,0),4),1),"99"))),0)</f>
        <v>0</v>
      </c>
      <c r="BC1005">
        <f ca="1">IF(COUNTBLANK(E1005)=0,COUNTA(INDIRECT(CONCATENATE("Comp!",SUBSTITUTE(ADDRESS(1,MATCH(CONCATENATE(C1005,":",D1005,":",E1005),Comp!$1:$1,0),4),"1",""),"2:",SUBSTITUTE(ADDRESS(1,MATCH(CONCATENATE(C1005,":",D1005,":",E1005),Comp!$1:$1,0),4),"1",""),"99"))),0)</f>
        <v>0</v>
      </c>
    </row>
    <row r="1006" spans="1:55">
      <c r="A1006" s="20" t="s">
        <v>73</v>
      </c>
      <c r="B1006" s="21"/>
      <c r="C1006" s="20"/>
      <c r="D1006" s="22"/>
      <c r="E1006" s="22"/>
      <c r="F1006" s="21"/>
      <c r="G1006" s="23"/>
      <c r="H1006" s="24"/>
      <c r="I1006" s="22"/>
      <c r="J1006" s="22"/>
      <c r="K1006" s="22"/>
      <c r="L1006" s="21"/>
      <c r="M1006" s="20"/>
      <c r="N1006" s="20"/>
      <c r="O1006" s="23"/>
      <c r="P1006" s="21"/>
      <c r="Q1006" s="20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1"/>
      <c r="AU1006" s="25" t="str">
        <f t="shared" si="30"/>
        <v>1Q42</v>
      </c>
      <c r="AV1006" t="str">
        <f t="shared" si="31"/>
        <v>1Q42</v>
      </c>
      <c r="BA1006">
        <f ca="1">IF(COUNTBLANK(C1006)=0,COUNTA(INDIRECT(CONCATENATE("Area!",LEFT(ADDRESS(1,MATCH(C1006,Area!$1:$1,0),4),1),"2:",LEFT(ADDRESS(1,MATCH(C1006,Area!$1:$1,0),4),1),"99"))),0)</f>
        <v>0</v>
      </c>
      <c r="BB1006">
        <f ca="1">IF(COUNTBLANK(D1006)=0,COUNTA(INDIRECT(CONCATENATE("Setup!",LEFT(ADDRESS(1,MATCH(CONCATENATE(C1006,":",D1006),Setup!$1:$1,0),4),1),"2:",LEFT(ADDRESS(1,MATCH(CONCATENATE(C1006,":",D1006),Setup!$1:$1,0),4),1),"99"))),0)</f>
        <v>0</v>
      </c>
      <c r="BC1006">
        <f ca="1">IF(COUNTBLANK(E1006)=0,COUNTA(INDIRECT(CONCATENATE("Comp!",SUBSTITUTE(ADDRESS(1,MATCH(CONCATENATE(C1006,":",D1006,":",E1006),Comp!$1:$1,0),4),"1",""),"2:",SUBSTITUTE(ADDRESS(1,MATCH(CONCATENATE(C1006,":",D1006,":",E1006),Comp!$1:$1,0),4),"1",""),"99"))),0)</f>
        <v>0</v>
      </c>
    </row>
    <row r="1007" spans="1:55">
      <c r="A1007" s="26" t="s">
        <v>73</v>
      </c>
      <c r="B1007" s="27"/>
      <c r="C1007" s="26"/>
      <c r="D1007" s="28"/>
      <c r="E1007" s="28"/>
      <c r="F1007" s="27"/>
      <c r="G1007" s="23"/>
      <c r="H1007" s="24"/>
      <c r="I1007" s="28"/>
      <c r="J1007" s="28"/>
      <c r="K1007" s="28"/>
      <c r="L1007" s="27"/>
      <c r="M1007" s="26"/>
      <c r="N1007" s="26"/>
      <c r="O1007" s="26"/>
      <c r="P1007" s="27"/>
      <c r="Q1007" s="26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7"/>
      <c r="AU1007" s="25" t="str">
        <f t="shared" si="30"/>
        <v>1Q42</v>
      </c>
      <c r="AV1007" t="str">
        <f t="shared" si="31"/>
        <v>1Q42</v>
      </c>
      <c r="BA1007">
        <f ca="1">IF(COUNTBLANK(C1007)=0,COUNTA(INDIRECT(CONCATENATE("Area!",LEFT(ADDRESS(1,MATCH(C1007,Area!$1:$1,0),4),1),"2:",LEFT(ADDRESS(1,MATCH(C1007,Area!$1:$1,0),4),1),"99"))),0)</f>
        <v>0</v>
      </c>
      <c r="BB1007">
        <f ca="1">IF(COUNTBLANK(D1007)=0,COUNTA(INDIRECT(CONCATENATE("Setup!",LEFT(ADDRESS(1,MATCH(CONCATENATE(C1007,":",D1007),Setup!$1:$1,0),4),1),"2:",LEFT(ADDRESS(1,MATCH(CONCATENATE(C1007,":",D1007),Setup!$1:$1,0),4),1),"99"))),0)</f>
        <v>0</v>
      </c>
      <c r="BC1007">
        <f ca="1">IF(COUNTBLANK(E1007)=0,COUNTA(INDIRECT(CONCATENATE("Comp!",SUBSTITUTE(ADDRESS(1,MATCH(CONCATENATE(C1007,":",D1007,":",E1007),Comp!$1:$1,0),4),"1",""),"2:",SUBSTITUTE(ADDRESS(1,MATCH(CONCATENATE(C1007,":",D1007,":",E1007),Comp!$1:$1,0),4),"1",""),"99"))),0)</f>
        <v>0</v>
      </c>
    </row>
  </sheetData>
  <sheetProtection password="8AD5" sheet="1" formatColumns="0"/>
  <conditionalFormatting sqref="A9:A1007">
    <cfRule type="expression" dxfId="105" priority="1">
      <formula>COUNTBLANK(A9:B9)+COUNTBLANK(G9:L9)=0</formula>
    </cfRule>
    <cfRule type="expression" dxfId="104" priority="2">
      <formula>COUNTBLANK(A9:B9)+COUNTBLANK(G9:L9)&gt;=7</formula>
    </cfRule>
    <cfRule type="expression" dxfId="103" priority="3">
      <formula>COUNTBLANK(A9:B9)+COUNTBLANK(G9:L9)&lt;7</formula>
    </cfRule>
  </conditionalFormatting>
  <conditionalFormatting sqref="B9:B1007">
    <cfRule type="expression" dxfId="102" priority="4">
      <formula>COUNTBLANK(A9:B9)+COUNTBLANK(G9:L9)=0</formula>
    </cfRule>
    <cfRule type="expression" dxfId="101" priority="5">
      <formula>COUNTBLANK(A9:B9)+COUNTBLANK(G9:L9)&gt;=7</formula>
    </cfRule>
    <cfRule type="expression" dxfId="100" priority="6">
      <formula>COUNTBLANK(A9:B9)+COUNTBLANK(G9:L9)&lt;7</formula>
    </cfRule>
  </conditionalFormatting>
  <conditionalFormatting sqref="C9:C1007">
    <cfRule type="expression" dxfId="99" priority="7">
      <formula>COUNTBLANK(A9:B9)+COUNTBLANK(G9:L9)=0</formula>
    </cfRule>
    <cfRule type="expression" dxfId="98" priority="8">
      <formula>COUNTBLANK(A9:B9)+COUNTBLANK(G9:L9)&gt;=7</formula>
    </cfRule>
    <cfRule type="expression" dxfId="97" priority="9">
      <formula>COUNTBLANK(A9:B9)+COUNTBLANK(G9:L9)&lt;7</formula>
    </cfRule>
  </conditionalFormatting>
  <conditionalFormatting sqref="D9:D1007">
    <cfRule type="expression" dxfId="96" priority="10">
      <formula>COUNTBLANK(A9:B9)+COUNTBLANK(G9:L9)=0</formula>
    </cfRule>
    <cfRule type="expression" dxfId="95" priority="11">
      <formula>COUNTBLANK(A9:B9)+COUNTBLANK(G9:L9)&gt;=7</formula>
    </cfRule>
    <cfRule type="expression" dxfId="94" priority="12">
      <formula>COUNTBLANK(A9:B9)+COUNTBLANK(G9:L9)&lt;7</formula>
    </cfRule>
  </conditionalFormatting>
  <conditionalFormatting sqref="E9:E1007">
    <cfRule type="expression" dxfId="93" priority="13">
      <formula>COUNTBLANK(A9:B9)+COUNTBLANK(G9:L9)=0</formula>
    </cfRule>
    <cfRule type="expression" dxfId="92" priority="14">
      <formula>COUNTBLANK(A9:B9)+COUNTBLANK(G9:L9)&gt;=7</formula>
    </cfRule>
    <cfRule type="expression" dxfId="91" priority="15">
      <formula>COUNTBLANK(A9:B9)+COUNTBLANK(G9:L9)&lt;7</formula>
    </cfRule>
  </conditionalFormatting>
  <conditionalFormatting sqref="F9:F1007">
    <cfRule type="expression" dxfId="90" priority="16">
      <formula>COUNTBLANK(A9:B9)+COUNTBLANK(G9:L9)=0</formula>
    </cfRule>
    <cfRule type="expression" dxfId="89" priority="17">
      <formula>COUNTBLANK(A9:B9)+COUNTBLANK(G9:L9)&gt;=7</formula>
    </cfRule>
    <cfRule type="expression" dxfId="88" priority="18">
      <formula>COUNTBLANK(A9:B9)+COUNTBLANK(G9:L9)&lt;7</formula>
    </cfRule>
  </conditionalFormatting>
  <conditionalFormatting sqref="G9:G1007">
    <cfRule type="expression" dxfId="87" priority="19">
      <formula>COUNTBLANK(A9:B9)+COUNTBLANK(G9:L9)=0</formula>
    </cfRule>
    <cfRule type="expression" dxfId="86" priority="20">
      <formula>COUNTBLANK(A9:B9)+COUNTBLANK(G9:L9)&gt;=7</formula>
    </cfRule>
    <cfRule type="expression" dxfId="85" priority="21">
      <formula>COUNTBLANK(A9:B9)+COUNTBLANK(G9:L9)&lt;7</formula>
    </cfRule>
  </conditionalFormatting>
  <conditionalFormatting sqref="H9:H1007">
    <cfRule type="expression" dxfId="84" priority="22">
      <formula>COUNTBLANK(A9:B9)+COUNTBLANK(G9:L9)=0</formula>
    </cfRule>
    <cfRule type="expression" dxfId="83" priority="23">
      <formula>COUNTBLANK(A9:B9)+COUNTBLANK(G9:L9)&gt;=7</formula>
    </cfRule>
    <cfRule type="expression" dxfId="82" priority="24">
      <formula>COUNTBLANK(A9:B9)+COUNTBLANK(G9:L9)&lt;7</formula>
    </cfRule>
  </conditionalFormatting>
  <conditionalFormatting sqref="I9:I1007">
    <cfRule type="expression" dxfId="81" priority="25">
      <formula>COUNTBLANK(A9:B9)+COUNTBLANK(G9:L9)=0</formula>
    </cfRule>
    <cfRule type="expression" dxfId="80" priority="26">
      <formula>COUNTBLANK(A9:B9)+COUNTBLANK(G9:L9)&gt;=7</formula>
    </cfRule>
    <cfRule type="expression" dxfId="79" priority="27">
      <formula>COUNTBLANK(A9:B9)+COUNTBLANK(G9:L9)&lt;7</formula>
    </cfRule>
  </conditionalFormatting>
  <conditionalFormatting sqref="J9:J1007">
    <cfRule type="expression" dxfId="78" priority="28">
      <formula>COUNTBLANK(A9:B9)+COUNTBLANK(G9:L9)=0</formula>
    </cfRule>
    <cfRule type="expression" dxfId="77" priority="29">
      <formula>COUNTBLANK(A9:B9)+COUNTBLANK(G9:L9)&gt;=7</formula>
    </cfRule>
    <cfRule type="expression" dxfId="76" priority="30">
      <formula>COUNTBLANK(A9:B9)+COUNTBLANK(G9:L9)&lt;7</formula>
    </cfRule>
  </conditionalFormatting>
  <conditionalFormatting sqref="K9:K1007">
    <cfRule type="expression" dxfId="75" priority="31">
      <formula>COUNTBLANK(A9:B9)+COUNTBLANK(G9:L9)=0</formula>
    </cfRule>
    <cfRule type="expression" dxfId="74" priority="32">
      <formula>COUNTBLANK(A9:B9)+COUNTBLANK(G9:L9)&gt;=7</formula>
    </cfRule>
    <cfRule type="expression" dxfId="73" priority="33">
      <formula>COUNTBLANK(A9:B9)+COUNTBLANK(G9:L9)&lt;7</formula>
    </cfRule>
  </conditionalFormatting>
  <conditionalFormatting sqref="L9:L1007">
    <cfRule type="expression" dxfId="72" priority="34">
      <formula>COUNTBLANK(A9:B9)+COUNTBLANK(G9:L9)=0</formula>
    </cfRule>
    <cfRule type="expression" dxfId="71" priority="35">
      <formula>COUNTBLANK(A9:B9)+COUNTBLANK(G9:L9)&gt;=7</formula>
    </cfRule>
    <cfRule type="expression" dxfId="70" priority="36">
      <formula>COUNTBLANK(A9:B9)+COUNTBLANK(G9:L9)&lt;7</formula>
    </cfRule>
  </conditionalFormatting>
  <conditionalFormatting sqref="M9:M1007">
    <cfRule type="expression" dxfId="69" priority="37">
      <formula>COUNTBLANK(M9)=1</formula>
    </cfRule>
    <cfRule type="expression" dxfId="68" priority="38">
      <formula>COUNTBLANK(M9)=0</formula>
    </cfRule>
  </conditionalFormatting>
  <conditionalFormatting sqref="N9:N1007">
    <cfRule type="expression" dxfId="67" priority="39">
      <formula>COUNTBLANK(N9)=1</formula>
    </cfRule>
    <cfRule type="expression" dxfId="66" priority="40">
      <formula>COUNTBLANK(N9)=0</formula>
    </cfRule>
  </conditionalFormatting>
  <conditionalFormatting sqref="O9:O1007">
    <cfRule type="expression" dxfId="65" priority="41">
      <formula>COUNTBLANK(O9:P9)=0</formula>
    </cfRule>
    <cfRule type="expression" dxfId="64" priority="42">
      <formula>COUNTBLANK(O9:P9)&gt;=2</formula>
    </cfRule>
    <cfRule type="expression" dxfId="63" priority="43">
      <formula>COUNTBLANK(O9:P9)&lt;2</formula>
    </cfRule>
  </conditionalFormatting>
  <conditionalFormatting sqref="P9:P1007">
    <cfRule type="expression" dxfId="62" priority="44">
      <formula>COUNTBLANK(O9:P9)=0</formula>
    </cfRule>
    <cfRule type="expression" dxfId="61" priority="45">
      <formula>COUNTBLANK(O9:P9)&gt;=2</formula>
    </cfRule>
    <cfRule type="expression" dxfId="60" priority="46">
      <formula>COUNTBLANK(O9:P9)&lt;2</formula>
    </cfRule>
  </conditionalFormatting>
  <conditionalFormatting sqref="Q9:Q1007">
    <cfRule type="expression" dxfId="59" priority="47">
      <formula>COUNTBLANK(Q9)=1</formula>
    </cfRule>
    <cfRule type="expression" dxfId="58" priority="48">
      <formula>COUNTBLANK(Q9)=0</formula>
    </cfRule>
  </conditionalFormatting>
  <conditionalFormatting sqref="R9:R1007">
    <cfRule type="expression" dxfId="57" priority="49">
      <formula>COUNTBLANK(R9)=1</formula>
    </cfRule>
    <cfRule type="expression" dxfId="56" priority="50">
      <formula>COUNTBLANK(R9)=0</formula>
    </cfRule>
  </conditionalFormatting>
  <conditionalFormatting sqref="S9:S1007">
    <cfRule type="expression" dxfId="55" priority="51">
      <formula>COUNTBLANK(S9)=1</formula>
    </cfRule>
    <cfRule type="expression" dxfId="54" priority="52">
      <formula>COUNTBLANK(S9)=0</formula>
    </cfRule>
  </conditionalFormatting>
  <conditionalFormatting sqref="T9:T1007">
    <cfRule type="expression" dxfId="53" priority="53">
      <formula>COUNTBLANK(T9)=1</formula>
    </cfRule>
    <cfRule type="expression" dxfId="52" priority="54">
      <formula>COUNTBLANK(T9)=0</formula>
    </cfRule>
  </conditionalFormatting>
  <conditionalFormatting sqref="U9:U1007">
    <cfRule type="expression" dxfId="51" priority="55">
      <formula>COUNTBLANK(U9)=1</formula>
    </cfRule>
    <cfRule type="expression" dxfId="50" priority="56">
      <formula>COUNTBLANK(U9)=0</formula>
    </cfRule>
  </conditionalFormatting>
  <conditionalFormatting sqref="V9:V1007">
    <cfRule type="expression" dxfId="49" priority="57">
      <formula>COUNTBLANK(V9)=1</formula>
    </cfRule>
    <cfRule type="expression" dxfId="48" priority="58">
      <formula>COUNTBLANK(V9)=0</formula>
    </cfRule>
  </conditionalFormatting>
  <conditionalFormatting sqref="W9:W1007">
    <cfRule type="expression" dxfId="47" priority="59">
      <formula>COUNTBLANK(W9)=1</formula>
    </cfRule>
    <cfRule type="expression" dxfId="46" priority="60">
      <formula>COUNTBLANK(W9)=0</formula>
    </cfRule>
  </conditionalFormatting>
  <conditionalFormatting sqref="X9:X1007">
    <cfRule type="expression" dxfId="45" priority="61">
      <formula>COUNTBLANK(X9)=1</formula>
    </cfRule>
    <cfRule type="expression" dxfId="44" priority="62">
      <formula>COUNTBLANK(X9)=0</formula>
    </cfRule>
  </conditionalFormatting>
  <conditionalFormatting sqref="Y9:Y1007">
    <cfRule type="expression" dxfId="43" priority="63">
      <formula>COUNTBLANK(Y9)=1</formula>
    </cfRule>
    <cfRule type="expression" dxfId="42" priority="64">
      <formula>COUNTBLANK(Y9)=0</formula>
    </cfRule>
  </conditionalFormatting>
  <conditionalFormatting sqref="Z9:Z1007">
    <cfRule type="expression" dxfId="41" priority="65">
      <formula>COUNTBLANK(Z9)=1</formula>
    </cfRule>
    <cfRule type="expression" dxfId="40" priority="66">
      <formula>COUNTBLANK(Z9)=0</formula>
    </cfRule>
  </conditionalFormatting>
  <conditionalFormatting sqref="AA9:AA1007">
    <cfRule type="expression" dxfId="39" priority="67">
      <formula>COUNTBLANK(AA9)=1</formula>
    </cfRule>
    <cfRule type="expression" dxfId="38" priority="68">
      <formula>COUNTBLANK(AA9)=0</formula>
    </cfRule>
  </conditionalFormatting>
  <conditionalFormatting sqref="AB9:AB1007">
    <cfRule type="expression" dxfId="37" priority="69">
      <formula>COUNTBLANK(AB9)=1</formula>
    </cfRule>
    <cfRule type="expression" dxfId="36" priority="70">
      <formula>COUNTBLANK(AB9)=0</formula>
    </cfRule>
  </conditionalFormatting>
  <conditionalFormatting sqref="AC9:AC1007">
    <cfRule type="expression" dxfId="35" priority="71">
      <formula>COUNTBLANK(AC9)=1</formula>
    </cfRule>
    <cfRule type="expression" dxfId="34" priority="72">
      <formula>COUNTBLANK(AC9)=0</formula>
    </cfRule>
  </conditionalFormatting>
  <conditionalFormatting sqref="AD9:AD1007">
    <cfRule type="expression" dxfId="33" priority="73">
      <formula>COUNTBLANK(AD9)=1</formula>
    </cfRule>
    <cfRule type="expression" dxfId="32" priority="74">
      <formula>COUNTBLANK(AD9)=0</formula>
    </cfRule>
  </conditionalFormatting>
  <conditionalFormatting sqref="AE9:AE1007">
    <cfRule type="expression" dxfId="31" priority="75">
      <formula>COUNTBLANK(AE9)=1</formula>
    </cfRule>
    <cfRule type="expression" dxfId="30" priority="76">
      <formula>COUNTBLANK(AE9)=0</formula>
    </cfRule>
  </conditionalFormatting>
  <conditionalFormatting sqref="AF9:AF1007">
    <cfRule type="expression" dxfId="29" priority="77">
      <formula>COUNTBLANK(AF9)=1</formula>
    </cfRule>
    <cfRule type="expression" dxfId="28" priority="78">
      <formula>COUNTBLANK(AF9)=0</formula>
    </cfRule>
  </conditionalFormatting>
  <conditionalFormatting sqref="AG9:AG1007">
    <cfRule type="expression" dxfId="27" priority="79">
      <formula>COUNTBLANK(AG9)=1</formula>
    </cfRule>
    <cfRule type="expression" dxfId="26" priority="80">
      <formula>COUNTBLANK(AG9)=0</formula>
    </cfRule>
  </conditionalFormatting>
  <conditionalFormatting sqref="AH9:AH1007">
    <cfRule type="expression" dxfId="25" priority="81">
      <formula>COUNTBLANK(AH9)=1</formula>
    </cfRule>
    <cfRule type="expression" dxfId="24" priority="82">
      <formula>COUNTBLANK(AH9)=0</formula>
    </cfRule>
  </conditionalFormatting>
  <conditionalFormatting sqref="AI9:AI1007">
    <cfRule type="expression" dxfId="23" priority="83">
      <formula>COUNTBLANK(AI9)=1</formula>
    </cfRule>
    <cfRule type="expression" dxfId="22" priority="84">
      <formula>COUNTBLANK(AI9)=0</formula>
    </cfRule>
  </conditionalFormatting>
  <conditionalFormatting sqref="AJ9:AJ1007">
    <cfRule type="expression" dxfId="21" priority="85">
      <formula>COUNTBLANK(AJ9)=1</formula>
    </cfRule>
    <cfRule type="expression" dxfId="20" priority="86">
      <formula>COUNTBLANK(AJ9)=0</formula>
    </cfRule>
  </conditionalFormatting>
  <conditionalFormatting sqref="AK9:AK1007">
    <cfRule type="expression" dxfId="19" priority="87">
      <formula>COUNTBLANK(AK9)=1</formula>
    </cfRule>
    <cfRule type="expression" dxfId="18" priority="88">
      <formula>COUNTBLANK(AK9)=0</formula>
    </cfRule>
  </conditionalFormatting>
  <conditionalFormatting sqref="AL9:AL1007">
    <cfRule type="expression" dxfId="17" priority="89">
      <formula>COUNTBLANK(AL9)=1</formula>
    </cfRule>
    <cfRule type="expression" dxfId="16" priority="90">
      <formula>COUNTBLANK(AL9)=0</formula>
    </cfRule>
  </conditionalFormatting>
  <conditionalFormatting sqref="AM9:AM1007">
    <cfRule type="expression" dxfId="15" priority="91">
      <formula>COUNTBLANK(AM9)=1</formula>
    </cfRule>
    <cfRule type="expression" dxfId="14" priority="92">
      <formula>COUNTBLANK(AM9)=0</formula>
    </cfRule>
  </conditionalFormatting>
  <conditionalFormatting sqref="AN9:AN1007">
    <cfRule type="expression" dxfId="13" priority="93">
      <formula>COUNTBLANK(AN9)=1</formula>
    </cfRule>
    <cfRule type="expression" dxfId="12" priority="94">
      <formula>COUNTBLANK(AN9)=0</formula>
    </cfRule>
  </conditionalFormatting>
  <conditionalFormatting sqref="AO9:AO1007">
    <cfRule type="expression" dxfId="11" priority="95">
      <formula>COUNTBLANK(AO9)=1</formula>
    </cfRule>
    <cfRule type="expression" dxfId="10" priority="96">
      <formula>COUNTBLANK(AO9)=0</formula>
    </cfRule>
  </conditionalFormatting>
  <conditionalFormatting sqref="AP9:AP1007">
    <cfRule type="expression" dxfId="9" priority="97">
      <formula>COUNTBLANK(AP9)=1</formula>
    </cfRule>
    <cfRule type="expression" dxfId="8" priority="98">
      <formula>COUNTBLANK(AP9)=0</formula>
    </cfRule>
  </conditionalFormatting>
  <conditionalFormatting sqref="AQ9:AQ1007">
    <cfRule type="expression" dxfId="7" priority="99">
      <formula>COUNTBLANK(AQ9)=1</formula>
    </cfRule>
    <cfRule type="expression" dxfId="6" priority="100">
      <formula>COUNTBLANK(AQ9)=0</formula>
    </cfRule>
  </conditionalFormatting>
  <conditionalFormatting sqref="AR9:AR1007">
    <cfRule type="expression" dxfId="5" priority="101">
      <formula>COUNTBLANK(AR9)=1</formula>
    </cfRule>
    <cfRule type="expression" dxfId="4" priority="102">
      <formula>COUNTBLANK(AR9)=0</formula>
    </cfRule>
  </conditionalFormatting>
  <conditionalFormatting sqref="AS9:AS1007">
    <cfRule type="expression" dxfId="3" priority="103">
      <formula>COUNTBLANK(AS9)=1</formula>
    </cfRule>
    <cfRule type="expression" dxfId="2" priority="104">
      <formula>COUNTBLANK(AS9)=0</formula>
    </cfRule>
  </conditionalFormatting>
  <conditionalFormatting sqref="AT9:AT1007">
    <cfRule type="expression" dxfId="1" priority="105">
      <formula>COUNTBLANK(AT9)=1</formula>
    </cfRule>
    <cfRule type="expression" dxfId="0" priority="106">
      <formula>COUNTBLANK(AT9)=0</formula>
    </cfRule>
  </conditionalFormatting>
  <dataValidations count="8">
    <dataValidation type="custom" showInputMessage="1" showErrorMessage="1" errorTitle="Invalid date" error="Your entry should be a date (a) with format dd.mm.yyyy and (b) with yyyy matching cell B1" sqref="G9:G1007">
      <formula1>IF(ISERROR(DATE(DAY(G9),MONTH(G9),YEAR(G9))),FALSE,TEXT($B$1,"0")=TEXT(YEAR(G9),"0"))</formula1>
    </dataValidation>
    <dataValidation type="list" showInputMessage="1" showErrorMessage="1" errorTitle="Invalid sampling method" error="Your entry is not in the list of sampling methods" promptTitle="Select sampling method" prompt="Please select a sampling method from the list" sqref="I9:I1007">
      <formula1>"manual,Maxx TP5 C"</formula1>
    </dataValidation>
    <dataValidation type="custom" showInputMessage="1" showErrorMessage="1" errorTitle="Invalid date" error="Your entry should be a time with format HH:MM:SS" sqref="H9:H1007">
      <formula1>NOT(ISERROR(TIME(HOUR(H9),MINUTE(H9),SECOND(H9))))</formula1>
    </dataValidation>
    <dataValidation type="list" showInputMessage="1" showErrorMessage="1" errorTitle="Invalid filter" error="Your entry is not in the list of filters for sample preparation" promptTitle="Select filter" prompt="Please select a filter from the list" sqref="J9:J1007">
      <formula1>"None,MN 640 we,MN 640 w,MN 640 md,MN 640 d,MN GF-1,MN GF-4,MN GF-5,GF/PET-45/25,N/A"</formula1>
    </dataValidation>
    <dataValidation type="custom" showInputMessage="1" showErrorMessage="1" errorTitle="Invalid dilution" error="Your entry should be a whole number equal to or larger than 1" sqref="K9:K1007">
      <formula1>AND(ISNUMBER(VALUE(K9)),MOD(K9,1)=0)</formula1>
    </dataValidation>
    <dataValidation type="list" allowBlank="1" showInputMessage="1" showErrorMessage="1" errorTitle="Invalid ID" error="Your entry is not in the list of project IDs for this sheet" sqref="A5:A1007">
      <formula1>"1Q42"</formula1>
    </dataValidation>
    <dataValidation type="custom" allowBlank="1" showInputMessage="1" showErrorMessage="1" errorTitle="Invalid sample number" error="Your sample number should be a whole number between 19001 and 20000" sqref="B5:B1007">
      <formula1>AND(AND(ISNUMBER(VALUE(B5)),MOD(VALUE(B5),1)=0),AND(VALUE(B5)&gt;19000,VALUE(B5)&lt;20000))</formula1>
    </dataValidation>
    <dataValidation type="custom" showInputMessage="1" showErrorMessage="1" errorTitle="Invalid date" error="Your entry should be a date _x000d__x000a_ (a) with format dd.mm.yyyy or dd.mm-dd.mm.yyyy (earliest date first), _x000d__x000a_ (b) with yyyy matching cell B1, and _x000d__x000a_ (c) equal to or after the sample date. _x000d__x000a__x000d__x000a_ (!!!) Sample date (column G) must be filled in first" sqref="O9:O1007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errorTitle="Invalid room" error="Your entry is not in the list of rooms" promptTitle="Select room" prompt="Please select a room from the list">
          <x14:formula1>
            <xm:f>OFFSET(Area!$A$1,0,0,1,COUNTA(Area!$1:$1))</xm:f>
          </x14:formula1>
          <xm:sqref>C9:C1007</xm:sqref>
        </x14:dataValidation>
        <x14:dataValidation type="list" showInputMessage="1" showErrorMessage="1" errorTitle="Invalid area" error="Your entry is not in the list of areas for the selected room" promptTitle="Select area" prompt="Please select an area from the list">
          <x14:formula1>
            <xm:f>INDIRECT(CONCATENATE("Area!",SUBSTITUTE(ADDRESS(1,MATCH(C9,Area!$1:$1,0),4),"1",""),"2:",SUBSTITUTE(ADDRESS(1,MATCH(C9,Area!$1:$1,0),4),"1",""),TEXT(1+BA9,"0")))</xm:f>
          </x14:formula1>
          <xm:sqref>D9:D1007</xm:sqref>
        </x14:dataValidation>
        <x14:dataValidation type="list" showInputMessage="1" showErrorMessage="1" errorTitle="Invalid area" error="Your entry is not in the list of areas for the selected room" promptTitle="Select area" prompt="Please select an area from the list">
          <x14:formula1>
            <xm:f>INDIRECT(CONCATENATE("Setup!",SUBSTITUTE(ADDRESS(1,MATCH(CONCATENATE(C9,":",D9),Setup!$1:$1,0),4),"1",""),"2:",SUBSTITUTE(ADDRESS(1,MATCH(CONCATENATE(C9,":",D9),Setup!$1:$1,0),4),"1",""),TEXT(1+BB9,"0")))</xm:f>
          </x14:formula1>
          <xm:sqref>E9:E1007</xm:sqref>
        </x14:dataValidation>
        <x14:dataValidation type="list" showInputMessage="1" showErrorMessage="1" errorTitle="Invalid setup" error="Your entry is not in the list of setups for the selected room" promptTitle="Select setup" prompt="Please select a setup from the list">
          <x14:formula1>
            <xm:f>INDIRECT(CONCATENATE("Comp!",SUBSTITUTE(ADDRESS(1,MATCH(CONCATENATE(C9,":",D9,":",E9),Comp!$1:$1,0),4),"1",""),"2:",SUBSTITUTE(ADDRESS(1,MATCH(CONCATENATE(C9,":",D9,":",E9),Comp!$1:$1,0),4),"1",""),TEXT(1+BC9,"0")))</xm:f>
          </x14:formula1>
          <xm:sqref>F9:F1007</xm:sqref>
        </x14:dataValidation>
        <x14:dataValidation type="list" showInputMessage="1" showErrorMessage="1" errorTitle="Invalid person" error="Your entry is not in the list of persons" promptTitle="Select person" prompt="Please select a person from the list">
          <x14:formula1>
            <xm:f>OFFSET(person_drop!$D$2,0,0,COUNTIF(person_drop!$D$2:$D$1000,"&gt;"""),1)</xm:f>
          </x14:formula1>
          <xm:sqref>L9:L1007</xm:sqref>
        </x14:dataValidation>
        <x14:dataValidation type="list" showInputMessage="1" showErrorMessage="1" errorTitle="Invalid person" error="Your entry is not in the list of persons" promptTitle="Select person" prompt="Please select a person from the list">
          <x14:formula1>
            <xm:f>OFFSET(person_drop!$D$2,0,0,COUNTIF(person_drop!$D$2:$D$1000,"&gt;"""),1)</xm:f>
          </x14:formula1>
          <xm:sqref>P9:P1007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</vt:lpstr>
      <vt:lpstr>person_db</vt:lpstr>
      <vt:lpstr>person_drop</vt:lpstr>
      <vt:lpstr>Area</vt:lpstr>
      <vt:lpstr>Setup</vt:lpstr>
      <vt:lpstr>Comp</vt:lpstr>
      <vt:lpstr>1Q42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Faust, Valentin</cp:lastModifiedBy>
  <dcterms:created xsi:type="dcterms:W3CDTF">2019-10-22T15:12:50Z</dcterms:created>
  <dcterms:modified xsi:type="dcterms:W3CDTF">2019-10-24T07:38:15Z</dcterms:modified>
</cp:coreProperties>
</file>